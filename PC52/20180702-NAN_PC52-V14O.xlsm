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2_NANSHA\"/>
    </mc:Choice>
  </mc:AlternateContent>
  <bookViews>
    <workbookView xWindow="0" yWindow="0" windowWidth="20490" windowHeight="8910" tabRatio="597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Data!$A$1:$AL$1602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 refMode="R1C1"/>
</workbook>
</file>

<file path=xl/calcChain.xml><?xml version="1.0" encoding="utf-8"?>
<calcChain xmlns="http://schemas.openxmlformats.org/spreadsheetml/2006/main">
  <c r="B14" i="5" l="1"/>
  <c r="B12" i="5"/>
  <c r="D6" i="5" l="1"/>
  <c r="C6" i="5"/>
  <c r="C10" i="5"/>
  <c r="D10" i="5" l="1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<sst xmlns="http://schemas.openxmlformats.org/spreadsheetml/2006/main" count="53903" uniqueCount="14355">
  <si>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</si>
  <si>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</si>
  <si>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</si>
  <si>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</si>
  <si>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</si>
  <si>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</si>
  <si>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</si>
  <si>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</si>
  <si>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</si>
  <si>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</si>
  <si>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</si>
  <si>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</si>
  <si>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</si>
  <si>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</si>
  <si>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</si>
  <si>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</si>
  <si>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</si>
  <si>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</si>
  <si>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</si>
  <si>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</si>
  <si>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</si>
  <si>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</si>
  <si>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</si>
  <si>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</si>
  <si>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</si>
  <si>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</si>
  <si>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</si>
  <si>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</si>
  <si>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</si>
  <si>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</si>
  <si>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</si>
  <si>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</si>
  <si>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</si>
  <si>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</si>
  <si>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</si>
  <si>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</si>
  <si>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</si>
  <si>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</si>
  <si>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</si>
  <si>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</si>
  <si>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</si>
  <si>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</si>
  <si>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</si>
  <si>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</si>
  <si>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</si>
  <si>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</si>
  <si>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</si>
  <si>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</si>
  <si>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</si>
  <si>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</si>
  <si>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</si>
  <si>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</si>
  <si>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</si>
  <si>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</si>
  <si>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</si>
  <si>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</si>
  <si>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</si>
  <si>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</si>
  <si>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</si>
  <si>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</si>
  <si>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</si>
  <si>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</si>
  <si>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</si>
  <si>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</si>
  <si>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</si>
  <si>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</si>
  <si>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</si>
  <si>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</si>
  <si>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</si>
  <si>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</si>
  <si>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</si>
  <si>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</si>
  <si>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</si>
  <si>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</si>
  <si>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</si>
  <si>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</si>
  <si>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</si>
  <si>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</si>
  <si>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</si>
  <si>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</si>
  <si>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</si>
  <si>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</si>
  <si>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</si>
  <si>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</si>
  <si>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</si>
  <si>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</si>
  <si>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</si>
  <si>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</si>
  <si>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</si>
  <si>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</si>
  <si>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</si>
  <si>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</si>
  <si>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</si>
  <si>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</si>
  <si>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</si>
  <si>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</si>
  <si>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</si>
  <si>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</si>
  <si>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</si>
  <si>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</si>
  <si>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</si>
  <si>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</si>
  <si>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</si>
  <si>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</si>
  <si>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</si>
  <si>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</si>
  <si>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</si>
  <si>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</si>
  <si>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</si>
  <si>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</si>
  <si>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</si>
  <si>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</si>
  <si>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</si>
  <si>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</si>
  <si>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</si>
  <si>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</si>
  <si>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</si>
  <si>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</si>
  <si>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</si>
  <si>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</si>
  <si>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</si>
  <si>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</si>
  <si>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</si>
  <si>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</si>
  <si>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</si>
  <si>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</si>
  <si>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</si>
  <si>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</si>
  <si>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</si>
  <si>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</si>
  <si>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</si>
  <si>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</si>
  <si>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</si>
  <si>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</si>
  <si>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</si>
  <si>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</si>
  <si>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</si>
  <si>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</si>
  <si>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</si>
  <si>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</si>
  <si>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</si>
  <si>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</si>
  <si>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</si>
  <si>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</si>
  <si>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</si>
  <si>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</si>
  <si>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</si>
  <si>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</si>
  <si>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</si>
  <si>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</si>
  <si>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</si>
  <si>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</si>
  <si>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</si>
  <si>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</si>
  <si>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</si>
  <si>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</si>
  <si>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</si>
  <si>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</si>
  <si>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</si>
  <si>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</si>
  <si>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</si>
  <si>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</si>
  <si>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</si>
  <si>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</si>
  <si>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</si>
  <si>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</si>
  <si>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</si>
  <si>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</si>
  <si>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</si>
  <si>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</si>
  <si>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</si>
  <si>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</si>
  <si>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</si>
  <si>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</si>
  <si>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</si>
  <si>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</si>
  <si>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</si>
  <si>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</si>
  <si>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</si>
  <si>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</si>
  <si>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</si>
  <si>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</si>
  <si>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</si>
  <si>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</si>
  <si>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</si>
  <si>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</si>
  <si>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</si>
  <si>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</si>
  <si>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</si>
  <si>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</si>
  <si>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</si>
  <si>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</si>
  <si>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</si>
  <si>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</si>
  <si>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</si>
  <si>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</si>
  <si>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</si>
  <si>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</si>
  <si>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</si>
  <si>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</si>
  <si>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</si>
  <si>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</si>
  <si>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</si>
  <si>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</si>
  <si>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</si>
  <si>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</si>
  <si>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</si>
  <si>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</si>
  <si>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</si>
  <si>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</si>
  <si>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</si>
  <si>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</si>
  <si>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</si>
  <si>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</si>
  <si>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</si>
  <si>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</si>
  <si>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</si>
  <si>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</si>
  <si>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</si>
  <si>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</si>
  <si>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</si>
  <si>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</si>
  <si>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</si>
  <si>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</si>
  <si>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</si>
  <si>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</si>
  <si>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</si>
  <si>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</si>
  <si>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</si>
  <si>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</si>
  <si>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</si>
  <si>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</si>
  <si>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</si>
  <si>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</si>
  <si>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</si>
  <si>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</si>
  <si>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</si>
  <si>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</si>
  <si>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</si>
  <si>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</si>
  <si>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</si>
  <si>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</si>
  <si>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</si>
  <si>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</si>
  <si>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</si>
  <si>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</si>
  <si>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</si>
  <si>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</si>
  <si>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</si>
  <si>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</si>
  <si>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</si>
  <si>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</si>
  <si>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</si>
  <si>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</si>
  <si>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</si>
  <si>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</si>
  <si>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</si>
  <si>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</si>
  <si>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</si>
  <si>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</si>
  <si>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</si>
  <si>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</si>
  <si>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</si>
  <si>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</si>
  <si>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</si>
  <si>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</si>
  <si>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</si>
  <si>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</si>
  <si>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</si>
  <si>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</si>
  <si>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</si>
  <si>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</si>
  <si>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</si>
  <si>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</si>
  <si>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</si>
  <si>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</si>
  <si>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</si>
  <si>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</si>
  <si>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</si>
  <si>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</si>
  <si>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</si>
  <si>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</si>
  <si>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</si>
  <si>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</si>
  <si>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</si>
  <si>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</si>
  <si>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</si>
  <si>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</si>
  <si>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</si>
  <si>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</si>
  <si>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</si>
  <si>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</si>
  <si>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</si>
  <si>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</si>
  <si>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</si>
  <si>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</si>
  <si>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</si>
  <si>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</si>
  <si>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</si>
  <si>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</si>
  <si>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</si>
  <si>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</si>
  <si>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</si>
  <si>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</si>
  <si>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</si>
  <si>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</si>
  <si>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</si>
  <si>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</si>
  <si>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</si>
  <si>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</si>
  <si>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</si>
  <si>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</si>
  <si>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</si>
  <si>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</si>
  <si>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</si>
  <si>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</si>
  <si>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</si>
  <si>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</si>
  <si>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</si>
  <si>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</si>
  <si>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</si>
  <si>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</si>
  <si>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</si>
  <si>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</si>
  <si>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</si>
  <si>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</si>
  <si>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</si>
  <si>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</si>
  <si>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</si>
  <si>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</si>
  <si>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</si>
  <si>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</si>
  <si>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</si>
  <si>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</si>
  <si>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</si>
  <si>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</si>
  <si>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</si>
  <si>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</si>
  <si>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</si>
  <si>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</si>
  <si>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</si>
  <si>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</si>
  <si>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</si>
  <si>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</si>
  <si>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</si>
  <si>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</si>
  <si>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</si>
  <si>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</si>
  <si>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</si>
  <si>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</si>
  <si>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</si>
  <si>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</si>
  <si>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</si>
  <si>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</si>
  <si>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</si>
  <si>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</si>
  <si>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</si>
  <si>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</si>
  <si>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</si>
  <si>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</si>
  <si>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</si>
  <si>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</si>
  <si>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</si>
  <si>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</si>
  <si>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</si>
  <si>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</si>
  <si>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</si>
  <si>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</si>
  <si>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</si>
  <si>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</si>
  <si>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</si>
  <si>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</si>
  <si>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</si>
  <si>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</si>
  <si>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</si>
  <si>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</si>
  <si>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</si>
  <si>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</si>
  <si>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</si>
  <si>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</si>
  <si>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</si>
  <si>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</si>
  <si>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</si>
  <si>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</si>
  <si>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</si>
  <si>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</si>
  <si>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</si>
  <si>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</si>
  <si>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</si>
  <si>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</si>
  <si>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</si>
  <si>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</si>
  <si>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</si>
  <si>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</si>
  <si>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</si>
  <si>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</si>
  <si>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</si>
  <si>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</si>
  <si>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</si>
  <si>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</si>
  <si>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</si>
  <si>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</si>
  <si>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</si>
  <si>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</si>
  <si>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</si>
  <si>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</si>
  <si>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</si>
  <si>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</si>
  <si>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</si>
  <si>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</si>
  <si>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</si>
  <si>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</si>
  <si>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</si>
  <si>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</si>
  <si>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</si>
  <si>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</si>
  <si>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</si>
  <si>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</si>
  <si>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</si>
  <si>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</si>
  <si>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</si>
  <si>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</si>
  <si>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</si>
  <si>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</si>
  <si>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</si>
  <si>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</si>
  <si>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</si>
  <si>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</si>
  <si>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</si>
  <si>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</si>
  <si>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</si>
  <si>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</si>
  <si>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</si>
  <si>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</si>
  <si>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</si>
  <si>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</si>
  <si>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</si>
  <si>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</si>
  <si>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</si>
  <si>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</si>
  <si>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</si>
  <si>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</si>
  <si>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</si>
  <si>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</si>
  <si>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</si>
  <si>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</si>
  <si>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</si>
  <si>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</si>
  <si>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</si>
  <si>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</si>
  <si>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</si>
  <si>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</si>
  <si>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</si>
  <si>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</si>
  <si>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</si>
  <si>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</si>
  <si>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</si>
  <si>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</si>
  <si>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</si>
  <si>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</si>
  <si>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</si>
  <si>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</si>
  <si>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</si>
  <si>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</si>
  <si>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</si>
  <si>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</si>
  <si>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</si>
  <si>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</si>
  <si>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</si>
  <si>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</si>
  <si>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</si>
  <si>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</si>
  <si>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</si>
  <si>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</si>
  <si>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</si>
  <si>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</si>
  <si>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</si>
  <si>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</si>
  <si>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</si>
  <si>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</si>
  <si>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</si>
  <si>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</si>
  <si>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</si>
  <si>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</si>
  <si>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</si>
  <si>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</si>
  <si>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</si>
  <si>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</si>
  <si>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</si>
  <si>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</si>
  <si>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</si>
  <si>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</si>
  <si>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</si>
  <si>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</si>
  <si>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</si>
  <si>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</si>
  <si>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</si>
  <si>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</si>
  <si>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</si>
  <si>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</si>
  <si>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</si>
  <si>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</si>
  <si>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</si>
  <si>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</si>
  <si>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</si>
  <si>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</si>
  <si>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</si>
  <si>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</si>
  <si>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</si>
  <si>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</si>
  <si>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</si>
  <si>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</si>
  <si>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</si>
  <si>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</si>
  <si>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</si>
  <si>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</si>
  <si>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</si>
  <si>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</si>
  <si>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</si>
  <si>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</si>
  <si>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</si>
  <si>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</si>
  <si>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</si>
  <si>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</si>
  <si>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</si>
  <si>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</si>
  <si>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</si>
  <si>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</si>
  <si>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</si>
  <si>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</si>
  <si>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</si>
  <si>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</si>
  <si>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</si>
  <si>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</si>
  <si>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</si>
  <si>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</si>
  <si>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</si>
  <si>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</si>
  <si>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</si>
  <si>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</si>
  <si>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</si>
  <si>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</si>
  <si>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</si>
  <si>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</si>
  <si>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</si>
  <si>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</si>
  <si>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</si>
  <si>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</si>
  <si>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</si>
  <si>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</si>
  <si>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</si>
  <si>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</si>
  <si>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</si>
  <si>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</si>
  <si>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</si>
  <si>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</si>
  <si>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</si>
  <si>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</si>
  <si>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</si>
  <si>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</si>
  <si>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</si>
  <si>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</si>
  <si>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</si>
  <si>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</si>
  <si>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</si>
  <si>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</si>
  <si>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</si>
  <si>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</si>
  <si>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</si>
  <si>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</si>
  <si>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</si>
  <si>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</si>
  <si>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</si>
  <si>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</si>
  <si>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</si>
  <si>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</si>
  <si>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</si>
  <si>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</si>
  <si>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</si>
  <si>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</si>
  <si>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</si>
  <si>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</si>
  <si>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</si>
  <si>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</si>
  <si>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</si>
  <si>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</si>
  <si>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</si>
  <si>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</si>
  <si>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</si>
  <si>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</si>
  <si>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</si>
  <si>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</si>
  <si>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</si>
  <si>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</si>
  <si>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</si>
  <si>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</si>
  <si>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</si>
  <si>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</si>
  <si>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</si>
  <si>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</si>
  <si>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</si>
  <si>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</si>
  <si>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</si>
  <si>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</si>
  <si>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</si>
  <si>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</si>
  <si>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</si>
  <si>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</si>
  <si>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</si>
  <si>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</si>
  <si>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</si>
  <si>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</si>
  <si>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</si>
  <si>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</si>
  <si>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</si>
  <si>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</si>
  <si>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</si>
  <si>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</si>
  <si>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</si>
  <si>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</si>
  <si>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</si>
  <si>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</si>
  <si>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</si>
  <si>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</si>
  <si>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</si>
  <si>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</si>
  <si>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</si>
  <si>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</si>
  <si>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</si>
  <si>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</si>
  <si>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</si>
  <si>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</si>
  <si>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</si>
  <si>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</si>
  <si>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</si>
  <si>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</si>
  <si>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</si>
  <si>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</si>
  <si>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</si>
  <si>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</si>
  <si>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</si>
  <si>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</si>
  <si>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</si>
  <si>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</si>
  <si>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</si>
  <si>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</si>
  <si>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</si>
  <si>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</si>
  <si>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</si>
  <si>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</si>
  <si>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</si>
  <si>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</si>
  <si>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</si>
  <si>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</si>
  <si>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</si>
  <si>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</si>
  <si>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</si>
  <si>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</si>
  <si>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</si>
  <si>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</si>
  <si>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</si>
  <si>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</si>
  <si>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</si>
  <si>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</si>
  <si>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</si>
  <si>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</si>
  <si>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</si>
  <si>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</si>
  <si>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</si>
  <si>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</si>
  <si>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</si>
  <si>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</si>
  <si>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</si>
  <si>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</si>
  <si>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</si>
  <si>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</si>
  <si>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</si>
  <si>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</si>
  <si>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</si>
  <si>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</si>
  <si>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</si>
  <si>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</si>
  <si>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</si>
  <si>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</si>
  <si>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</si>
  <si>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</si>
  <si>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</si>
  <si>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</si>
  <si>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</si>
  <si>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</si>
  <si>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</si>
  <si>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</si>
  <si>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</si>
  <si>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</si>
  <si>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</si>
  <si>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</si>
  <si>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</si>
  <si>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</si>
  <si>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</si>
  <si>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</si>
  <si>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</si>
  <si>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</si>
  <si>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</si>
  <si>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</si>
  <si>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</si>
  <si>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</si>
  <si>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</si>
  <si>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</si>
  <si>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</si>
  <si>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</si>
  <si>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</si>
  <si>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</si>
  <si>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</si>
  <si>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</si>
  <si>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</si>
  <si>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</si>
  <si>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</si>
  <si>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</si>
  <si>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</si>
  <si>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</si>
  <si>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</si>
  <si>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</si>
  <si>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</si>
  <si>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</si>
  <si>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</si>
  <si>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</si>
  <si>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</si>
  <si>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</si>
  <si>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</si>
  <si>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</si>
  <si>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</si>
  <si>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</si>
  <si>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</si>
  <si>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</si>
  <si>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</si>
  <si>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</si>
  <si>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</si>
  <si>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</si>
  <si>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</si>
  <si>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</si>
  <si>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</si>
  <si>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</si>
  <si>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</si>
  <si>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</si>
  <si>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</si>
  <si>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</si>
  <si>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</si>
  <si>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</si>
  <si>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</si>
  <si>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</si>
  <si>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</si>
  <si>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</si>
  <si>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</si>
  <si>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</si>
  <si>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</si>
  <si>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</si>
  <si>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</si>
  <si>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</si>
  <si>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</si>
  <si>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</si>
  <si>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</si>
  <si>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</si>
  <si>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</si>
  <si>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</si>
  <si>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</si>
  <si>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</si>
  <si>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</si>
  <si>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</si>
  <si>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</si>
  <si>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</si>
  <si>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</si>
  <si>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</si>
  <si>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</si>
  <si>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</si>
  <si>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</si>
  <si>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</si>
  <si>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</si>
  <si>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</si>
  <si>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</si>
  <si>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</si>
  <si>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</si>
  <si>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</si>
  <si>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</si>
  <si>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</si>
  <si>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</si>
  <si>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</si>
  <si>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</si>
  <si>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</si>
  <si>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</si>
  <si>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</si>
  <si>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</si>
  <si>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</si>
  <si>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</si>
  <si>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</si>
  <si>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</si>
  <si>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</si>
  <si>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</si>
  <si>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</si>
  <si>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</si>
  <si>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</si>
  <si>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</si>
  <si>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</si>
  <si>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</si>
  <si>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</si>
  <si>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</si>
  <si>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</si>
  <si>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</si>
  <si>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</si>
  <si>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</si>
  <si>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</si>
  <si>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</si>
  <si>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</si>
  <si>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</si>
  <si>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</si>
  <si>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</si>
  <si>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</si>
  <si>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</si>
  <si>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</si>
  <si>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</si>
  <si>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</si>
  <si>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</si>
  <si>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</si>
  <si>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</si>
  <si>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</si>
  <si>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</si>
  <si>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</si>
  <si>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</si>
  <si>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</si>
  <si>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</si>
  <si>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</si>
  <si>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</si>
  <si>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</si>
  <si>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</si>
  <si>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</si>
  <si>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</si>
  <si>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</si>
  <si>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</si>
  <si>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</si>
  <si>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</si>
  <si>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</si>
  <si>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</si>
  <si>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</si>
  <si>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</si>
  <si>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</si>
  <si>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</si>
  <si>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</si>
  <si>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</si>
  <si>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</si>
  <si>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</si>
  <si>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</si>
  <si>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</si>
  <si>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</si>
  <si>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</si>
  <si>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</si>
  <si>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</si>
  <si>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</si>
  <si>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</si>
  <si>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</si>
  <si>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</si>
  <si>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</si>
  <si>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</si>
  <si>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</si>
  <si>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</si>
  <si>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</si>
  <si>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</si>
  <si>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</si>
  <si>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</si>
  <si>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</si>
  <si>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</si>
  <si>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</si>
  <si>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</si>
  <si>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</si>
  <si>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</si>
  <si>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</si>
  <si>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</si>
  <si>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</si>
  <si>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</si>
  <si>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</si>
  <si>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</si>
  <si>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</si>
  <si>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</si>
  <si>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</si>
  <si>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</si>
  <si>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</si>
  <si>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</si>
  <si>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</si>
  <si>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</si>
  <si>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</si>
  <si>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</si>
  <si>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</si>
  <si>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</si>
  <si>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</si>
  <si>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</si>
  <si>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</si>
  <si>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</si>
  <si>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</si>
  <si>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</si>
  <si>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</si>
  <si>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</si>
  <si>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</si>
  <si>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</si>
  <si>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</si>
  <si>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</si>
  <si>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</si>
  <si>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</si>
  <si>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</si>
  <si>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</si>
  <si>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</si>
  <si>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</si>
  <si>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</si>
  <si>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</si>
  <si>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</si>
  <si>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</si>
  <si>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</si>
  <si>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</si>
  <si>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</si>
  <si>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</si>
  <si>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</si>
  <si>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</si>
  <si>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</si>
  <si>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</si>
  <si>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</si>
  <si>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</si>
  <si>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</si>
  <si>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</si>
  <si>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</si>
  <si>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</si>
  <si>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</si>
  <si>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</si>
  <si>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</si>
  <si>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</si>
  <si>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</si>
  <si>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</si>
  <si>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</si>
  <si>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</si>
  <si>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</si>
  <si>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</si>
  <si>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</si>
  <si>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</si>
  <si>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</si>
  <si>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</si>
  <si>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</si>
  <si>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</si>
  <si>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</si>
  <si>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</si>
  <si>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</si>
  <si>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</si>
  <si>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</si>
  <si>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</si>
  <si>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</si>
  <si>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</si>
  <si>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</si>
  <si>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</si>
  <si>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</si>
  <si>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</si>
  <si>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</si>
  <si>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</si>
  <si>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</si>
  <si>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</si>
  <si>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</si>
  <si>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</si>
  <si>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</si>
  <si>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</si>
  <si>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</si>
  <si>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</si>
  <si>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</si>
  <si>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</si>
  <si>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</si>
  <si>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</si>
  <si>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</si>
  <si>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</si>
  <si>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</si>
  <si>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</si>
  <si>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</si>
  <si>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</si>
  <si>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</si>
  <si>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</si>
  <si>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</si>
  <si>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</si>
  <si>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</si>
  <si>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</si>
  <si>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</si>
  <si>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</si>
  <si>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</si>
  <si>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</si>
  <si>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</si>
  <si>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</si>
  <si>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</si>
  <si>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</si>
  <si>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</si>
  <si>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</si>
  <si>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</si>
  <si>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</si>
  <si>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</si>
  <si>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</si>
  <si>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</si>
  <si>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</si>
  <si>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</si>
  <si>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</si>
  <si>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</si>
  <si>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</si>
  <si>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</si>
  <si>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</si>
  <si>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</si>
  <si>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</si>
  <si>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</si>
  <si>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</si>
  <si>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</si>
  <si>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</si>
  <si>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</si>
  <si>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</si>
  <si>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</si>
  <si>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</si>
  <si>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</si>
  <si>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</si>
  <si>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</si>
  <si>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</si>
  <si>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</si>
  <si>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</si>
  <si>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</si>
  <si>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</si>
  <si>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</si>
  <si>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</si>
  <si>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</si>
  <si>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</si>
  <si>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</si>
  <si>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</si>
  <si>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</si>
  <si>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</si>
  <si>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</si>
  <si>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</si>
  <si>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</si>
  <si>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</si>
  <si>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</si>
  <si>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</si>
  <si>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</si>
  <si>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</si>
  <si>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</si>
  <si>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</si>
  <si>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</si>
  <si>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</si>
  <si>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</si>
  <si>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</si>
  <si>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</si>
  <si>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</si>
  <si>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</si>
  <si>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</si>
  <si>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</si>
  <si>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</si>
  <si>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</si>
  <si>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</si>
  <si>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</si>
  <si>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</si>
  <si>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</si>
  <si>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</si>
  <si>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</si>
  <si>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</si>
  <si>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</si>
  <si>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</si>
  <si>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</si>
  <si>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</si>
  <si>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</si>
  <si>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</si>
  <si>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</si>
  <si>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</si>
  <si>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</si>
  <si>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</si>
  <si>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</si>
  <si>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</si>
  <si>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</si>
  <si>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</si>
  <si>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</si>
  <si>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</si>
  <si>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</si>
  <si>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</si>
  <si>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</si>
  <si>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</si>
  <si>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</si>
  <si>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</si>
  <si>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</si>
  <si>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</si>
  <si>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</si>
  <si>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</si>
  <si>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</si>
  <si>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</si>
  <si>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</si>
  <si>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</si>
  <si>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</si>
  <si>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</si>
  <si>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</si>
  <si>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</si>
  <si>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</si>
  <si>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</si>
  <si>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</si>
  <si>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</si>
  <si>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</si>
  <si>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</si>
  <si>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</si>
  <si>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</si>
  <si>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</si>
  <si>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</si>
  <si>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</si>
  <si>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</si>
  <si>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</si>
  <si>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</si>
  <si>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</si>
  <si>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</si>
  <si>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</si>
  <si>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</si>
  <si>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</si>
  <si>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</si>
  <si>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</si>
  <si>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</si>
  <si>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</si>
  <si>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</si>
  <si>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</si>
  <si>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</si>
  <si>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</si>
  <si>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</si>
  <si>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</si>
  <si>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</si>
  <si>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</si>
  <si>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</si>
  <si>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</si>
  <si>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</si>
  <si>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</si>
  <si>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</si>
  <si>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</si>
  <si>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</si>
  <si>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</si>
  <si>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</si>
  <si>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</si>
  <si>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</si>
  <si>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</si>
  <si>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</si>
  <si>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</si>
  <si>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</si>
  <si>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</si>
  <si>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</si>
  <si>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</si>
  <si>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</si>
  <si>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</si>
  <si>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</si>
  <si>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</si>
  <si>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</si>
  <si>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</si>
  <si>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</si>
  <si>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</si>
  <si>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</si>
  <si>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</si>
  <si>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</si>
  <si>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</si>
  <si>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</si>
  <si>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</si>
  <si>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</si>
  <si>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</si>
  <si>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</si>
  <si>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</si>
  <si>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</si>
  <si>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</si>
  <si>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</si>
  <si>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</si>
  <si>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</si>
  <si>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</si>
  <si>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</si>
  <si>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</si>
  <si>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</si>
  <si>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</si>
  <si>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</si>
  <si>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</si>
  <si>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</si>
  <si>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</si>
  <si>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</si>
  <si>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</si>
  <si>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</si>
  <si>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</si>
  <si>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</si>
  <si>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</si>
  <si>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</si>
  <si>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</si>
  <si>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</si>
  <si>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</si>
  <si>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</si>
  <si>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</si>
  <si>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</si>
  <si>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</si>
  <si>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</si>
  <si>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</si>
  <si>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</si>
  <si>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</si>
  <si>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</si>
  <si>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</si>
  <si>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</si>
  <si>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</si>
  <si>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</si>
  <si>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</si>
  <si>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</si>
  <si>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</si>
  <si>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</si>
  <si>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</si>
  <si>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</si>
  <si>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</si>
  <si>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</si>
  <si>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</si>
  <si>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</si>
  <si>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</si>
  <si>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</si>
  <si>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</si>
  <si>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</si>
  <si>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</si>
  <si>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</si>
  <si>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</si>
  <si>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</si>
  <si>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</si>
  <si>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</si>
  <si>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</si>
  <si>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</si>
  <si>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</si>
  <si>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</si>
  <si>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</si>
  <si>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</si>
  <si>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</si>
  <si>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</si>
  <si>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</si>
  <si>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</si>
  <si>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</si>
  <si>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</si>
  <si>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</si>
  <si>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</si>
  <si>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</si>
  <si>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</si>
  <si>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</si>
  <si>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</si>
  <si>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</si>
  <si>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</si>
  <si>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</si>
  <si>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</si>
  <si>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</si>
  <si>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</si>
  <si>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</si>
  <si>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</si>
  <si>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</si>
  <si>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</si>
  <si>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</si>
  <si>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</si>
  <si>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</si>
  <si>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</si>
  <si>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</si>
  <si>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</si>
  <si>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</si>
  <si>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</si>
  <si>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</si>
  <si>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</si>
  <si>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</si>
  <si>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</si>
  <si>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</si>
  <si>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</si>
  <si>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</si>
  <si>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</si>
  <si>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</si>
  <si>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</si>
  <si>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</si>
  <si>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</si>
  <si>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</si>
  <si>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</si>
  <si>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</si>
  <si>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</si>
  <si>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</si>
  <si>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</si>
  <si>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</si>
  <si>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</si>
  <si>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</si>
  <si>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</si>
  <si>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</si>
  <si>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</si>
  <si>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</si>
  <si>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</si>
  <si>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</si>
  <si>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</si>
  <si>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</si>
  <si>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</si>
  <si>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</si>
  <si>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</si>
  <si>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</si>
  <si>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</si>
  <si>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</si>
  <si>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</si>
  <si>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</si>
  <si>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</si>
  <si>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</si>
  <si>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</si>
  <si>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</si>
  <si>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</si>
  <si>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</si>
  <si>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</si>
  <si>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</si>
  <si>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</si>
  <si>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</si>
  <si>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</si>
  <si>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</si>
  <si>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</si>
  <si>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</si>
  <si>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</si>
  <si>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</si>
  <si>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</si>
  <si>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</si>
  <si>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</si>
  <si>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</si>
  <si>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</si>
  <si>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</si>
  <si>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</si>
  <si>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</si>
  <si>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</si>
  <si>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</si>
  <si>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</si>
  <si>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</si>
  <si>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</si>
  <si>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</si>
  <si>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</si>
  <si>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</si>
  <si>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</si>
  <si>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</si>
  <si>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</si>
  <si>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</si>
  <si>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</si>
  <si>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</si>
  <si>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</si>
  <si>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</si>
  <si>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</si>
  <si>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</si>
  <si>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</si>
  <si>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</si>
  <si>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</si>
  <si>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</si>
  <si>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</si>
  <si>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</si>
  <si>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</si>
  <si>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</si>
  <si>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</si>
  <si>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</si>
  <si>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</si>
  <si>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</si>
  <si>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</si>
  <si>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</si>
  <si>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</si>
  <si>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</si>
  <si>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</si>
  <si>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</si>
  <si>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</si>
  <si>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</si>
  <si>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</si>
  <si>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</si>
  <si>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</si>
  <si>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</si>
  <si>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</si>
  <si>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</si>
  <si>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</si>
  <si>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</si>
  <si>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</si>
  <si>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</si>
  <si>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</si>
  <si>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</si>
  <si>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</si>
  <si>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</si>
  <si>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</si>
  <si>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</si>
  <si>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</si>
  <si>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</si>
  <si>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</si>
  <si>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</si>
  <si>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</si>
  <si>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</si>
  <si>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</si>
  <si>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</si>
  <si>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</si>
  <si>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</si>
  <si>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</si>
  <si>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</si>
  <si>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</si>
  <si>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</si>
  <si>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</si>
  <si>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</si>
  <si>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</si>
  <si>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</si>
  <si>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</si>
  <si>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</si>
  <si>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</si>
  <si>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</si>
  <si>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</si>
  <si>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</si>
  <si>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</si>
  <si>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</si>
  <si>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</si>
  <si>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</si>
  <si>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</si>
  <si>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</si>
  <si>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</si>
  <si>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</si>
  <si>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</si>
  <si>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</si>
  <si>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</si>
  <si>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</si>
  <si>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</si>
  <si>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</si>
  <si>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</si>
  <si>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</si>
  <si>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</si>
  <si>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</si>
  <si>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</si>
  <si>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</si>
  <si>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</si>
  <si>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</si>
  <si>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</si>
  <si>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</si>
  <si>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</si>
  <si>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</si>
  <si>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</si>
  <si>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</si>
  <si>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</si>
  <si>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</si>
  <si>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</si>
  <si>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</si>
  <si>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</si>
  <si>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</si>
  <si>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</si>
  <si>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</si>
  <si>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</si>
  <si>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</si>
  <si>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</si>
  <si>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</si>
  <si>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</si>
  <si>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</si>
  <si>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</si>
  <si>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</si>
  <si>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</si>
  <si>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</si>
  <si>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</si>
  <si>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</si>
  <si>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</si>
  <si>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</si>
  <si>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</si>
  <si>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</si>
  <si>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</si>
  <si>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</si>
  <si>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</si>
  <si>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</si>
  <si>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</si>
  <si>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</si>
  <si>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</si>
  <si>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</si>
  <si>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</si>
  <si>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</si>
  <si>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</si>
  <si>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</si>
  <si>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</si>
  <si>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</si>
  <si>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</si>
  <si>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</si>
  <si>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</si>
  <si>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</si>
  <si>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</si>
  <si>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</si>
  <si>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</si>
  <si>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</si>
  <si>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</si>
  <si>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</si>
  <si>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</si>
  <si>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</si>
  <si>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</si>
  <si>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</si>
  <si>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</si>
  <si>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</si>
  <si>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</si>
  <si>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</si>
  <si>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</si>
  <si>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</si>
  <si>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</si>
  <si>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</si>
  <si>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</si>
  <si>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</si>
  <si>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</si>
  <si>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</si>
  <si>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</si>
  <si>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</si>
  <si>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</si>
  <si>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</si>
  <si>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</si>
  <si>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</si>
  <si>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</si>
  <si>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</si>
  <si>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</si>
  <si>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</si>
  <si>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</si>
  <si>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</si>
  <si>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</si>
  <si>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</si>
  <si>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</si>
  <si>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</si>
  <si>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</si>
  <si>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</si>
  <si>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</si>
  <si>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</si>
  <si>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</si>
  <si>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</si>
  <si>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</si>
  <si>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</si>
  <si>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</si>
  <si>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</si>
  <si>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</si>
  <si>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</si>
  <si>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</si>
  <si>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</si>
  <si>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</si>
  <si>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</si>
  <si>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</si>
  <si>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</si>
  <si>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</si>
  <si>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</si>
  <si>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</si>
  <si>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</si>
  <si>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</si>
  <si>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</si>
  <si>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</si>
  <si>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</si>
  <si>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</si>
  <si>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</si>
  <si>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</si>
  <si>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</si>
  <si>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</si>
  <si>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</si>
  <si>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</si>
  <si>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</si>
  <si>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</si>
  <si>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</si>
  <si>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</si>
  <si>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</si>
  <si>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</si>
  <si>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</si>
  <si>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</si>
  <si>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</si>
  <si>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</si>
  <si>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</si>
  <si>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</si>
  <si>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</si>
  <si>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</si>
  <si>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</si>
  <si>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</si>
  <si>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</si>
  <si>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</si>
  <si>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</si>
  <si>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</si>
  <si>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</si>
  <si>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</si>
  <si>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</si>
  <si>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</si>
  <si>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</si>
  <si>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</si>
  <si>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</si>
  <si>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</si>
  <si>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</si>
  <si>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</si>
  <si>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</si>
  <si>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</si>
  <si>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</si>
  <si>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</si>
  <si>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</si>
  <si>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</si>
  <si>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</si>
  <si>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</si>
  <si>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</si>
  <si>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</si>
  <si>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</si>
  <si>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</si>
  <si>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</si>
  <si>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</si>
  <si>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</si>
  <si>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</si>
  <si>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</si>
  <si>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</si>
  <si>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</si>
  <si>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</si>
  <si>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</si>
  <si>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</si>
  <si>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</si>
  <si>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</si>
  <si>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</si>
  <si>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</si>
  <si>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</si>
  <si>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</si>
  <si>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</si>
  <si>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</si>
  <si>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</si>
  <si>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</si>
  <si>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</si>
  <si>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</si>
  <si>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</si>
  <si>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</si>
  <si>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</si>
  <si>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</si>
  <si>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</si>
  <si>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</si>
  <si>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</si>
  <si>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</si>
  <si>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</si>
  <si>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</si>
  <si>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</si>
  <si>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</si>
  <si>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</si>
  <si>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</si>
  <si>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</si>
  <si>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</si>
  <si>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</si>
  <si>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</si>
  <si>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</si>
  <si>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</si>
  <si>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</si>
  <si>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</si>
  <si>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</si>
  <si>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</si>
  <si>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</si>
  <si>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</si>
  <si>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</si>
  <si>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</si>
  <si>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</si>
  <si>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</si>
  <si>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</si>
  <si>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</si>
  <si>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</si>
  <si>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</si>
  <si>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</si>
  <si>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</si>
  <si>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</si>
  <si>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</si>
  <si>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</si>
  <si>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</si>
  <si>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</si>
  <si>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</si>
  <si>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</si>
  <si>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</si>
  <si>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</si>
  <si>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</si>
  <si>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</si>
  <si>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</si>
  <si>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</si>
  <si>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</si>
  <si>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</si>
  <si>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</si>
  <si>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</si>
  <si>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</si>
  <si>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</si>
  <si>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</si>
  <si>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</si>
  <si>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</si>
  <si>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</si>
  <si>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</si>
  <si>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</si>
  <si>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</si>
  <si>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</si>
  <si>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</si>
  <si>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</si>
  <si>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</si>
  <si>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</si>
  <si>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</si>
  <si>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</si>
  <si>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</si>
  <si>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</si>
  <si>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</si>
  <si>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</si>
  <si>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</si>
  <si>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</si>
  <si>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</si>
  <si>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</si>
  <si>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</si>
  <si>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</si>
  <si>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</si>
  <si>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</si>
  <si>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</si>
  <si>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</si>
  <si>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</si>
  <si>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</si>
  <si>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</si>
  <si>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</si>
  <si>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</si>
  <si>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</si>
  <si>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</si>
  <si>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</si>
  <si>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</si>
  <si>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</si>
  <si>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</si>
  <si>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</si>
  <si>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</si>
  <si>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</si>
  <si>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</si>
  <si>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</si>
  <si>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</si>
  <si>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</si>
  <si>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</si>
  <si>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</si>
  <si>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</si>
  <si>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</si>
  <si>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</si>
  <si>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</si>
  <si>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</si>
  <si>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</si>
  <si>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</si>
  <si>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</si>
  <si>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</si>
  <si>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</si>
  <si>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</si>
  <si>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</si>
  <si>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</si>
  <si>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</si>
  <si>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</si>
  <si>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</si>
  <si>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</si>
  <si>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</si>
  <si>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</si>
  <si>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</si>
  <si>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</si>
  <si>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</si>
  <si>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</si>
  <si>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</si>
  <si>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</si>
  <si>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</si>
  <si>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</si>
  <si>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</si>
  <si>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</si>
  <si>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</si>
  <si>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</si>
  <si>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</si>
  <si>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</si>
  <si>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</si>
  <si>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</si>
  <si>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</si>
  <si>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</si>
  <si>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</si>
  <si>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</si>
  <si>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</si>
  <si>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</si>
  <si>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</si>
  <si>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</si>
  <si>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</si>
  <si>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</si>
  <si>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</si>
  <si>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</si>
  <si>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</si>
  <si>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</si>
  <si>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</si>
  <si>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</si>
  <si>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</si>
  <si>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</si>
  <si>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</si>
  <si>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</si>
  <si>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</si>
  <si>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</si>
  <si>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</si>
  <si>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</si>
  <si>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</si>
  <si>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</si>
  <si>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</si>
  <si>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</si>
  <si>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</si>
  <si>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</si>
  <si>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</si>
  <si>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</si>
  <si>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</si>
  <si>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</si>
  <si>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</si>
  <si>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</si>
  <si>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</si>
  <si>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</si>
  <si>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</si>
  <si>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</si>
  <si>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</si>
  <si>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</si>
  <si>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</si>
  <si>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</si>
  <si>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</si>
  <si>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</si>
  <si>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</si>
  <si>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</si>
  <si>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</si>
  <si>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</si>
  <si>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</si>
  <si>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</si>
  <si>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</si>
  <si>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</si>
  <si>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</si>
  <si>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</si>
  <si>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</si>
  <si>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</si>
  <si>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</si>
  <si>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</si>
  <si>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</si>
  <si>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</si>
  <si>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</si>
  <si>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</si>
  <si>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</si>
  <si>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</si>
  <si>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</si>
  <si>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</si>
  <si>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</si>
  <si>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</si>
  <si>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</si>
  <si>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</si>
  <si>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</si>
  <si>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</si>
  <si>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</si>
  <si>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</si>
  <si>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</si>
  <si>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</si>
  <si>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</si>
  <si>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</si>
  <si>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</si>
  <si>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</si>
  <si>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</si>
  <si>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</si>
  <si>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</si>
  <si>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</si>
  <si>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</si>
  <si>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</si>
  <si>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</si>
  <si>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</si>
  <si>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</si>
  <si>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</si>
  <si>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</si>
  <si>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</si>
  <si>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</si>
  <si>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</si>
  <si>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</si>
  <si>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</si>
  <si>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</si>
  <si>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</si>
  <si>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</si>
  <si>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</si>
  <si>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</si>
  <si>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</si>
  <si>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</si>
  <si>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</si>
  <si>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</si>
  <si>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</si>
  <si>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</si>
  <si>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</si>
  <si>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</si>
  <si>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</si>
  <si>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</si>
  <si>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</si>
  <si>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</si>
  <si>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</si>
  <si>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</si>
  <si>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</si>
  <si>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</si>
  <si>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</si>
  <si>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</si>
  <si>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</si>
  <si>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</si>
  <si>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</si>
  <si>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</si>
  <si>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</si>
  <si>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</si>
  <si>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</si>
  <si>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</si>
  <si>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</si>
  <si>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</si>
  <si>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</si>
  <si>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</si>
  <si>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</si>
  <si>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</si>
  <si>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</si>
  <si>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</si>
  <si>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</si>
  <si>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</si>
  <si>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</si>
  <si>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</si>
  <si>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</si>
  <si>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</si>
  <si>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</si>
  <si>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</si>
  <si>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</si>
  <si>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</si>
  <si>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</si>
  <si>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</si>
  <si>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</si>
  <si>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</si>
  <si>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</si>
  <si>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</si>
  <si>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</si>
  <si>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</si>
  <si>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</si>
  <si>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</si>
  <si>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</si>
  <si>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</si>
  <si>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</si>
  <si>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</si>
  <si>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</si>
  <si>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</si>
  <si>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</si>
  <si>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</si>
  <si>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</si>
  <si>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</si>
  <si>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</si>
  <si>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</si>
  <si>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</si>
  <si>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</si>
  <si>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</si>
  <si>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</si>
  <si>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</si>
  <si>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</si>
  <si>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</si>
  <si>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</si>
  <si>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</si>
  <si>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</si>
  <si>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</si>
  <si>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</si>
  <si>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</si>
  <si>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</si>
  <si>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</si>
  <si>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</si>
  <si>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</si>
  <si>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</si>
  <si>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</si>
  <si>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</si>
  <si>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</si>
  <si>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</si>
  <si>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</si>
  <si>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</si>
  <si>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</si>
  <si>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</si>
  <si>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</si>
  <si>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</si>
  <si>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</si>
  <si>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</si>
  <si>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</si>
  <si>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</si>
  <si>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</si>
  <si>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</si>
  <si>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</si>
  <si>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</si>
  <si>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</si>
  <si>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</si>
  <si>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</si>
  <si>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</si>
  <si>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</si>
  <si>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</si>
  <si>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</si>
  <si>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</si>
  <si>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</si>
  <si>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</si>
  <si>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</si>
  <si>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</si>
  <si>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</si>
  <si>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</si>
  <si>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</si>
  <si>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</si>
  <si>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</si>
  <si>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</si>
  <si>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</si>
  <si>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</si>
  <si>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</si>
  <si>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</si>
  <si>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</si>
  <si>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</si>
  <si>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</si>
  <si>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</si>
  <si>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</si>
  <si>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</si>
  <si>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</si>
  <si>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</si>
  <si>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</si>
  <si>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</si>
  <si>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</si>
  <si>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</si>
  <si>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</si>
  <si>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</si>
  <si>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</si>
  <si>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</si>
  <si>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</si>
  <si>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</si>
  <si>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</si>
  <si>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</si>
  <si>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</si>
  <si>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</si>
  <si>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</si>
  <si>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</si>
  <si>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</si>
  <si>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</si>
  <si>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</si>
  <si>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</si>
  <si>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</si>
  <si>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</si>
  <si>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</si>
  <si>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</si>
  <si>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</si>
  <si>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</si>
  <si>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</si>
  <si>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</si>
  <si>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</si>
  <si>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</si>
  <si>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</si>
  <si>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</si>
  <si>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</si>
  <si>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</si>
  <si>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</si>
  <si>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</si>
  <si>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</si>
  <si>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</si>
  <si>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</si>
  <si>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</si>
  <si>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</si>
  <si>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</si>
  <si>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</si>
  <si>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</si>
  <si>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</si>
  <si>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</si>
  <si>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</si>
  <si>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</si>
  <si>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</si>
  <si>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</si>
  <si>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</si>
  <si>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</si>
  <si>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</si>
  <si>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</si>
  <si>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</si>
  <si>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</si>
  <si>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</si>
  <si>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</si>
  <si>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</si>
  <si>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</si>
  <si>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</si>
  <si>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</si>
  <si>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</si>
  <si>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</si>
  <si>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</si>
  <si>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</si>
  <si>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</si>
  <si>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</si>
  <si>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</si>
  <si>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</si>
  <si>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</si>
  <si>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</si>
  <si>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</si>
  <si>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</si>
  <si>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</si>
  <si>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</si>
  <si>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</si>
  <si>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</si>
  <si>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</si>
  <si>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</si>
  <si>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</si>
  <si>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</si>
  <si>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</si>
  <si>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</si>
  <si>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</si>
  <si>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</si>
  <si>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</si>
  <si>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</si>
  <si>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</si>
  <si>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</si>
  <si>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</si>
  <si>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</si>
  <si>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</si>
  <si>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</si>
  <si>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</si>
  <si>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</si>
  <si>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</si>
  <si>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</si>
  <si>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</si>
  <si>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</si>
  <si>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</si>
  <si>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</si>
  <si>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</si>
  <si>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</si>
  <si>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</si>
  <si>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</si>
  <si>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</si>
  <si>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</si>
  <si>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</si>
  <si>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</si>
  <si>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</si>
  <si>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</si>
  <si>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</si>
  <si>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</si>
  <si>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</si>
  <si>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</si>
  <si>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</si>
  <si>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</si>
  <si>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</si>
  <si>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</si>
  <si>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</si>
  <si>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</si>
  <si>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</si>
  <si>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</si>
  <si>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</si>
  <si>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</si>
  <si>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</si>
  <si>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</si>
  <si>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</si>
  <si>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</si>
  <si>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</si>
  <si>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</si>
  <si>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</si>
  <si>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</si>
  <si>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</si>
  <si>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</si>
  <si>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</si>
  <si>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</si>
  <si>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</si>
  <si>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</si>
  <si>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</si>
  <si>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</si>
  <si>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</si>
  <si>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</si>
  <si>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</si>
  <si>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</si>
  <si>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</si>
  <si>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</si>
  <si>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</si>
  <si>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</si>
  <si>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</si>
  <si>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</si>
  <si>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</si>
  <si>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</si>
  <si>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</si>
  <si>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</si>
  <si>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</si>
  <si>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</si>
  <si>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</si>
  <si>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</si>
  <si>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</si>
  <si>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</si>
  <si>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</si>
  <si>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</si>
  <si>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</si>
  <si>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</si>
  <si>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</si>
  <si>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</si>
  <si>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</si>
  <si>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</si>
  <si>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</si>
  <si>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</si>
  <si>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</si>
  <si>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</si>
  <si>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</si>
  <si>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</si>
  <si>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</si>
  <si>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</si>
  <si>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</si>
  <si>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</si>
  <si>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</si>
  <si>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</si>
  <si>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</si>
  <si>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</si>
  <si>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</si>
  <si>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</si>
  <si>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</si>
  <si>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</si>
  <si>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</si>
  <si>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</si>
  <si>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</si>
  <si>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</si>
  <si>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</si>
  <si>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</si>
  <si>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</si>
  <si>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</si>
  <si>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</si>
  <si>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</si>
  <si>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</si>
  <si>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</si>
  <si>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</si>
  <si>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</si>
  <si>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</si>
  <si>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</si>
  <si>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</si>
  <si>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</si>
  <si>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</si>
  <si>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</si>
  <si>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</si>
  <si>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</si>
  <si>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</si>
  <si>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</si>
  <si>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</si>
  <si>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</si>
  <si>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</si>
  <si>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</si>
  <si>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</si>
  <si>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</si>
  <si>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</si>
  <si>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</si>
  <si>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</si>
  <si>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</si>
  <si>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</si>
  <si>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</si>
  <si>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</si>
  <si>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</si>
  <si>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</si>
  <si>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</si>
  <si>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</si>
  <si>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</si>
  <si>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</si>
  <si>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</si>
  <si>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</si>
  <si>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</si>
  <si>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</si>
  <si>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</si>
  <si>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</si>
  <si>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</si>
  <si>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</si>
  <si>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</si>
  <si>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</si>
  <si>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</si>
  <si>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</si>
  <si>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</si>
  <si>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</si>
  <si>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</si>
  <si>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</si>
  <si>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</si>
  <si>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</si>
  <si>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</si>
  <si>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</si>
  <si>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</si>
  <si>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</si>
  <si>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</si>
  <si>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</si>
  <si>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</si>
  <si>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</si>
  <si>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</si>
  <si>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</si>
  <si>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</si>
  <si>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</si>
  <si>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</si>
  <si>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</si>
  <si>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</si>
  <si>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</si>
  <si>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</si>
  <si>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</si>
  <si>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</si>
  <si>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</si>
  <si>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</si>
  <si>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</si>
  <si>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</si>
  <si>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</si>
  <si>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</si>
  <si>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</si>
  <si>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</si>
  <si>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</si>
  <si>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</si>
  <si>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</si>
  <si>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</si>
  <si>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</si>
  <si>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</si>
  <si>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</si>
  <si>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</si>
  <si>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</si>
  <si>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</si>
  <si>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</si>
  <si>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</si>
  <si>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</si>
  <si>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</si>
  <si>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</si>
  <si>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</si>
  <si>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0086323985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</si>
  <si>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</si>
  <si>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</si>
  <si>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</si>
  <si>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</si>
  <si>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</si>
  <si>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</si>
  <si>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</si>
  <si>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</si>
  <si>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</si>
  <si>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</si>
  <si>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</si>
  <si>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</si>
  <si>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</si>
  <si>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</si>
  <si>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</si>
  <si>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</si>
  <si>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</si>
  <si>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</si>
  <si>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</si>
  <si>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</si>
  <si>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</si>
  <si>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</si>
  <si>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</si>
  <si>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</si>
  <si>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</si>
  <si>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</si>
  <si>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</si>
  <si>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</si>
  <si>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</si>
  <si>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</si>
  <si>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</si>
  <si>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</si>
  <si>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</si>
  <si>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</si>
  <si>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</si>
  <si>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</si>
  <si>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</si>
  <si>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</si>
  <si>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</si>
  <si>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</si>
  <si>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</si>
  <si>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</si>
  <si>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</si>
  <si>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</si>
  <si>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</si>
  <si>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</si>
  <si>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</si>
  <si>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</si>
  <si>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</si>
  <si>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</si>
  <si>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</si>
  <si>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</si>
  <si>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</si>
  <si>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</si>
  <si>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</si>
  <si>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</si>
  <si>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</si>
  <si>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</si>
  <si>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</si>
  <si>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</si>
  <si>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</si>
  <si>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</si>
  <si>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</si>
  <si>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</si>
  <si>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</si>
  <si>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</si>
  <si>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</si>
  <si>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</si>
  <si>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</si>
  <si>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</si>
  <si>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</si>
  <si>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</si>
  <si>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</si>
  <si>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</si>
  <si>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</si>
  <si>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</si>
  <si>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</si>
  <si>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</si>
  <si>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</si>
  <si>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</si>
  <si>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</si>
  <si>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</si>
  <si>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</si>
  <si>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</si>
  <si>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</si>
  <si>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</si>
  <si>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</si>
  <si>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</si>
  <si>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</si>
  <si>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</si>
  <si>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</si>
  <si>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</si>
  <si>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</si>
  <si>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</si>
  <si>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</si>
  <si>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</si>
  <si>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</si>
  <si>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</si>
  <si>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</si>
  <si>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</si>
  <si>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</si>
  <si>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</si>
  <si>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</si>
  <si>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</si>
  <si>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</si>
  <si>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</si>
  <si>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</si>
  <si>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</si>
  <si>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</si>
  <si>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</si>
  <si>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</si>
  <si>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</si>
  <si>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</si>
  <si>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</si>
  <si>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</si>
  <si>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</si>
  <si>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</si>
  <si>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</si>
  <si>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</si>
  <si>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</si>
  <si>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</si>
  <si>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</si>
  <si>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</si>
  <si>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</si>
  <si>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</si>
  <si>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</si>
  <si>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</si>
  <si>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</si>
  <si>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</si>
  <si>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</si>
  <si>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</si>
  <si>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</si>
  <si>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</si>
  <si>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</si>
  <si>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</si>
  <si>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</si>
  <si>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</si>
  <si>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</si>
  <si>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</si>
  <si>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</si>
  <si>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</si>
  <si>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</si>
  <si>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</si>
  <si>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</si>
  <si>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</si>
  <si>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</si>
  <si>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</si>
  <si>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</si>
  <si>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</si>
  <si>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</si>
  <si>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</si>
  <si>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</si>
  <si>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</si>
  <si>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</si>
  <si>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</si>
  <si>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</si>
  <si>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</si>
  <si>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</si>
  <si>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</si>
  <si>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</si>
  <si>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</si>
  <si>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</si>
  <si>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</si>
  <si>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</si>
  <si>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</si>
  <si>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</si>
  <si>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</si>
  <si>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</si>
  <si>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</si>
  <si>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</si>
  <si>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</si>
  <si>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</si>
  <si>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</si>
  <si>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</si>
  <si>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</si>
  <si>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</si>
  <si>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</si>
  <si>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</si>
  <si>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</si>
  <si>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</si>
  <si>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</si>
  <si>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</si>
  <si>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</si>
  <si>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</si>
  <si>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</si>
  <si>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</si>
  <si>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</si>
  <si>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</si>
  <si>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</si>
  <si>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</si>
  <si>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</si>
  <si>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</si>
  <si>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</si>
  <si>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</si>
  <si>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</si>
  <si>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</si>
  <si>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</si>
  <si>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</si>
  <si>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</si>
  <si>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</si>
  <si>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</si>
  <si>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</si>
  <si>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</si>
  <si>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</si>
  <si>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</si>
  <si>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</si>
  <si>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</si>
  <si>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</si>
  <si>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</si>
  <si>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</si>
  <si>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</si>
  <si>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</si>
  <si>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</si>
  <si>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</si>
  <si>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</si>
  <si>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</si>
  <si>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</si>
  <si>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</si>
  <si>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</si>
  <si>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</si>
  <si>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</si>
  <si>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</si>
  <si>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</si>
  <si>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</si>
  <si>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</si>
  <si>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</si>
  <si>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</si>
  <si>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</si>
  <si>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</si>
  <si>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</si>
  <si>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</si>
  <si>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</si>
  <si>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</si>
  <si>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</si>
  <si>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</si>
  <si>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</si>
  <si>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</si>
  <si>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</si>
  <si>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</si>
  <si>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</si>
  <si>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</si>
  <si>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</si>
  <si>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</si>
  <si>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</si>
  <si>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</si>
  <si>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</si>
  <si>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</si>
  <si>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</si>
  <si>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</si>
  <si>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</si>
  <si>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</si>
  <si>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</si>
  <si>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</si>
  <si>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</si>
  <si>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</si>
  <si>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</si>
  <si>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</si>
  <si>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</si>
  <si>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</si>
  <si>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</si>
  <si>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</si>
  <si>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</si>
  <si>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</si>
  <si>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</si>
  <si>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</si>
  <si>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</si>
  <si>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</si>
  <si>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</si>
  <si>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</si>
  <si>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</si>
  <si>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</si>
  <si>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</si>
  <si>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</si>
  <si>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</si>
  <si>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</si>
  <si>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</si>
  <si>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</si>
  <si>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</si>
  <si>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</si>
  <si>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</si>
  <si>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</si>
  <si>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</si>
  <si>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</si>
  <si>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</si>
  <si>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</si>
  <si>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</si>
  <si>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</si>
  <si>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</si>
  <si>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</si>
  <si>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</si>
  <si>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</si>
  <si>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</si>
  <si>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</si>
  <si>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</si>
  <si>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</si>
  <si>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</si>
  <si>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</si>
  <si>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</si>
  <si>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</si>
  <si>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</si>
  <si>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</si>
  <si>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</si>
  <si>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</si>
  <si>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</si>
  <si>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</si>
  <si>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</si>
  <si>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</si>
  <si>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</si>
  <si>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</si>
  <si>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</si>
  <si>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</si>
  <si>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</si>
  <si>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</si>
  <si>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</si>
  <si>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</si>
  <si>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</si>
  <si>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</si>
  <si>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</si>
  <si>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</si>
  <si>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</si>
  <si>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</si>
  <si>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</si>
  <si>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</si>
  <si>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</si>
  <si>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</si>
  <si>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</si>
  <si>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</si>
  <si>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</si>
  <si>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</si>
  <si>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</si>
  <si>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</si>
  <si>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</si>
  <si>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</si>
  <si>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</si>
  <si>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</si>
  <si>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</si>
  <si>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</si>
  <si>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</si>
  <si>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</si>
  <si>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</si>
  <si>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</si>
  <si>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</si>
  <si>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</si>
  <si>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</si>
  <si>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</si>
  <si>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</si>
  <si>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</si>
  <si>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</si>
  <si>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</si>
  <si>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</si>
  <si>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</si>
  <si>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</si>
  <si>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</si>
  <si>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</si>
  <si>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</si>
  <si>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</si>
  <si>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</si>
  <si>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</si>
  <si>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</si>
  <si>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</si>
  <si>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</si>
  <si>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</si>
  <si>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</si>
  <si>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</si>
  <si>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</si>
  <si>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</si>
  <si>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</si>
  <si>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</si>
  <si>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</si>
  <si>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</si>
  <si>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</si>
  <si>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</si>
  <si>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</si>
  <si>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</si>
  <si>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</si>
  <si>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</si>
  <si>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</si>
  <si>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</si>
  <si>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</si>
  <si>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</si>
  <si>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</si>
  <si>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</si>
  <si>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</si>
  <si>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</si>
  <si>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</si>
  <si>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</si>
  <si>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</si>
  <si>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</si>
  <si>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</si>
  <si>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</si>
  <si>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</si>
  <si>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</si>
  <si>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</si>
  <si>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</si>
  <si>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</si>
  <si>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</si>
  <si>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200554684    N1250-4N4D011-BAG    5000KG   22037195      </t>
  </si>
  <si>
    <t xml:space="preserve">200545584    N1250-BK1066-BAG    5000KG   22040824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</si>
  <si>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</si>
  <si>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</si>
  <si>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</si>
  <si>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</si>
  <si>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</si>
  <si>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</si>
  <si>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</si>
  <si>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</si>
  <si>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</si>
  <si>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</si>
  <si>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</si>
  <si>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</si>
  <si>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</si>
  <si>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</si>
  <si>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</si>
  <si>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</si>
  <si>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</si>
  <si>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</si>
  <si>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</si>
  <si>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</si>
  <si>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</si>
  <si>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</si>
  <si>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</si>
  <si>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</si>
  <si>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</si>
  <si>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</si>
  <si>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</si>
  <si>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</si>
  <si>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</si>
  <si>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</si>
  <si>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</si>
  <si>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</si>
  <si>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</si>
  <si>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</si>
  <si>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</si>
  <si>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</si>
  <si>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</si>
  <si>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</si>
  <si>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</si>
  <si>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</si>
  <si>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</si>
  <si>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</si>
  <si>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</si>
  <si>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</si>
  <si>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</si>
  <si>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</si>
  <si>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</si>
  <si>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</si>
  <si>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</si>
  <si>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</si>
  <si>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</si>
  <si>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</si>
  <si>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</si>
  <si>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</si>
  <si>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</si>
  <si>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</si>
  <si>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</si>
  <si>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</si>
  <si>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</si>
  <si>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</si>
  <si>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</si>
  <si>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</si>
  <si>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</si>
  <si>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</si>
  <si>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</si>
  <si>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</si>
  <si>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</si>
  <si>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</si>
  <si>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</si>
  <si>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</si>
  <si>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</si>
  <si>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</si>
  <si>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</si>
  <si>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</si>
  <si>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</si>
  <si>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</si>
  <si>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</si>
  <si>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</si>
  <si>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</si>
  <si>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</si>
  <si>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</si>
  <si>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</si>
  <si>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</si>
  <si>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</si>
  <si>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</si>
  <si>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</si>
  <si>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</si>
  <si>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</si>
  <si>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</si>
  <si>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</si>
  <si>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</si>
  <si>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</si>
  <si>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</si>
  <si>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</si>
  <si>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</si>
  <si>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</si>
  <si>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</si>
  <si>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</si>
  <si>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</si>
  <si>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</si>
  <si>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</si>
  <si>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</si>
  <si>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</si>
  <si>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</si>
  <si>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</si>
  <si>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</si>
  <si>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</si>
  <si>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</si>
  <si>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</si>
  <si>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</si>
  <si>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</si>
  <si>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</si>
  <si>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</si>
  <si>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</si>
  <si>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</si>
  <si>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</si>
  <si>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</si>
  <si>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</si>
  <si>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</si>
  <si>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</si>
  <si>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</si>
  <si>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</si>
  <si>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</si>
  <si>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</si>
  <si>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</si>
  <si>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</si>
  <si>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</si>
  <si>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</si>
  <si>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</si>
  <si>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</si>
  <si>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</si>
  <si>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</si>
  <si>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</si>
  <si>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</si>
  <si>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</si>
  <si>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</si>
  <si>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</si>
  <si>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</si>
  <si>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</si>
  <si>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</si>
  <si>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</si>
  <si>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</si>
  <si>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</si>
  <si>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</si>
  <si>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</si>
  <si>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</si>
  <si>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</si>
  <si>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</si>
  <si>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</si>
  <si>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</si>
  <si>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</si>
  <si>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</si>
  <si>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</si>
  <si>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</si>
  <si>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</si>
  <si>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</si>
  <si>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</si>
  <si>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</si>
  <si>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</si>
  <si>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</si>
  <si>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</si>
  <si>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</si>
  <si>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</si>
  <si>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</si>
  <si>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</si>
  <si>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</si>
  <si>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</si>
  <si>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</si>
  <si>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</si>
  <si>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</si>
  <si>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</si>
  <si>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</si>
  <si>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</si>
  <si>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</si>
  <si>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</si>
  <si>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</si>
  <si>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</si>
  <si>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</si>
  <si>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</si>
  <si>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</si>
  <si>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</si>
  <si>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</si>
  <si>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</si>
  <si>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</si>
  <si>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</si>
  <si>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</si>
  <si>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</si>
  <si>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</si>
  <si>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</si>
  <si>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</si>
  <si>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</si>
  <si>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</si>
  <si>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</si>
  <si>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</si>
  <si>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</si>
  <si>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</si>
  <si>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</si>
  <si>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</si>
  <si>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</si>
  <si>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</si>
  <si>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</si>
  <si>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</si>
  <si>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</si>
  <si>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</si>
  <si>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</si>
  <si>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</si>
  <si>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</si>
  <si>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</si>
  <si>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</si>
  <si>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</si>
  <si>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</si>
  <si>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</si>
  <si>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</si>
  <si>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</si>
  <si>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</si>
  <si>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</si>
  <si>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</si>
  <si>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</si>
  <si>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</si>
  <si>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</si>
  <si>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</si>
  <si>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</si>
  <si>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</si>
  <si>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</si>
  <si>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</si>
  <si>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</si>
  <si>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</si>
  <si>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</si>
  <si>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</si>
  <si>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</si>
  <si>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</si>
  <si>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</si>
  <si>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</si>
  <si>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</si>
  <si>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</si>
  <si>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</si>
  <si>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</si>
  <si>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 xml:space="preserve">95455774    940A-116-BAG    20000KG   22022020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</si>
  <si>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</si>
  <si>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</si>
  <si>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</si>
  <si>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</si>
  <si>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</si>
  <si>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</si>
  <si>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</si>
  <si>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</si>
  <si>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</si>
  <si>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</si>
  <si>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</si>
  <si>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</si>
  <si>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</si>
  <si>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</si>
  <si>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</si>
  <si>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</si>
  <si>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</si>
  <si>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</si>
  <si>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</si>
  <si>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</si>
  <si>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</si>
  <si>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</si>
  <si>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</si>
  <si>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</si>
  <si>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</si>
  <si>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</si>
  <si>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</si>
  <si>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</si>
  <si>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</si>
  <si>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</si>
  <si>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</si>
  <si>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</si>
  <si>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</si>
  <si>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</si>
  <si>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</si>
  <si>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</si>
  <si>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</si>
  <si>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</si>
  <si>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</si>
  <si>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</si>
  <si>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</si>
  <si>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</si>
  <si>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</si>
  <si>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</si>
  <si>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</si>
  <si>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</si>
  <si>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</si>
  <si>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</si>
  <si>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</si>
  <si>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</si>
  <si>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</si>
  <si>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</si>
  <si>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</si>
  <si>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</si>
  <si>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</si>
  <si>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</si>
  <si>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</si>
  <si>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</si>
  <si>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</si>
  <si>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</si>
  <si>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</si>
  <si>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</si>
  <si>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</si>
  <si>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</si>
  <si>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</si>
  <si>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</si>
  <si>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</si>
  <si>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</si>
  <si>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</si>
  <si>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</si>
  <si>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</si>
  <si>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</si>
  <si>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</si>
  <si>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</si>
  <si>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</si>
  <si>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</si>
  <si>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</si>
  <si>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</si>
  <si>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</si>
  <si>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</si>
  <si>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</si>
  <si>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</si>
  <si>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</si>
  <si>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</si>
  <si>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</si>
  <si>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</si>
  <si>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</si>
  <si>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</si>
  <si>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</si>
  <si>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</si>
  <si>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</si>
  <si>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</si>
  <si>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</si>
  <si>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</si>
  <si>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</si>
  <si>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</si>
  <si>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</si>
  <si>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</si>
  <si>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</si>
  <si>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</si>
  <si>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</si>
  <si>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</si>
  <si>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</si>
  <si>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</si>
  <si>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</si>
  <si>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</si>
  <si>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</si>
  <si>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</si>
  <si>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</si>
  <si>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</si>
  <si>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</si>
  <si>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</si>
  <si>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</si>
  <si>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</si>
  <si>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</si>
  <si>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</si>
  <si>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</si>
  <si>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</si>
  <si>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</si>
  <si>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</si>
  <si>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</si>
  <si>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</si>
  <si>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</si>
  <si>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</si>
  <si>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</si>
  <si>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</si>
  <si>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</si>
  <si>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</si>
  <si>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</si>
  <si>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</si>
  <si>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</si>
  <si>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</si>
  <si>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</si>
  <si>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</si>
  <si>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</si>
  <si>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</si>
  <si>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</si>
  <si>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</si>
  <si>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</si>
  <si>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</si>
  <si>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</si>
  <si>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</si>
  <si>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</si>
  <si>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</si>
  <si>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</si>
  <si>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</si>
  <si>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</si>
  <si>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</si>
  <si>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</si>
  <si>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</si>
  <si>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</si>
  <si>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</si>
  <si>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</si>
  <si>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</si>
  <si>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</si>
  <si>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</si>
  <si>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</si>
  <si>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</si>
  <si>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</si>
  <si>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</si>
  <si>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</si>
  <si>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</si>
  <si>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</si>
  <si>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</si>
  <si>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</si>
  <si>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</si>
  <si>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</si>
  <si>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</si>
  <si>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</si>
  <si>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</si>
  <si>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</si>
  <si>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</si>
  <si>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</si>
  <si>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</si>
  <si>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</si>
  <si>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</si>
  <si>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</si>
  <si>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</si>
  <si>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</si>
  <si>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</si>
  <si>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</si>
  <si>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</si>
  <si>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</si>
  <si>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</si>
  <si>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</si>
  <si>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</si>
  <si>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</si>
  <si>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</si>
  <si>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</si>
  <si>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</si>
  <si>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</si>
  <si>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</si>
  <si>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</si>
  <si>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</si>
  <si>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</si>
  <si>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</si>
  <si>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</si>
  <si>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</si>
  <si>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</si>
  <si>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</si>
  <si>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</si>
  <si>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</si>
  <si>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</si>
  <si>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</si>
  <si>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</si>
  <si>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</si>
  <si>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</si>
  <si>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</si>
  <si>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</si>
  <si>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</si>
  <si>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</si>
  <si>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</si>
  <si>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</si>
  <si>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</si>
  <si>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</si>
  <si>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</si>
  <si>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</si>
  <si>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</si>
  <si>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</si>
  <si>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</si>
  <si>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</si>
  <si>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</si>
  <si>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</si>
  <si>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</si>
  <si>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</si>
  <si>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</si>
  <si>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</si>
  <si>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</si>
  <si>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</si>
  <si>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</si>
  <si>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</si>
  <si>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</si>
  <si>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</si>
  <si>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</si>
  <si>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</si>
  <si>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</si>
  <si>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</si>
  <si>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</si>
  <si>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</si>
  <si>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</si>
  <si>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</si>
  <si>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</si>
  <si>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</si>
  <si>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</si>
  <si>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</si>
  <si>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</si>
  <si>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</si>
  <si>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</si>
  <si>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</si>
  <si>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</si>
  <si>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</si>
  <si>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</si>
  <si>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</si>
  <si>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</si>
  <si>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</si>
  <si>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</si>
  <si>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</si>
  <si>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</si>
  <si>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</si>
  <si>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</si>
  <si>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</si>
  <si>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</si>
  <si>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</si>
  <si>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</si>
  <si>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</si>
  <si>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</si>
  <si>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</si>
  <si>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</si>
  <si>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</si>
  <si>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</si>
  <si>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</si>
  <si>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</si>
  <si>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</si>
  <si>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</si>
  <si>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</si>
  <si>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</si>
  <si>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</si>
  <si>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</si>
  <si>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</si>
  <si>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</si>
  <si>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</si>
  <si>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</si>
  <si>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</si>
  <si>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</si>
  <si>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</si>
  <si>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</si>
  <si>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</si>
  <si>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</si>
  <si>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</si>
  <si>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</si>
  <si>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</si>
  <si>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</si>
  <si>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</si>
  <si>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</si>
  <si>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</si>
  <si>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</si>
  <si>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</si>
  <si>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</si>
  <si>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</si>
  <si>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</si>
  <si>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</si>
  <si>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</si>
  <si>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</si>
  <si>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</si>
  <si>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</si>
  <si>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</si>
  <si>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</si>
  <si>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</si>
  <si>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</si>
  <si>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</si>
  <si>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</si>
  <si>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</si>
  <si>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</si>
  <si>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</si>
  <si>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</si>
  <si>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</si>
  <si>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</si>
  <si>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</si>
  <si>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</si>
  <si>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</si>
  <si>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</si>
  <si>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</si>
  <si>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</si>
  <si>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</si>
  <si>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</si>
  <si>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</si>
  <si>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</si>
  <si>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</si>
  <si>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</si>
  <si>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</si>
  <si>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</si>
  <si>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</si>
  <si>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</si>
  <si>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</si>
  <si>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</si>
  <si>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</si>
  <si>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</si>
  <si>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</si>
  <si>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</si>
  <si>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</si>
  <si>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</si>
  <si>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</si>
  <si>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</si>
  <si>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</si>
  <si>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</si>
  <si>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</si>
  <si>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</si>
  <si>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</si>
  <si>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</si>
  <si>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</si>
  <si>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</si>
  <si>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</si>
  <si>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</si>
  <si>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</si>
  <si>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</si>
  <si>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</si>
  <si>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</si>
  <si>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</si>
  <si>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</si>
  <si>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</si>
  <si>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</si>
  <si>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</si>
  <si>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</si>
  <si>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</si>
  <si>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</si>
  <si>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</si>
  <si>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</si>
  <si>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</si>
  <si>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</si>
  <si>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</si>
  <si>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</si>
  <si>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</si>
  <si>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</si>
  <si>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</si>
  <si>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</si>
  <si>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</si>
  <si>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</si>
  <si>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</si>
  <si>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</si>
  <si>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</si>
  <si>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</si>
  <si>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</si>
  <si>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</si>
  <si>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</si>
  <si>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</si>
  <si>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</si>
  <si>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</si>
  <si>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</si>
  <si>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</si>
  <si>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</si>
  <si>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</si>
  <si>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</si>
  <si>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</si>
  <si>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</si>
  <si>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</si>
  <si>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</si>
  <si>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</si>
  <si>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</si>
  <si>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</si>
  <si>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</si>
  <si>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</si>
  <si>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</si>
  <si>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</si>
  <si>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</si>
  <si>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</si>
  <si>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</si>
  <si>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</si>
  <si>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</si>
  <si>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</si>
  <si>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</si>
  <si>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</si>
  <si>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</si>
  <si>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</si>
  <si>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</si>
  <si>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</si>
  <si>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</si>
  <si>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</si>
  <si>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</si>
  <si>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</si>
  <si>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</si>
  <si>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</si>
  <si>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</si>
  <si>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</si>
  <si>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</si>
  <si>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</si>
  <si>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</si>
  <si>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</si>
  <si>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</si>
  <si>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</si>
  <si>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</si>
  <si>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</si>
  <si>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</si>
  <si>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</si>
  <si>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</si>
  <si>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</si>
  <si>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</si>
  <si>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</si>
  <si>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</si>
  <si>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</si>
  <si>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</si>
  <si>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</si>
  <si>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</si>
  <si>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</si>
  <si>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</si>
  <si>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</si>
  <si>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</si>
  <si>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</si>
  <si>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</si>
  <si>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</si>
  <si>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</si>
  <si>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</si>
  <si>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</si>
  <si>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</si>
  <si>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</si>
  <si>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</si>
  <si>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</si>
  <si>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</si>
  <si>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</si>
  <si>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</si>
  <si>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</si>
  <si>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</si>
  <si>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</si>
  <si>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</si>
  <si>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</si>
  <si>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</si>
  <si>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</si>
  <si>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</si>
  <si>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</si>
  <si>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</si>
  <si>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</si>
  <si>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</si>
  <si>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</si>
  <si>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</si>
  <si>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</si>
  <si>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</si>
  <si>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</si>
  <si>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</si>
  <si>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</si>
  <si>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</si>
  <si>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</si>
  <si>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</si>
  <si>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</si>
  <si>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</si>
  <si>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</si>
  <si>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</si>
  <si>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</si>
  <si>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</si>
  <si>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</si>
  <si>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</si>
  <si>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</si>
  <si>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</si>
  <si>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</si>
  <si>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</si>
  <si>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</si>
  <si>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</si>
  <si>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</si>
  <si>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</si>
  <si>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</si>
  <si>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</si>
  <si>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</si>
  <si>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</si>
  <si>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</si>
  <si>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</si>
  <si>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</si>
  <si>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</si>
  <si>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</si>
  <si>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</si>
  <si>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</si>
  <si>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</si>
  <si>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</si>
  <si>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</si>
  <si>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</si>
  <si>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</si>
  <si>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</si>
  <si>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</si>
  <si>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</si>
  <si>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</si>
  <si>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</si>
  <si>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</si>
  <si>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</si>
  <si>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</si>
  <si>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</si>
  <si>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</si>
  <si>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</si>
  <si>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</si>
  <si>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</si>
  <si>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</si>
  <si>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</si>
  <si>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</si>
  <si>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</si>
  <si>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</si>
  <si>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</si>
  <si>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</si>
  <si>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</si>
  <si>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</si>
  <si>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</si>
  <si>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</si>
  <si>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</si>
  <si>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</si>
  <si>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</si>
  <si>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</si>
  <si>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</si>
  <si>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</si>
  <si>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</si>
  <si>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</si>
  <si>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</si>
  <si>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</si>
  <si>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</si>
  <si>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</si>
  <si>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</si>
  <si>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</si>
  <si>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</si>
  <si>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</si>
  <si>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</si>
  <si>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</si>
  <si>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</si>
  <si>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</si>
  <si>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</si>
  <si>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</si>
  <si>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</si>
  <si>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</si>
  <si>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</si>
  <si>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</si>
  <si>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</si>
  <si>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</si>
  <si>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</si>
  <si>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</si>
  <si>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</si>
  <si>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</si>
  <si>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</si>
  <si>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</si>
  <si>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</si>
  <si>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</si>
  <si>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</si>
  <si>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</si>
  <si>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</si>
  <si>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</si>
  <si>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</si>
  <si>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</si>
  <si>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</si>
  <si>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</si>
  <si>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</si>
  <si>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</si>
  <si>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</si>
  <si>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</si>
  <si>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</si>
  <si>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</si>
  <si>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</si>
  <si>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</si>
  <si>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</si>
  <si>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</si>
  <si>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</si>
  <si>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</si>
  <si>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</si>
  <si>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</si>
  <si>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</si>
  <si>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</si>
  <si>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</si>
  <si>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</si>
  <si>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</si>
  <si>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</si>
  <si>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</si>
  <si>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</si>
  <si>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</si>
  <si>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</si>
  <si>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</si>
  <si>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</si>
  <si>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</si>
  <si>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</si>
  <si>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</si>
  <si>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</si>
  <si>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</si>
  <si>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</si>
  <si>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</si>
  <si>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</si>
  <si>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</si>
  <si>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</si>
  <si>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</si>
  <si>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</si>
  <si>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</si>
  <si>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</si>
  <si>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</si>
  <si>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</si>
  <si>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</si>
  <si>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</si>
  <si>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</si>
  <si>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</si>
  <si>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</si>
  <si>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</si>
  <si>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</si>
  <si>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</si>
  <si>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</si>
  <si>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</si>
  <si>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</si>
  <si>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</si>
  <si>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</si>
  <si>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</si>
  <si>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</si>
  <si>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</si>
  <si>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</si>
  <si>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</si>
  <si>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</si>
  <si>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</si>
  <si>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</si>
  <si>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</si>
  <si>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</si>
  <si>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</si>
  <si>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</si>
  <si>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</si>
  <si>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</si>
  <si>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</si>
  <si>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</si>
  <si>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</si>
  <si>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</si>
  <si>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</si>
  <si>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</si>
  <si>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</si>
  <si>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</si>
  <si>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</si>
  <si>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</si>
  <si>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</si>
  <si>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</si>
  <si>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</si>
  <si>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</si>
  <si>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</si>
  <si>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</si>
  <si>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</si>
  <si>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</si>
  <si>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</si>
  <si>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</si>
  <si>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</si>
  <si>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</si>
  <si>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</si>
  <si>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</si>
  <si>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</si>
  <si>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</si>
  <si>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</si>
  <si>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</si>
  <si>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</si>
  <si>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</si>
  <si>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</si>
  <si>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</si>
  <si>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</si>
  <si>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</si>
  <si>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</si>
  <si>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</si>
  <si>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</si>
  <si>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</si>
  <si>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</si>
  <si>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</si>
  <si>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</si>
  <si>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</si>
  <si>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</si>
  <si>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</si>
  <si>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</si>
  <si>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</si>
  <si>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</si>
  <si>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</si>
  <si>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</si>
  <si>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</si>
  <si>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</si>
  <si>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</si>
  <si>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</si>
  <si>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</si>
  <si>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</si>
  <si>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</si>
  <si>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</si>
  <si>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</si>
  <si>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</si>
  <si>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</si>
  <si>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</si>
  <si>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</si>
  <si>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</si>
  <si>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</si>
  <si>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</si>
  <si>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</si>
  <si>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</si>
  <si>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</si>
  <si>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</si>
  <si>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</si>
  <si>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</si>
  <si>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</si>
  <si>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</si>
  <si>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</si>
  <si>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</si>
  <si>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</si>
  <si>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</si>
  <si>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</si>
  <si>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</si>
  <si>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</si>
  <si>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</si>
  <si>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</si>
  <si>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</si>
  <si>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</si>
  <si>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</si>
  <si>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</si>
  <si>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</si>
  <si>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</si>
  <si>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</si>
  <si>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</si>
  <si>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</si>
  <si>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</si>
  <si>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</si>
  <si>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</si>
  <si>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</si>
  <si>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</si>
  <si>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</si>
  <si>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</si>
  <si>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</si>
  <si>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</si>
  <si>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</si>
  <si>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</si>
  <si>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</si>
  <si>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</si>
  <si>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</si>
  <si>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</si>
  <si>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</si>
  <si>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</si>
  <si>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</si>
  <si>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</si>
  <si>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</si>
  <si>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</si>
  <si>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</si>
  <si>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</si>
  <si>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</si>
  <si>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</si>
  <si>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</si>
  <si>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</si>
  <si>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</si>
  <si>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</si>
  <si>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</si>
  <si>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</si>
  <si>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</si>
  <si>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</si>
  <si>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</si>
  <si>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</si>
  <si>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</si>
  <si>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</si>
  <si>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</si>
  <si>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</si>
  <si>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</si>
  <si>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</si>
  <si>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</si>
  <si>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</si>
  <si>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</si>
  <si>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</si>
  <si>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</si>
  <si>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</si>
  <si>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</si>
  <si>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</si>
  <si>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</si>
  <si>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</si>
  <si>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</si>
  <si>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</si>
  <si>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</si>
  <si>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</si>
  <si>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</si>
  <si>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</si>
  <si>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</si>
  <si>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</si>
  <si>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</si>
  <si>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</si>
  <si>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</si>
  <si>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</si>
  <si>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</si>
  <si>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</si>
  <si>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</si>
  <si>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</si>
  <si>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</si>
  <si>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</si>
  <si>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</si>
  <si>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</si>
  <si>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</si>
  <si>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</si>
  <si>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</si>
  <si>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</si>
  <si>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</si>
  <si>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</si>
  <si>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</si>
  <si>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</si>
  <si>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</si>
  <si>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</si>
  <si>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</si>
  <si>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</si>
  <si>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</si>
  <si>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</si>
  <si>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</si>
  <si>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</si>
  <si>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</si>
  <si>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</si>
  <si>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</si>
  <si>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</si>
  <si>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</si>
  <si>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</si>
  <si>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</si>
  <si>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</si>
  <si>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</si>
  <si>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</si>
  <si>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</si>
  <si>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</si>
  <si>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</si>
  <si>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</si>
  <si>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</si>
  <si>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</si>
  <si>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</si>
  <si>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</si>
  <si>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</si>
  <si>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</si>
  <si>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</si>
  <si>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</si>
  <si>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</si>
  <si>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</si>
  <si>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</si>
  <si>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</si>
  <si>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</si>
  <si>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</si>
  <si>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</si>
  <si>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</si>
  <si>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</si>
  <si>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</si>
  <si>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</si>
  <si>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</si>
  <si>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</si>
  <si>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</si>
  <si>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</si>
  <si>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</si>
  <si>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</si>
  <si>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</si>
  <si>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</si>
  <si>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</si>
  <si>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</si>
  <si>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</si>
  <si>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</si>
  <si>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</si>
  <si>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</si>
  <si>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</si>
  <si>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</si>
  <si>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</si>
  <si>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</si>
  <si>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</si>
  <si>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</si>
  <si>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</si>
  <si>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</si>
  <si>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</si>
  <si>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</si>
  <si>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</si>
  <si>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</si>
  <si>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</si>
  <si>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</si>
  <si>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</si>
  <si>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</si>
  <si>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</si>
  <si>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</si>
  <si>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</si>
  <si>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</si>
  <si>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</si>
  <si>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</si>
  <si>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</si>
  <si>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</si>
  <si>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</si>
  <si>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</si>
  <si>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</si>
  <si>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</si>
  <si>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</si>
  <si>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</si>
  <si>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</si>
  <si>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</si>
  <si>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</si>
  <si>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</si>
  <si>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</si>
  <si>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</si>
  <si>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</si>
  <si>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</si>
  <si>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</si>
  <si>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</si>
  <si>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</si>
  <si>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</si>
  <si>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</si>
  <si>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</si>
  <si>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</si>
  <si>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</si>
  <si>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</si>
  <si>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</si>
  <si>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</si>
  <si>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</si>
  <si>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</si>
  <si>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</si>
  <si>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</si>
  <si>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</si>
  <si>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</si>
  <si>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</si>
  <si>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</si>
  <si>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</si>
  <si>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</si>
  <si>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</si>
  <si>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</si>
  <si>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</si>
  <si>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</si>
  <si>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</si>
  <si>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</si>
  <si>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</si>
  <si>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</si>
  <si>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</si>
  <si>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</si>
  <si>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</si>
  <si>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</si>
  <si>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</si>
  <si>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</si>
  <si>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</si>
  <si>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</si>
  <si>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</si>
  <si>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</si>
  <si>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</si>
  <si>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</si>
  <si>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</si>
  <si>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</si>
  <si>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</si>
  <si>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</si>
  <si>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</si>
  <si>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</si>
  <si>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</si>
  <si>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</si>
  <si>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</si>
  <si>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</si>
  <si>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</si>
  <si>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</si>
  <si>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</si>
  <si>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</si>
  <si>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</si>
  <si>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</si>
  <si>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</si>
  <si>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</si>
  <si>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</si>
  <si>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</si>
  <si>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</si>
  <si>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</si>
  <si>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</si>
  <si>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</si>
  <si>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</si>
  <si>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</si>
  <si>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</si>
  <si>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</si>
  <si>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</si>
  <si>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</si>
  <si>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</si>
  <si>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</si>
  <si>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</si>
  <si>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</si>
  <si>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</si>
  <si>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</si>
  <si>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</si>
  <si>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</si>
  <si>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</si>
  <si>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</si>
  <si>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</si>
  <si>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</si>
  <si>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</si>
  <si>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</si>
  <si>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</si>
  <si>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</si>
  <si>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</si>
  <si>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</si>
  <si>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</si>
  <si>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</si>
  <si>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</si>
  <si>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</si>
  <si>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</si>
  <si>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</si>
  <si>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</si>
  <si>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</si>
  <si>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</si>
  <si>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</si>
  <si>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</si>
  <si>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</si>
  <si>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</si>
  <si>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</si>
  <si>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</si>
  <si>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</si>
  <si>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</si>
  <si>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</si>
  <si>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</si>
  <si>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</si>
  <si>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</si>
  <si>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</si>
  <si>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</si>
  <si>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</si>
  <si>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</si>
  <si>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</si>
  <si>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</si>
  <si>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</si>
  <si>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</si>
  <si>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</si>
  <si>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</si>
  <si>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</si>
  <si>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</si>
  <si>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</si>
  <si>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</si>
  <si>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</si>
  <si>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</si>
  <si>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</si>
  <si>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</si>
  <si>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</si>
  <si>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</si>
  <si>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</si>
  <si>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</si>
  <si>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</si>
  <si>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</si>
  <si>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</si>
  <si>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</si>
  <si>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</si>
  <si>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</si>
  <si>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</si>
  <si>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</si>
  <si>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</si>
  <si>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</si>
  <si>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</si>
  <si>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</si>
  <si>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</si>
  <si>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</si>
  <si>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</si>
  <si>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</si>
  <si>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</si>
  <si>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</si>
  <si>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</si>
  <si>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</si>
  <si>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</si>
  <si>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</si>
  <si>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</si>
  <si>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</si>
  <si>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</si>
  <si>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</si>
  <si>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</si>
  <si>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</si>
  <si>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</si>
  <si>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</si>
  <si>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</si>
  <si>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</si>
  <si>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</si>
  <si>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</si>
  <si>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</si>
  <si>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</si>
  <si>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</si>
  <si>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</si>
  <si>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</si>
  <si>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</si>
  <si>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</si>
  <si>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</si>
  <si>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</si>
  <si>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</si>
  <si>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</si>
  <si>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</si>
  <si>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</si>
  <si>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</si>
  <si>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</si>
  <si>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</si>
  <si>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</si>
  <si>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</si>
  <si>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</si>
  <si>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</si>
  <si>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</si>
  <si>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</si>
  <si>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</si>
  <si>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</si>
  <si>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</si>
  <si>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</si>
  <si>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</si>
  <si>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</si>
  <si>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</si>
  <si>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</si>
  <si>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</si>
  <si>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</si>
  <si>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</si>
  <si>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</si>
  <si>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</si>
  <si>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</si>
  <si>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</si>
  <si>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</si>
  <si>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</si>
  <si>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</si>
  <si>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</si>
  <si>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</si>
  <si>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</si>
  <si>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</si>
  <si>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</si>
  <si>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</si>
  <si>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</si>
  <si>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</si>
  <si>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</si>
  <si>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</si>
  <si>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</si>
  <si>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</si>
  <si>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</si>
  <si>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</si>
  <si>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</si>
  <si>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</si>
  <si>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</si>
  <si>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</si>
  <si>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</si>
  <si>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</si>
  <si>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</si>
  <si>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</si>
  <si>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</si>
  <si>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</si>
  <si>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</si>
  <si>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</si>
  <si>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</si>
  <si>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</si>
  <si>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</si>
  <si>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</si>
  <si>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</si>
  <si>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</si>
  <si>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</si>
  <si>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</si>
  <si>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</si>
  <si>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</si>
  <si>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</si>
  <si>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</si>
  <si>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</si>
  <si>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</si>
  <si>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</si>
  <si>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</si>
  <si>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</si>
  <si>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</si>
  <si>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</si>
  <si>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</si>
  <si>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</si>
  <si>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</si>
  <si>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</si>
  <si>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</si>
  <si>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</si>
  <si>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</si>
  <si>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</si>
  <si>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</si>
  <si>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</si>
  <si>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</si>
  <si>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</si>
  <si>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</si>
  <si>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</si>
  <si>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</si>
  <si>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</si>
  <si>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</si>
  <si>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</si>
  <si>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</si>
  <si>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</si>
  <si>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</si>
  <si>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</si>
  <si>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</si>
  <si>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</si>
  <si>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</si>
  <si>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</si>
  <si>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</si>
  <si>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</si>
  <si>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</si>
  <si>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</si>
  <si>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</si>
  <si>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</si>
  <si>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</si>
  <si>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</si>
  <si>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</si>
  <si>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</si>
  <si>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</si>
  <si>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</si>
  <si>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</si>
  <si>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</si>
  <si>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</si>
  <si>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</si>
  <si>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</si>
  <si>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</si>
  <si>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</si>
  <si>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</si>
  <si>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</si>
  <si>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</si>
  <si>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</si>
  <si>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</si>
  <si>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</si>
  <si>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</si>
  <si>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</si>
  <si>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</si>
  <si>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</si>
  <si>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</si>
  <si>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</si>
  <si>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</si>
  <si>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</si>
  <si>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</si>
  <si>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</si>
  <si>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</si>
  <si>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</si>
  <si>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</si>
  <si>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</si>
  <si>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</si>
  <si>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</si>
  <si>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</si>
  <si>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</si>
  <si>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</si>
  <si>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</si>
  <si>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</si>
  <si>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</si>
  <si>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</si>
  <si>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</si>
  <si>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</si>
  <si>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</si>
  <si>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</si>
  <si>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</si>
  <si>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</si>
  <si>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</si>
  <si>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</si>
  <si>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</si>
  <si>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</si>
  <si>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</si>
  <si>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</si>
  <si>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</si>
  <si>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</si>
  <si>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</si>
  <si>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</si>
  <si>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</si>
  <si>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</si>
  <si>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</si>
  <si>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</si>
  <si>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</si>
  <si>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</si>
  <si>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</si>
  <si>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</si>
  <si>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</si>
  <si>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</si>
  <si>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</si>
  <si>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</si>
  <si>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</si>
  <si>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</si>
  <si>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</si>
  <si>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</si>
  <si>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</si>
  <si>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</si>
  <si>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</si>
  <si>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</si>
  <si>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</si>
  <si>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</si>
  <si>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</si>
  <si>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</si>
  <si>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</si>
  <si>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</si>
  <si>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</si>
  <si>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</si>
  <si>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</si>
  <si>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</si>
  <si>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</si>
  <si>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</si>
  <si>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</si>
  <si>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</si>
  <si>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</si>
  <si>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</si>
  <si>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</si>
  <si>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</si>
  <si>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</si>
  <si>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</si>
  <si>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</si>
  <si>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</si>
  <si>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</si>
  <si>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</si>
  <si>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</si>
  <si>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</si>
  <si>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</si>
  <si>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</si>
  <si>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</si>
  <si>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</si>
  <si>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</si>
  <si>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</si>
  <si>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</si>
  <si>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</si>
  <si>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</si>
  <si>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</si>
  <si>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</si>
  <si>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</si>
  <si>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</si>
  <si>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</si>
  <si>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</si>
  <si>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</si>
  <si>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</si>
  <si>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</si>
  <si>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</si>
  <si>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</si>
  <si>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</si>
  <si>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</si>
  <si>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</si>
  <si>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</si>
  <si>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</si>
  <si>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</si>
  <si>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</si>
  <si>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</si>
  <si>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</si>
  <si>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</si>
  <si>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</si>
  <si>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</si>
  <si>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</si>
  <si>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</si>
  <si>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</si>
  <si>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</si>
  <si>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</si>
  <si>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</si>
  <si>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</si>
  <si>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</si>
  <si>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</si>
  <si>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</si>
  <si>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</si>
  <si>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</si>
  <si>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</si>
  <si>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</si>
  <si>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</si>
  <si>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</si>
  <si>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200561605    364-WH7D376-BAG    5000KG   22038589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</si>
  <si>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</si>
  <si>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</si>
  <si>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</si>
  <si>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</si>
  <si>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</si>
  <si>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</si>
  <si>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</si>
  <si>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</si>
  <si>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</si>
  <si>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</si>
  <si>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</si>
  <si>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</si>
  <si>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</si>
  <si>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</si>
  <si>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</si>
  <si>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</si>
  <si>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</si>
  <si>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</si>
  <si>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</si>
  <si>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</si>
  <si>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</si>
  <si>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</si>
  <si>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</si>
  <si>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</si>
  <si>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</si>
  <si>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</si>
  <si>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</si>
  <si>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</si>
  <si>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</si>
  <si>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</si>
  <si>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</si>
  <si>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</si>
  <si>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</si>
  <si>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</si>
  <si>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</si>
  <si>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</si>
  <si>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</si>
  <si>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</si>
  <si>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</si>
  <si>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</si>
  <si>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</si>
  <si>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</si>
  <si>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</si>
  <si>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</si>
  <si>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</si>
  <si>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</si>
  <si>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</si>
  <si>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</si>
  <si>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</si>
  <si>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</si>
  <si>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</si>
  <si>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</si>
  <si>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</si>
  <si>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</si>
  <si>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</si>
  <si>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</si>
  <si>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</si>
  <si>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</si>
  <si>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</si>
  <si>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</si>
  <si>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</si>
  <si>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</si>
  <si>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</si>
  <si>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</si>
  <si>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</si>
  <si>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</si>
  <si>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</si>
  <si>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</si>
  <si>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</si>
  <si>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</si>
  <si>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</si>
  <si>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</si>
  <si>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</si>
  <si>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</si>
  <si>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</si>
  <si>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</si>
  <si>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</si>
  <si>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</si>
  <si>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</si>
  <si>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</si>
  <si>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</si>
  <si>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</si>
  <si>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</si>
  <si>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</si>
  <si>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</si>
  <si>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</si>
  <si>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</si>
  <si>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</si>
  <si>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</si>
  <si>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</si>
  <si>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</si>
  <si>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</si>
  <si>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</si>
  <si>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</si>
  <si>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</si>
  <si>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</si>
  <si>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</si>
  <si>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</si>
  <si>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</si>
  <si>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</si>
  <si>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</si>
  <si>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</si>
  <si>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</si>
  <si>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</si>
  <si>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</si>
  <si>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</si>
  <si>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</si>
  <si>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</si>
  <si>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</si>
  <si>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</si>
  <si>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</si>
  <si>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</si>
  <si>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</si>
  <si>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</si>
  <si>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</si>
  <si>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</si>
  <si>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</si>
  <si>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</si>
  <si>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</si>
  <si>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</si>
  <si>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</si>
  <si>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</si>
  <si>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</si>
  <si>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</si>
  <si>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</si>
  <si>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</si>
  <si>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</si>
  <si>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</si>
  <si>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</si>
  <si>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</si>
  <si>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</si>
  <si>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</si>
  <si>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</si>
  <si>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</si>
  <si>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</si>
  <si>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</si>
  <si>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</si>
  <si>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</si>
  <si>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</si>
  <si>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</si>
  <si>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</si>
  <si>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</si>
  <si>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</si>
  <si>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</si>
  <si>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</si>
  <si>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</si>
  <si>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</si>
  <si>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</si>
  <si>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</si>
  <si>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</si>
  <si>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</si>
  <si>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</si>
  <si>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</si>
  <si>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</si>
  <si>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</si>
  <si>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</si>
  <si>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</si>
  <si>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</si>
  <si>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</si>
  <si>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</si>
  <si>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</si>
  <si>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</si>
  <si>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</si>
  <si>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</si>
  <si>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</si>
  <si>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</si>
  <si>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</si>
  <si>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</si>
  <si>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</si>
  <si>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</si>
  <si>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</si>
  <si>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</si>
  <si>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</si>
  <si>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</si>
  <si>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</si>
  <si>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</si>
  <si>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</si>
  <si>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</si>
  <si>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</si>
  <si>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</si>
  <si>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</si>
  <si>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</si>
  <si>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</si>
  <si>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</si>
  <si>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</si>
  <si>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</si>
  <si>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</si>
  <si>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</si>
  <si>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</si>
  <si>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</si>
  <si>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</si>
  <si>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</si>
  <si>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</si>
  <si>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</si>
  <si>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</si>
  <si>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</si>
  <si>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</si>
  <si>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</si>
  <si>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</si>
  <si>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</si>
  <si>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</si>
  <si>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</si>
  <si>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</si>
  <si>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</si>
  <si>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</si>
  <si>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</si>
  <si>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</si>
  <si>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</si>
  <si>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</si>
  <si>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</si>
  <si>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</si>
  <si>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</si>
  <si>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</si>
  <si>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</si>
  <si>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</si>
  <si>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</si>
  <si>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</si>
  <si>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</si>
  <si>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</si>
  <si>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</si>
  <si>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</si>
  <si>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</si>
  <si>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</si>
  <si>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</si>
  <si>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</si>
  <si>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</si>
  <si>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</si>
  <si>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</si>
  <si>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</si>
  <si>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</si>
  <si>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</si>
  <si>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</si>
  <si>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</si>
  <si>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</si>
  <si>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</si>
  <si>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</si>
  <si>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</si>
  <si>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</si>
  <si>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</si>
  <si>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</si>
  <si>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</si>
  <si>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</si>
  <si>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</si>
  <si>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</si>
  <si>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</si>
  <si>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</si>
  <si>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</si>
  <si>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</si>
  <si>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</si>
  <si>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</si>
  <si>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</si>
  <si>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</si>
  <si>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</si>
  <si>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</si>
  <si>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</si>
  <si>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</si>
  <si>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</si>
  <si>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</si>
  <si>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</si>
  <si>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</si>
  <si>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</si>
  <si>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</si>
  <si>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</si>
  <si>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</si>
  <si>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</si>
  <si>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</si>
  <si>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</si>
  <si>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</si>
  <si>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</si>
  <si>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</si>
  <si>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</si>
  <si>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</si>
  <si>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</si>
  <si>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</si>
  <si>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</si>
  <si>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</si>
  <si>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</si>
  <si>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</si>
  <si>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</si>
  <si>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</si>
  <si>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</si>
  <si>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</si>
  <si>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</si>
  <si>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</si>
  <si>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</si>
  <si>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</si>
  <si>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</si>
  <si>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</si>
  <si>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</si>
  <si>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</si>
  <si>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</si>
  <si>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</si>
  <si>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</si>
  <si>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</si>
  <si>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</si>
  <si>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</si>
  <si>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</si>
  <si>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</si>
  <si>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</si>
  <si>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</si>
  <si>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</si>
  <si>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</si>
  <si>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</si>
  <si>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</si>
  <si>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</si>
  <si>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</si>
  <si>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</si>
  <si>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</si>
  <si>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</si>
  <si>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</si>
  <si>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</si>
  <si>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</si>
  <si>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</si>
  <si>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</si>
  <si>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</si>
  <si>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</si>
  <si>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</si>
  <si>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</si>
  <si>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</si>
  <si>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</si>
  <si>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</si>
  <si>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</si>
  <si>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</si>
  <si>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</si>
  <si>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</si>
  <si>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</si>
  <si>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</si>
  <si>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</si>
  <si>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</si>
  <si>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</si>
  <si>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</si>
  <si>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</si>
  <si>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</si>
  <si>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</si>
  <si>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</si>
  <si>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</si>
  <si>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</si>
  <si>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</si>
  <si>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</si>
  <si>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</si>
  <si>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</si>
  <si>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</si>
  <si>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</si>
  <si>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</si>
  <si>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</si>
  <si>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</si>
  <si>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</si>
  <si>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</si>
  <si>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</si>
  <si>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</si>
  <si>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</si>
  <si>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</si>
  <si>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</si>
  <si>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</si>
  <si>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</si>
  <si>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</si>
  <si>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</si>
  <si>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</si>
  <si>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</si>
  <si>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</si>
  <si>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</si>
  <si>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</si>
  <si>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</si>
  <si>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</si>
  <si>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</si>
  <si>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</si>
  <si>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</si>
  <si>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</si>
  <si>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</si>
  <si>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</si>
  <si>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</si>
  <si>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</si>
  <si>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</si>
  <si>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</si>
  <si>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</si>
  <si>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</si>
  <si>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</si>
  <si>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</si>
  <si>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</si>
  <si>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</si>
  <si>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</si>
  <si>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</si>
  <si>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</si>
  <si>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</si>
  <si>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</si>
  <si>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</si>
  <si>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</si>
  <si>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</si>
  <si>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</si>
  <si>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</si>
  <si>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</si>
  <si>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</si>
  <si>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</si>
  <si>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</si>
  <si>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</si>
  <si>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</si>
  <si>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</si>
  <si>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</si>
  <si>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</si>
  <si>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</si>
  <si>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</si>
  <si>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</si>
  <si>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</si>
  <si>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</si>
  <si>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</si>
  <si>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</si>
  <si>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</si>
  <si>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</si>
  <si>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</si>
  <si>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</si>
  <si>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</si>
  <si>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</si>
  <si>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</si>
  <si>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</si>
  <si>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</si>
  <si>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</si>
  <si>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</si>
  <si>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</si>
  <si>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</si>
  <si>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0402  LUX9230T-11204-BAG    20600KG   22036941    (200562458)      </t>
  </si>
  <si>
    <t xml:space="preserve">0402  945AU-116-BAG    20000KG   22018293    (200552754)      </t>
  </si>
  <si>
    <t xml:space="preserve">0402  144-111N-BBG    20600KG   22088203    (200554549)      </t>
  </si>
  <si>
    <t xml:space="preserve">0402  940A-116-BAG    20600KG   22022020    (200562733)     Br.   </t>
  </si>
  <si>
    <t xml:space="preserve">0402  940A-116-BAG    20600KG   22022020    (200562734)     Br.   </t>
  </si>
  <si>
    <t xml:space="preserve">0402  LUX9230T-11204-BAG    20600KG   22036941    (200562534)      </t>
  </si>
  <si>
    <t xml:space="preserve">0402  144-111N-BBG    20600KG   22088203    (200557897)      </t>
  </si>
  <si>
    <t xml:space="preserve">0402  925A-1G8A4761T-BAG    20600KG   299905659    (200552644)      </t>
  </si>
  <si>
    <t xml:space="preserve">0402  LUX9230T-11204-BAG    20600KG   22036941    (200562517)      </t>
  </si>
  <si>
    <t xml:space="preserve">0402  925A-1G8A4761T-BAG    20600KG   299905659    (200552617)      </t>
  </si>
  <si>
    <t xml:space="preserve">0402  925A-116-BAG    10300KG   22022191    (200562751)      </t>
  </si>
  <si>
    <t xml:space="preserve">0402  945-8T9D231-BAG    20000KG   22043924    (93984327)      </t>
  </si>
  <si>
    <t xml:space="preserve">0402  945-8T9D231-BAG    20000KG   22043924    (93984328)      </t>
  </si>
  <si>
    <t xml:space="preserve">0402  123R-WH6D257-BAG    2000KG   22033097    (200558215)      </t>
  </si>
  <si>
    <t xml:space="preserve">0402  XHT4141-NA5D001T-BAG    2000KG   22041169    (200563816)      </t>
  </si>
  <si>
    <t xml:space="preserve">0402  123R-WH6D257-BAG    2000KG   22033097    (200558279)      </t>
  </si>
  <si>
    <t xml:space="preserve">0402  124R-111FC-BAG    20000KG   22021312    (200465970)      </t>
  </si>
  <si>
    <t xml:space="preserve">0402  124R-111FC-BAG    20000KG   22021312    (200465994)      </t>
  </si>
  <si>
    <t xml:space="preserve">0402  EXL9134-7T5A3014-BAG    6000KG   299903342    (200562801)      </t>
  </si>
  <si>
    <t xml:space="preserve">0402  C6600-8M9D029-BAG    5000KG   22022574    (200533826)     Br.   </t>
  </si>
  <si>
    <t xml:space="preserve">0402  LUX2289-WH9G012-BAG    10000KG   22023833    (200498154)      </t>
  </si>
  <si>
    <t xml:space="preserve">0402  EXL1414-RD7H014-BAG    10000KG   22072141    (200561643)      </t>
  </si>
  <si>
    <t xml:space="preserve">0402  EXL9330-GY6D482-BAG    2000KG   22035970    (200555919)      </t>
  </si>
  <si>
    <t xml:space="preserve">0402  C2950-GY7G186-BAG    2000KG   22029949    (200555837)      </t>
  </si>
  <si>
    <t xml:space="preserve">0402  241R-YW8C033-BAG    5000KG   22031082    (200547370)      </t>
  </si>
  <si>
    <t xml:space="preserve">0402  CY6025-WH8G710-BAG    10000KG   22030264    (200548772)      </t>
  </si>
  <si>
    <t xml:space="preserve">0402  241R-WH9B307-BAG    20000KG   22038464    (200559111)     Br.   </t>
  </si>
  <si>
    <t xml:space="preserve">0402  CY6012-7M8D042-BAG    11025KG   22045378    (200514578)      </t>
  </si>
  <si>
    <t xml:space="preserve">0402  C2950-GY8E432-BAG    10000KG   22029950    (200558103)      </t>
  </si>
  <si>
    <t xml:space="preserve">0402  C2950-WH8G018-BAG    3000KG   22031555    (200557761)      </t>
  </si>
  <si>
    <t xml:space="preserve">0402  C1200HF-BL1D302-BAG    10000KG   22039398    (200561283)      </t>
  </si>
  <si>
    <t xml:space="preserve">0402  CX7240-8T7D033-BAG    10000KG   22030084    (200520048)      </t>
  </si>
  <si>
    <t xml:space="preserve">0402  LUX2289-WH9G012-BAG    10000KG   22023833    (200498129)      </t>
  </si>
  <si>
    <t xml:space="preserve">0402  C2950-YW8001S-BAG    10000KG   22039533    (200556059)     Br.   </t>
  </si>
  <si>
    <t xml:space="preserve">0402  C2950-8T8D247-BAG    10000KG   22046215    (200548434)      </t>
  </si>
  <si>
    <t xml:space="preserve">0402  LUX2289-WH9G012-BAG    10000KG   22023833    (200498132)      </t>
  </si>
  <si>
    <t xml:space="preserve">0402  C1200HF-YW7B089-BAG    10000KG   22038639    (200559146)      </t>
  </si>
  <si>
    <t xml:space="preserve">0402  LUX2289-WH9G012-BAG    10000KG   22023833    (200498114)      </t>
  </si>
  <si>
    <t xml:space="preserve">0402  EXL9330-5T7D005-BAG    5000KG   22029397    (200544340)      </t>
  </si>
  <si>
    <t xml:space="preserve">0402  C6600-8M9D029-BAG    5000KG   22022574    (200551140)     Br.   </t>
  </si>
  <si>
    <t xml:space="preserve">0402  C2950-8T8D247-BAG    10000KG   22046215    (200528496)      </t>
  </si>
  <si>
    <t xml:space="preserve">0402  CY6025-WH8G710-BAG    10000KG   22030264    (200548773)      </t>
  </si>
  <si>
    <t xml:space="preserve">0402  XCY620S-100-BAG    22000KG   22025073    (86435844)      </t>
  </si>
  <si>
    <t xml:space="preserve">0402  XCY620S-100-BAG    10000KG   22025073    (86435845)      </t>
  </si>
  <si>
    <t xml:space="preserve">0402  LUX2289-WH9G012-BAG    10000KG   22023833    (200498133)      </t>
  </si>
  <si>
    <t xml:space="preserve">0402  C2950-GY8E432-BAG    5000KG   22029950    (200548369)      </t>
  </si>
  <si>
    <t xml:space="preserve">0402  C2950-WH8G018-BAG    5000KG   22031555    (200548380)      </t>
  </si>
  <si>
    <t xml:space="preserve">0402  C2950-WH8G018-BAG    5000KG   22031555    (200304498)      </t>
  </si>
  <si>
    <t xml:space="preserve">0402  XTPMFR10-BK1G005-BAG    3000KG   22044494    (200542091)      </t>
  </si>
  <si>
    <t xml:space="preserve">0402  XHT2141-GY5G190-BAG    10000KG   22041167    (200498168)      </t>
  </si>
  <si>
    <t xml:space="preserve">0402  LUX2289-WH9G012-BAG    10000KG   22023833    (200498059)      </t>
  </si>
  <si>
    <t xml:space="preserve">0402  C2950-YW8001S-BAG    20000KG   22039533    (200550097)     Br.   </t>
  </si>
  <si>
    <t xml:space="preserve">0402  XCY620-76701-BAG    10000KG   22060626    (200558169)      </t>
  </si>
  <si>
    <t xml:space="preserve">0402  C2950-GY8E438-BAG    2000KG   22039523    (200549284)      </t>
  </si>
  <si>
    <t xml:space="preserve">0402  945-7G1A3051-BAG    3000KG   299903516    (200561872)      </t>
  </si>
  <si>
    <t xml:space="preserve">0402  123R-GY2G204-BBG    10000KG   22098752    (200510569)      </t>
  </si>
  <si>
    <t xml:space="preserve">0402  CX7240-7T1D434-BAG    2000KG   22067443    (200560001)      </t>
  </si>
  <si>
    <t xml:space="preserve">0402  CX7240-7T1A0602-BAG    5325KG   299900516    (200550000)      </t>
  </si>
  <si>
    <t xml:space="preserve">0402  CX7240-7T1D193-BAG    20000KG   22039232    (96281545)      </t>
  </si>
  <si>
    <t xml:space="preserve">0402  144-111N-BBG    20000KG   22088203    (96103111)      </t>
  </si>
  <si>
    <t xml:space="preserve">0402  144-111N-BBG    20000KG   22088203    (96125948)      </t>
  </si>
  <si>
    <t xml:space="preserve">0402  C1200HF-701-SSS    20000KG   22039382    (200543497)      </t>
  </si>
  <si>
    <t xml:space="preserve">0402  XCY620S-100-BAG    20000KG   22025073    (82933313)      </t>
  </si>
  <si>
    <t xml:space="preserve">0402  144-111N-BBG    20000KG   22088203    (96126398)      </t>
  </si>
  <si>
    <t xml:space="preserve">0402  ML6411-7T4D041L-BAG    10000KG   22036797    (200539064)      </t>
  </si>
  <si>
    <t xml:space="preserve">0402  945-7M1D058-BAG    10000KG   22017645    (200556112)      </t>
  </si>
  <si>
    <t xml:space="preserve">0402  950-BK1334-BAG    5000KG   299900857    (200548470)      </t>
  </si>
  <si>
    <t xml:space="preserve">0402  244RF-GY7G193F-BAG    10000KG   22033846    (200563831)      </t>
  </si>
  <si>
    <t xml:space="preserve">0402  C2950-GY8E438-BAG    5000KG   22039523    (200545170)      </t>
  </si>
  <si>
    <t xml:space="preserve">0402  XCY620S-100-BAG    10000KG   22025073    (90053025)      </t>
  </si>
  <si>
    <t xml:space="preserve">0402  CY6414-701-BAG    5000KG   22035338    (96281786)      </t>
  </si>
  <si>
    <t xml:space="preserve">0402  C6600-GY6A480-BAG    10000KG   22027944    (200562455)      </t>
  </si>
  <si>
    <t xml:space="preserve">0402  CY6120-GY9A016-BAG    2000KG   22030266    (200558989)     Br.   </t>
  </si>
  <si>
    <t xml:space="preserve">0402  123R-BK1G204-BAG    2000KG   22033067    (200557139)      </t>
  </si>
  <si>
    <t xml:space="preserve">0402  EXL9330P-BK1E649-BAG    20000KG   22035991    (92846407)      </t>
  </si>
  <si>
    <t xml:space="preserve">0402  CH6410-701-BAG    20000KG   22035048    (96280952)      </t>
  </si>
  <si>
    <t xml:space="preserve">0402  CH6410-701-BAG    20000KG   22035048    (96280953)      </t>
  </si>
  <si>
    <t xml:space="preserve">0402  SLX2271T-BK1G296-BAG    20000KG   22020921    (95369668)      </t>
  </si>
  <si>
    <t xml:space="preserve">0402  C6600E-GY1C173-BAG    2000KG   22030022    (200559107)      </t>
  </si>
  <si>
    <t xml:space="preserve">0402  SLX2271T-BK1G296-BAG    20000KG   22020921    (95369669)      </t>
  </si>
  <si>
    <t xml:space="preserve">0402  SLX2271T-BK1G296-BAG    20000KG   22020921    (95369670)      </t>
  </si>
  <si>
    <t xml:space="preserve">0402  C2950HF-7T2D326-BAG    500KG   22085309    (200548339)      </t>
  </si>
  <si>
    <t xml:space="preserve">0402  EXL1414-GY2E408-BAG    500KG   22030234    (200558799)      </t>
  </si>
  <si>
    <t xml:space="preserve">0402  C2950HF-GY1291-BAG    1000KG   22031568    (200537147)      </t>
  </si>
  <si>
    <t xml:space="preserve">0402  CX7240U-7M1D051-BAG    1000KG   22022738    (200554759)      </t>
  </si>
  <si>
    <t xml:space="preserve">0402  920-70405-BAG    200KG   22039003    (200559980)      </t>
  </si>
  <si>
    <t xml:space="preserve">0402  C2950HF-7T2D326-BAG    1000KG   22085309    (200561528)      </t>
  </si>
  <si>
    <t xml:space="preserve">0402  101-GY6135-BAG    1000KG   22044725    (200562685)      </t>
  </si>
  <si>
    <t xml:space="preserve">0402  221RC-BR6G037X-BAG    1000KG   22102504    (200559899)      </t>
  </si>
  <si>
    <t xml:space="preserve">0402  CH6310-GY9C050-BAG    1000KG   22039074    (200559959)      </t>
  </si>
  <si>
    <t xml:space="preserve">0402  223R-RD8G025-BAG    500KG   22037765    (200549100)      </t>
  </si>
  <si>
    <t xml:space="preserve">0402  CX7240-7T5D172-BAG    1000KG   22085534    (200524763)      </t>
  </si>
  <si>
    <t xml:space="preserve">0402  LUX9616-WH8E491X-BAG    1000KG   22018736    (96032102)      </t>
  </si>
  <si>
    <t xml:space="preserve">0402  945-GY2E572-BAG    500KG   22034256    (200562544)      </t>
  </si>
  <si>
    <t xml:space="preserve">0402  945U-701-BAG    1000KG   22022075    (200554547)      </t>
  </si>
  <si>
    <t xml:space="preserve">0402  C2800-701-BAG    1000KG   22017334    (200513088)      </t>
  </si>
  <si>
    <t xml:space="preserve">0402  LG9000-100-BAG    1000KG   22023994    (200553320)      </t>
  </si>
  <si>
    <t xml:space="preserve">0402  C2950-WH9C272-BAG    1000KG   22039530    (200559285)      </t>
  </si>
  <si>
    <t xml:space="preserve">0402  XCY620-GY7G608-BAG    1000KG   22045866    (200537813)      </t>
  </si>
  <si>
    <t xml:space="preserve">0402  C1200HF-BK2E082-BAG    5000KG   22019663    (200470140)      </t>
  </si>
  <si>
    <t xml:space="preserve">0402  C2950-GY8E432-BAG    5000KG   22029950    (200545169)      </t>
  </si>
  <si>
    <t xml:space="preserve">0402  C1200HF-7001-BAG    10000KG   22034851    (200543766)      </t>
  </si>
  <si>
    <t xml:space="preserve">0402  124R-111FC-BAG    20000KG   22021312    (200466005)      </t>
  </si>
  <si>
    <t xml:space="preserve">0402  SLX2271T-BK1G296-BAG    20000KG   22020921    (94020252)      </t>
  </si>
  <si>
    <t xml:space="preserve">0402  C2950-701-BAG    20000KG   22022271    (94727003)      </t>
  </si>
  <si>
    <t xml:space="preserve">0402  XCY620-BK1005-BAG    20000KG   22025061    (81871816)      </t>
  </si>
  <si>
    <t xml:space="preserve">0402  C6600-GY6D379-BAG    6000KG   22034902    (200542985)      </t>
  </si>
  <si>
    <t xml:space="preserve">0402  HF1140-111FC-BAG    10000KG   22020237    (200563871)      </t>
  </si>
  <si>
    <t xml:space="preserve">0402  SLX2271T-BK1G296-BAG    20000KG   22020921    (94020253)      </t>
  </si>
  <si>
    <t xml:space="preserve">0402  SLX2271T-BK1G296-BAG    20000KG   22020921    (94691987)      </t>
  </si>
  <si>
    <t xml:space="preserve">0402  C1200HF-701-BAG    20000KG   22022222    (94676108)      </t>
  </si>
  <si>
    <t xml:space="preserve">0402  C1200HF-701-BAG    20000KG   22022222    (94676109)      </t>
  </si>
  <si>
    <t xml:space="preserve">0402  C6600-8B8D004-BAG    6000KG   22035246    (200503072)      </t>
  </si>
  <si>
    <t xml:space="preserve">0402  C1200HF-701-BAG    20000KG   22022222    (94676110)      </t>
  </si>
  <si>
    <t xml:space="preserve">0402  C1100HF-701-BAG    10000KG   22039357    (200494097)      </t>
  </si>
  <si>
    <t xml:space="preserve">0402  C1200HF-100-BAG    20000KG   22019660    (94679206)      </t>
  </si>
  <si>
    <t xml:space="preserve">0402  C6200-BL11040-BAG    1000KG   22067402    (200535943)      </t>
  </si>
  <si>
    <t xml:space="preserve">0402  EXL9330-GY2G045-BAG    5000KG   22032188    (200561384)      </t>
  </si>
  <si>
    <t xml:space="preserve">0402  241R-OR8B007-BAG    2000KG   22038456    (200548667)     Br.   </t>
  </si>
  <si>
    <t xml:space="preserve">0402  121R-21092-BAG    1000KG   22028394    (200541599)      </t>
  </si>
  <si>
    <t xml:space="preserve">0402  123R-BL8D016-BAG    2000KG   22029553    (200556019)      </t>
  </si>
  <si>
    <t xml:space="preserve">0402  C1200HF-BL1D183-BAG    5000KG   22029048    (200538639)      </t>
  </si>
  <si>
    <t xml:space="preserve">0402  945-2T1D043-BAG    2000KG   22038367    (200555859)      </t>
  </si>
  <si>
    <t xml:space="preserve">0402  EXL9330-4T7D017-BAG    5000KG   22030393    (200559015)      </t>
  </si>
  <si>
    <t xml:space="preserve">0402  ML6411-96536-BAG    2000KG   22030573    (200550432)      </t>
  </si>
  <si>
    <t xml:space="preserve">0402  SLX2471T-RD1H002-BAG    10000KG   22093031    (200537688)      </t>
  </si>
  <si>
    <t xml:space="preserve">0402  CFR7431-7T1D297T-BAG    500KG   22039063    (200562420)      </t>
  </si>
  <si>
    <t xml:space="preserve">0402  FXD171R-BK1G676X-BAG    5000KG   22066632    (200563793)     Br.   </t>
  </si>
  <si>
    <t xml:space="preserve">0402  241R-BR8153-BAG    5000KG   22029762    (200558077)      </t>
  </si>
  <si>
    <t xml:space="preserve">0402  HF1130R-BK1A184T-BAG    2000KG   22046457    (200559979)      </t>
  </si>
  <si>
    <t xml:space="preserve">0402  CS9610-GY2E103-BAG    1550KG   22029319    (96188033)      </t>
  </si>
  <si>
    <t xml:space="preserve">0402  EXL1414-BR6D066-BAG    1900KG   22035739    (308631669)      </t>
  </si>
  <si>
    <t xml:space="preserve">0402  EXL9112-BK1A068-BAG    1000KG   22035891    (92466148)      </t>
  </si>
  <si>
    <t xml:space="preserve">0402  121R-VT6A015T-BAG    1000KG   22033298    (200480859)      </t>
  </si>
  <si>
    <t xml:space="preserve">0402  IFX121RA-3A5A1577IB-BAG    3000KG   22098155    (95539445)      </t>
  </si>
  <si>
    <t xml:space="preserve">0402  MC1300-701-BAG    10000KG   22023858    (200557043)      </t>
  </si>
  <si>
    <t xml:space="preserve">0402  C6600-7T4D208-BAG    1000KG   22039705    (200563864)      </t>
  </si>
  <si>
    <t xml:space="preserve">0402  C2950HF-2T2D070-BAG    200KG   22039535    (200562665)      </t>
  </si>
  <si>
    <t xml:space="preserve">0402  945-7T8D574-BAG    500KG   22034225    (200562828)     Br.   </t>
  </si>
  <si>
    <t xml:space="preserve">0402  123R-WH6D257-BAG    2100KG   22033097    (200513876)      </t>
  </si>
  <si>
    <t xml:space="preserve">0402  C1200HF-96622-BAG    4000KG   22034863    (200538637)      </t>
  </si>
  <si>
    <t xml:space="preserve">0402  C2950-7T5D113-BAG    1000KG   22031533    (200555877)      </t>
  </si>
  <si>
    <t xml:space="preserve">0402  C6600-GY7C059-BAG    2000KG   22029291    (200498192)      </t>
  </si>
  <si>
    <t xml:space="preserve">0402  925U-7T8D779-BAG    500KG   22045042    (200562402)      </t>
  </si>
  <si>
    <t xml:space="preserve">0402  EXL9330-WH6E276-BAG    2000KG   22039934    (200526321)      </t>
  </si>
  <si>
    <t xml:space="preserve">0402  C6600-GY8977-BAG    1000KG   22029292    (200562757)      </t>
  </si>
  <si>
    <t xml:space="preserve">0402  C2950-7T5D113-BAG    500KG   22031533    (200558001)      </t>
  </si>
  <si>
    <t xml:space="preserve">0402  945-7T8D574-BAG    500KG   22034225    (200558045)     Br.   </t>
  </si>
  <si>
    <t xml:space="preserve">0402  BFL4000U-WH3150-BAG    1000KG   22017663    (200549057)      </t>
  </si>
  <si>
    <t xml:space="preserve">0402  EXL9134-7A8D006-BAG    1000KG   22023110    (200550250)      </t>
  </si>
  <si>
    <t xml:space="preserve">0402  EXL9134-7A8D006-BAG    1000KG   22023110    (200545606)      </t>
  </si>
  <si>
    <t xml:space="preserve">0402  EXL9330-YW8D008-BAG    5000KG   22032208    (200548634)      </t>
  </si>
  <si>
    <t xml:space="preserve">0402  LUX7169-WH8G733-BAG    2000KG   22041058    (96245775)      </t>
  </si>
  <si>
    <t xml:space="preserve">0402  123R-WH5G107-BAG    2000KG   22044544    (200470262)      </t>
  </si>
  <si>
    <t xml:space="preserve">0402  C1200HF-96622-BAG    4000KG   22034863    (200563832)      </t>
  </si>
  <si>
    <t xml:space="preserve">0402  C6600-WH7222-BAG    1000KG   22022414    (200563863)     Br.   </t>
  </si>
  <si>
    <t xml:space="preserve">0402  241R-WH2C006-BAG    10000KG   22038458    (200559182)      </t>
  </si>
  <si>
    <t xml:space="preserve">0402  945-7T8D574-BAG    500KG   22034225    (200559302)     Br.   </t>
  </si>
  <si>
    <t xml:space="preserve">0402  ML6411-WH8D293-BAG    1000KG   22037050    (200559265)      </t>
  </si>
  <si>
    <t xml:space="preserve">0402  C6200-GY7C059-BAG    2000KG   22022537    (200538817)      </t>
  </si>
  <si>
    <t xml:space="preserve">0402  945-8T9D140-BAG    2000KG   22028869    (200561367)      </t>
  </si>
  <si>
    <t xml:space="preserve">0402  ML6411-7M8D024-BAG    1000KG   22040671    (200548418)      </t>
  </si>
  <si>
    <t xml:space="preserve">0402  LUX2289-WH9G012-BAG    10000KG   22023833    (200530684)      </t>
  </si>
  <si>
    <t xml:space="preserve">0402  FXD121R-WH6E008X-BAG    2000KG   22036130    (200549127)      </t>
  </si>
  <si>
    <t xml:space="preserve">0402  RB008-NC-FBG    1000KG   22018899    (200562536)      </t>
  </si>
  <si>
    <t xml:space="preserve">0402  KD000-BKNAT-BAG    20000KG   22036843    (96103514)      </t>
  </si>
  <si>
    <t xml:space="preserve">0402  RL004-GYMDNAT-SBG    6000KG   22037043    (200548537)      </t>
  </si>
  <si>
    <t xml:space="preserve">0402  D151-2M2A1666-BAG    200KG   299901855    (200559093)      </t>
  </si>
  <si>
    <t xml:space="preserve">0402  D151-7M1A1663-BAG    200KG   299901852    (200559001)      </t>
  </si>
  <si>
    <t xml:space="preserve">0402  RL004-GYMDNAT-SBG    2000KG   22037043    (200528588)      </t>
  </si>
  <si>
    <t xml:space="preserve">0402  141-701-BAG    10000KG   22021332    (200559231)      </t>
  </si>
  <si>
    <t xml:space="preserve">0402  RFL36-BK1B602-SBG    1000KG   22029457    (200554800)      </t>
  </si>
  <si>
    <t xml:space="preserve">0402  ER007485-2G2A4425-SBG    700KG   299905676    (200560310)      </t>
  </si>
  <si>
    <t xml:space="preserve">0402  ER007485-2G2A4425-SBG    400KG   299905676    (200560280)      </t>
  </si>
  <si>
    <t xml:space="preserve">0402  ER007485-2G2A4425-SBG    400KG   299905676    (200560362)      </t>
  </si>
  <si>
    <t xml:space="preserve">0402  141-701-BAG    5000KG   22021332    (200558932)      </t>
  </si>
  <si>
    <t xml:space="preserve">0402  RFL36-BK1B602-SBG    3000KG   22029457    (200546344)      </t>
  </si>
  <si>
    <t xml:space="preserve">0402  ER007485-7G1A4725-SBG    700KG   22106794    (96286256)      </t>
  </si>
  <si>
    <t xml:space="preserve">0402  R2000-GYMDNAT-SBG    2000KG   22041327    (200497136)      </t>
  </si>
  <si>
    <t xml:space="preserve">0402  D351-701-SBG    500KG   22032147    (200554584)      </t>
  </si>
  <si>
    <t xml:space="preserve">0402  MD000ISC-BKNAT-SBG    2000KG   22029497    (200558229)      </t>
  </si>
  <si>
    <t xml:space="preserve">0402  RB008-NC-FBG    4500KG   22018899    (200552313)      </t>
  </si>
  <si>
    <t xml:space="preserve">0402  500-131-BAG    2000KG   22021688    (200549387)      </t>
  </si>
  <si>
    <t xml:space="preserve">0402  RFL36XXY-BK1A843-SBG    1600KG   22029458    (96018769)      </t>
  </si>
  <si>
    <t xml:space="preserve">0402  RB008-NC-FBG    2000KG   22018899    (200552399)      </t>
  </si>
  <si>
    <t xml:space="preserve">0402  RFL36-BK1B602-SBG    2000KG   22029457    (200508439)      </t>
  </si>
  <si>
    <t xml:space="preserve">0402  MFB82I-BK1B459-BAG    2500KG   22036698    (200542705)      </t>
  </si>
  <si>
    <t xml:space="preserve">0402  NX07344-BK1E257-BAG    300KG   22036891    (200540978)      </t>
  </si>
  <si>
    <t xml:space="preserve">0402  DD0009PC-BKNAT-BAG    1000KG   22035801    (200551407)      </t>
  </si>
  <si>
    <t xml:space="preserve">0402  DE0029E-GY3A643-SBG    300KG   22031872    (92464768)      </t>
  </si>
  <si>
    <t xml:space="preserve">0402  RFL36XXY-BK1A843-SBG    2400KG   22029458    (96016250)      </t>
  </si>
  <si>
    <t xml:space="preserve">0402  MFB82I-BK1B459-BAG    2500KG   22036698    (200563800)      </t>
  </si>
  <si>
    <t xml:space="preserve">0402  RFP36-BK1A856-SBG    1000KG   22040935    (200558028)      </t>
  </si>
  <si>
    <t xml:space="preserve">0402  DE0029E-GY3A643-SBG    300KG   22031872    (92464769)      </t>
  </si>
  <si>
    <t xml:space="preserve">0402  DX89406-BKNAT-BPK    10500KG   22039467    (200558012)      </t>
  </si>
  <si>
    <t xml:space="preserve">0402  DX89406-BKNAT-BPK    10000KG   22039467    (92466160)      </t>
  </si>
  <si>
    <t xml:space="preserve">0402  DX89406-BKNAT-BPK    10000KG   22039467    (92466161)      </t>
  </si>
  <si>
    <t xml:space="preserve">0402  DX89406-BKNAT-BPK    10000KG   22039467    (92466162)      </t>
  </si>
  <si>
    <t xml:space="preserve">0402  DX89406-BKNAT-BPK    10000KG   22039467    (92466163)      </t>
  </si>
  <si>
    <t xml:space="preserve">0402  DX11328-NC-BPK    15000KG   22035937    (200491976)      </t>
  </si>
  <si>
    <t xml:space="preserve">0402  DX89406-BKNAT-BPK    10000KG   22039467    (92302304)      </t>
  </si>
  <si>
    <t xml:space="preserve">0402  DX89406-BKNAT-BPK    10000KG   22039467    (92302303)      </t>
  </si>
  <si>
    <t xml:space="preserve">0402  DX89406-BKNAT-BPK    10000KG   22039467    (92466165)      </t>
  </si>
  <si>
    <t xml:space="preserve">0402  DX89406-BKNAT-BPK    10000KG   22039467    (92302302)      </t>
  </si>
  <si>
    <t xml:space="preserve">0402  DX89406-BKNAT-BPK    10000KG   22039467    (92302301)      </t>
  </si>
  <si>
    <t xml:space="preserve">0402  DX89406-BKNAT-BPK    10000KG   22039467    (92302298)      </t>
  </si>
  <si>
    <t xml:space="preserve">0402  DX89406-BKNAT-BPK    10000KG   22039467    (92302299)      </t>
  </si>
  <si>
    <t xml:space="preserve">0402  DX89406-BKNAT-BPK    10000KG   22039467    (92302300)      </t>
  </si>
  <si>
    <t xml:space="preserve">0402  DX89406-BKNAT-BPK    10000KG   22039467    (92302296)      </t>
  </si>
  <si>
    <t xml:space="preserve">0402  DX89406-BKNAT-BPK    10000KG   22039467    (92302297)      </t>
  </si>
  <si>
    <t xml:space="preserve">0402  DX11328-NC-BPK    15000KG   22035937    (200491997)      </t>
  </si>
  <si>
    <t xml:space="preserve">0402  DX89406-BKNAT-BPK    10000KG   22039467    (92302295)      </t>
  </si>
  <si>
    <t xml:space="preserve">0402  DX89406-BKNAT-BPK    10000KG   22039467    (92302294)      </t>
  </si>
  <si>
    <t xml:space="preserve">0402  DX89406-BKNAT-BPK    10000KG   22039467    (92302293)      </t>
  </si>
  <si>
    <t xml:space="preserve">0402  3412R-131-BAG    10000KG   22021728    (200545549)     Br.   </t>
  </si>
  <si>
    <t xml:space="preserve">0402  DF002PSI-BK1066-BAG    20000KG   299905015    (200560181)      </t>
  </si>
  <si>
    <t xml:space="preserve">0402  3412ECR-WH8E395-BAG    5000KG   22037868    (200502901)     Br.   </t>
  </si>
  <si>
    <t xml:space="preserve">0402  3412R-131-BAG    10000KG   22021728    (200559480)     Br.   </t>
  </si>
  <si>
    <t xml:space="preserve">0402  3412R-131-BAG    5000KG   22021728    (200562407)     Br.   </t>
  </si>
  <si>
    <t xml:space="preserve">0402  3412ECR-131-BAG    5000KG   22021723    (200555946)      </t>
  </si>
  <si>
    <t xml:space="preserve">0402  420SE0-BK1066-BAG    20000KG   22019379    (200551462)      </t>
  </si>
  <si>
    <t xml:space="preserve">0402  420SE0-BK1066-BAG    20000KG   22019379    (95342795)      </t>
  </si>
  <si>
    <t xml:space="preserve">0402  3412ECR-739-BAG    20000KG   22017144    (96266136)      </t>
  </si>
  <si>
    <t xml:space="preserve">0402  3412ECR-739-BAG    20000KG   22017144    (96266137)      </t>
  </si>
  <si>
    <t xml:space="preserve">0402  3412R-739-BAG    20000KG   22021730    (200560260)     Br.   </t>
  </si>
  <si>
    <t xml:space="preserve">0402  3412ECR-739-BAG    20000KG   22017144    (95348707)      </t>
  </si>
  <si>
    <t xml:space="preserve">0402  3412ECR-739-BAG    20000KG   22017144    (96268462)      </t>
  </si>
  <si>
    <t xml:space="preserve">0402  940-701-BAG    20000KG   22019549    (96085436)     Br.   </t>
  </si>
  <si>
    <t xml:space="preserve">0402  C6600-7T1D193-BAG    20000KG   22039700    (200559196)      </t>
  </si>
  <si>
    <t xml:space="preserve">0402  ML9696-701-SSS    20000KG   22036814    (93290782)      </t>
  </si>
  <si>
    <t xml:space="preserve">0402  XCM830-76701-BAG    10000KG   22033024    (200497208)      </t>
  </si>
  <si>
    <t xml:space="preserve">0402  XCY620S-76701-BAG    20000KG   22037308    (82957930)      </t>
  </si>
  <si>
    <t xml:space="preserve">0402  XCY620S-76701-BAG    20000KG   22037308    (82962854)      </t>
  </si>
  <si>
    <t xml:space="preserve">0402  923-BK1261-BAG    20000KG   22038237    (200553500)      </t>
  </si>
  <si>
    <t xml:space="preserve">0402  XCY620S-76701-BAG    20000KG   22037308    (85806441)      </t>
  </si>
  <si>
    <t xml:space="preserve">0402  XCY620S-76701-BAG    20000KG   22037308    (82962837)      </t>
  </si>
  <si>
    <t xml:space="preserve">0402  XCY620S-76701-BAG    20000KG   22037308    (82962838)      </t>
  </si>
  <si>
    <t xml:space="preserve">0402  XCY620S-76701-BAG    20000KG   22037308    (82962870)      </t>
  </si>
  <si>
    <t xml:space="preserve">0402  XCM830-76701-BAG    10000KG   22033024    (200497262)      </t>
  </si>
  <si>
    <t xml:space="preserve">0402  923-BK1261-BAG    20000KG   22038237    (200553562)      </t>
  </si>
  <si>
    <t xml:space="preserve">0402  CP8320-76701-BAG    10000KG   22056197    (200508722)      </t>
  </si>
  <si>
    <t xml:space="preserve">0402  XCM830-76701-BAG    10000KG   22033024    (200497209)      </t>
  </si>
  <si>
    <t xml:space="preserve">0402  XCM830-76701-BAG    10000KG   22033024    (200497210)      </t>
  </si>
  <si>
    <t xml:space="preserve">0402  XCY620S-76701-BAG    20000KG   22037308    (71618759)      </t>
  </si>
  <si>
    <t xml:space="preserve">0402  XCY620S-76701-BAG    20000KG   22037308    (75314818)      </t>
  </si>
  <si>
    <t xml:space="preserve">0402  XCY620S-76701-BAG    20000KG   22037308    (71618758)      </t>
  </si>
  <si>
    <t xml:space="preserve">0402  945-701-BAG    20000KG   22019581    (96280868)      </t>
  </si>
  <si>
    <t xml:space="preserve">0402  XCY620S-76701-BAG    20000KG   22037308    (82962864)      </t>
  </si>
  <si>
    <t xml:space="preserve">0402  XCY620S-76701-BAG    20000KG   22037308    (82962875)      </t>
  </si>
  <si>
    <t xml:space="preserve">0402  XCY620S-76701-BAG    20000KG   22037308    (82962848)      </t>
  </si>
  <si>
    <t xml:space="preserve">0402  XCY620S-76701-BAG    20000KG   22037308    (82962849)      </t>
  </si>
  <si>
    <t xml:space="preserve">0402  XCY620S-76701-BAG    20000KG   22037308    (82962859)      </t>
  </si>
  <si>
    <t xml:space="preserve">0402  945-7T2D216-BAG    7000KG   22029986    (200537177)     Br.   </t>
  </si>
  <si>
    <t xml:space="preserve">0402  XCY620S-76701-BAG    20000KG   22037308    (82962853)      </t>
  </si>
  <si>
    <t xml:space="preserve">0402  XCY620S-76701-BAG    20000KG   22037308    (82962852)      </t>
  </si>
  <si>
    <t xml:space="preserve">0402  XCY620S-76701-BAG    20000KG   22037308    (82962851)      </t>
  </si>
  <si>
    <t xml:space="preserve">0402  XCY620S-76701-BAG    20000KG   22037308    (82962850)      </t>
  </si>
  <si>
    <t xml:space="preserve">0402  XCY620S-76701-BAG    20000KG   22037308    (71618761)      </t>
  </si>
  <si>
    <t xml:space="preserve">0402  XCY620S-76701-BAG    20000KG   22037308    (82957941)      </t>
  </si>
  <si>
    <t xml:space="preserve">0402  XCY620S-76701-BAG    20000KG   22037308    (82957942)      </t>
  </si>
  <si>
    <t xml:space="preserve">0402  XCY620-BK1005-BAG    20000KG   22025061    (90054452)      </t>
  </si>
  <si>
    <t xml:space="preserve">0402  945-7T2D216-BAG    5000KG   22029986    (200537202)     Br.   </t>
  </si>
  <si>
    <t xml:space="preserve">0402  XCY620S-76701-BAG    20000KG   22037308    (82962876)      </t>
  </si>
  <si>
    <t xml:space="preserve">0402  XCY620S-76701-BAG    20000KG   22037308    (82962877)      </t>
  </si>
  <si>
    <t xml:space="preserve">0402  XCY620S-76701-BAG    20000KG   22037308    (82962878)      </t>
  </si>
  <si>
    <t xml:space="preserve">0402  XCY620S-76701-BAG    20000KG   22037308    (82962879)      </t>
  </si>
  <si>
    <t xml:space="preserve">0402  945-7T2D216-BAG    8000KG   22029986    (200537264)     Br.   </t>
  </si>
  <si>
    <t xml:space="preserve">0402  XCY620S-76701-BAG    20000KG   22037308    (82962880)      </t>
  </si>
  <si>
    <t xml:space="preserve">0402  357TF-1001-SSS    20000KG   22088360    (93290248)      </t>
  </si>
  <si>
    <t xml:space="preserve">0402  945-8T9D148-BAG    20000KG   22038397    (200558064)     Br.   </t>
  </si>
  <si>
    <t xml:space="preserve">0402  945-8T7D087-BAG    20000KG   22031466    (96016715)      </t>
  </si>
  <si>
    <t xml:space="preserve">0402  945-7T8D574-BAG    10000KG   22034225    (200555906)     Br.   </t>
  </si>
  <si>
    <t xml:space="preserve">0402  943-NC-BAG    10000KG   22018287    (200560180)     Br.   </t>
  </si>
  <si>
    <t xml:space="preserve">0402  945-7T9A0590-BAG    10000KG   22098535    (200527627)      </t>
  </si>
  <si>
    <t xml:space="preserve">0402  945U-NC-BAG    10197KG   22039271    (200497370)      </t>
  </si>
  <si>
    <t xml:space="preserve">0402  945-8T8A1183-BAG    8000KG   299901533    (200446072)      </t>
  </si>
  <si>
    <t xml:space="preserve">0402  GLX143-GN4G119T-BAG    10000KG   22067691    (200497123)      </t>
  </si>
  <si>
    <t xml:space="preserve">0402  CX7240-8B6D009-BAG    5000KG   22035230    (200554835)      </t>
  </si>
  <si>
    <t xml:space="preserve">0402  143R-WH7D381X-BAG    2000KG   22017275    (200545240)      </t>
  </si>
  <si>
    <t xml:space="preserve">0402  C6600-GY8889-BAG    2000KG   22039817    (200559106)     Br.   </t>
  </si>
  <si>
    <t xml:space="preserve">0402  925U-WH9G195-BAG    5000KG   22038291    (200561723)      </t>
  </si>
  <si>
    <t xml:space="preserve">0402  123R-GY4G232T-BAG    2000KG   22030942    (200558270)      </t>
  </si>
  <si>
    <t xml:space="preserve">0402  LS2-414-BAG    20000KG   22018729    (200531578)      </t>
  </si>
  <si>
    <t xml:space="preserve">0402  123R-WH7D277X-BAG    10000KG   22021303    (200533476)      </t>
  </si>
  <si>
    <t xml:space="preserve">0402  LS2-4135-BAG    20000KG   22028049    (200531580)      </t>
  </si>
  <si>
    <t xml:space="preserve">0402  121R-GY1D201T-BAG    2000KG   22033283    (200555846)      </t>
  </si>
  <si>
    <t xml:space="preserve">0402  945-NC-BAG    20000KG   22022070    (94727000)      </t>
  </si>
  <si>
    <t xml:space="preserve">0402  241R-WH8F021-BAG    2000KG   22044918    (200558139)      </t>
  </si>
  <si>
    <t xml:space="preserve">0402  241R-GN8B014T-BAG    2000KG   22030867    (200548766)      </t>
  </si>
  <si>
    <t xml:space="preserve">0402  940-NC-BAG    20000KG   22022017    (95348817)     Br.   </t>
  </si>
  <si>
    <t xml:space="preserve">0402  945-NC-BAG    20000KG   22022070    (96247168)      </t>
  </si>
  <si>
    <t xml:space="preserve">0402  GLX143-GN4G119T-BAG    10000KG   22067691    (200497052)      </t>
  </si>
  <si>
    <t xml:space="preserve">0402  GLX143-GN4G119T-BAG    10000KG   22067691    (200497053)      </t>
  </si>
  <si>
    <t xml:space="preserve">0402  FXD121R-WH6E008X-BAG    2000KG   22036130    (200540940)      </t>
  </si>
  <si>
    <t xml:space="preserve">0402  GLX143-GN4G119T-BAG    10000KG   22067691    (200497104)      </t>
  </si>
  <si>
    <t xml:space="preserve">0402  GLX143-GN4G119T-BAG    10000KG   22067691    (200497054)      </t>
  </si>
  <si>
    <t xml:space="preserve">0402  FXD121R-WH6E008X-BAG    2000KG   22036130    (200540939)      </t>
  </si>
  <si>
    <t xml:space="preserve">0402  FXD123R-WH3C015X-BAG    6000KG   22032499    (200546601)      </t>
  </si>
  <si>
    <t xml:space="preserve">0402  MC1300-100-BAG    20000KG   22018739    (94699040)      </t>
  </si>
  <si>
    <t xml:space="preserve">0402  MC1300-100-BAG    20000KG   22018739    (94699041)      </t>
  </si>
  <si>
    <t xml:space="preserve">0402  LUX2114G-WH5B140X-BAG    1000KG   22023831    (200559993)      </t>
  </si>
  <si>
    <t xml:space="preserve">0402  LUX2114G-WH5B140X-BAG    5000KG   22023831    (200559207)      </t>
  </si>
  <si>
    <t xml:space="preserve">0402  LUX2114G-WH8G625X-BAG    5000KG   22032676    (200549460)      </t>
  </si>
  <si>
    <t xml:space="preserve">0402  MC1300-100-BAG    20000KG   22018739    (94678264)      </t>
  </si>
  <si>
    <t xml:space="preserve">0402  EXL1414T-1A8A3284T-BAG    17000KG   22103046    (96219574)      </t>
  </si>
  <si>
    <t xml:space="preserve">0402  MC1300-100-BAG    20000KG   22018739    (94678265)      </t>
  </si>
  <si>
    <t xml:space="preserve">0402  MC1300-100-BAG    20000KG   22018739    (94678266)      </t>
  </si>
  <si>
    <t xml:space="preserve">0402  LUX2114G-WH8G625X-BAG    3000KG   22032676    (200549461)      </t>
  </si>
  <si>
    <t xml:space="preserve">0402  LG9000-100-BAG    20000KG   22023994    (200497070)      </t>
  </si>
  <si>
    <t xml:space="preserve">0402  C1200HF-100-BAG    20000KG   22019660    (88398245)      </t>
  </si>
  <si>
    <t xml:space="preserve">0402  MC1300-100-BAG    20000KG   22018739    (94700527)      </t>
  </si>
  <si>
    <t xml:space="preserve">0402  MC1300-100-BAG    20000KG   22018739    (94700528)      </t>
  </si>
  <si>
    <t xml:space="preserve">0402  MC1300-100-BAG    20000KG   22018739    (94700529)      </t>
  </si>
  <si>
    <t xml:space="preserve">0402  MC1300-100-BAG    20000KG   22018739    (94700530)      </t>
  </si>
  <si>
    <t xml:space="preserve">0402  MC1300-100-BAG    20000KG   22018739    (94700531)      </t>
  </si>
  <si>
    <t xml:space="preserve">0402  MC1300-100-BAG    20000KG   22018739    (94699063)      </t>
  </si>
  <si>
    <t xml:space="preserve">0402  MC1300-100-BAG    20000KG   22018739    (94699057)      </t>
  </si>
  <si>
    <t xml:space="preserve">0402  MC1300-100-BAG    20000KG   22018739    (94699056)      </t>
  </si>
  <si>
    <t xml:space="preserve">0402  MC1300-100-BAG    20000KG   22018739    (85647844)      </t>
  </si>
  <si>
    <t xml:space="preserve">0402  EXL9330-5T7D005-BAG    5000KG   22029397    (200502927)      </t>
  </si>
  <si>
    <t xml:space="preserve">0402  HF1130R-111-BAG    10000KG   22028312    (200560189)      </t>
  </si>
  <si>
    <t xml:space="preserve">0402  EXL1414-GY8B195-BAG    5000KG   22040454    (200524337)      </t>
  </si>
  <si>
    <t xml:space="preserve">0402  121R-7R7D031-SSS    20000KG   22037463    (200529089)      </t>
  </si>
  <si>
    <t xml:space="preserve">0402  141R-80711-BAG    9000KG   22038171    (200509387)      </t>
  </si>
  <si>
    <t xml:space="preserve">0402  141R-GY6A427-SSS    10000KG   22038198    (200553646)      </t>
  </si>
  <si>
    <t xml:space="preserve">0402  121R-7R7D031-SSS    20000KG   22037463    (200561488)      </t>
  </si>
  <si>
    <t xml:space="preserve">0402  141R-80711-BAG    9000KG   22038171    (200528331)      </t>
  </si>
  <si>
    <t xml:space="preserve">0402  LUX7630C-NAT-BAG    3000KG   22023838    (200560167)      </t>
  </si>
  <si>
    <t xml:space="preserve">0402  MC1300-100-BAG    20000KG   22018739    (94699042)      </t>
  </si>
  <si>
    <t xml:space="preserve">0402  MC1300-100-BAG    20000KG   22018739    (94699043)      </t>
  </si>
  <si>
    <t xml:space="preserve">0402  XCY620S-76701-BAG    20000KG   22037308    (82962841)      </t>
  </si>
  <si>
    <t xml:space="preserve">0402  XCY620S-76701-BAG    20000KG   22037308    (82962869)      </t>
  </si>
  <si>
    <t xml:space="preserve">0402  XCY620S-76701-BAG    20000KG   22037308    (82962862)      </t>
  </si>
  <si>
    <t xml:space="preserve">0402  XCY620S-76701-BAG    20000KG   22037308    (82962860)      </t>
  </si>
  <si>
    <t xml:space="preserve">0402  XCY620S-76701-BAG    20000KG   22037308    (82962858)      </t>
  </si>
  <si>
    <t xml:space="preserve">0402  XCY620S-76701-BAG    20000KG   22037308    (82962857)      </t>
  </si>
  <si>
    <t xml:space="preserve">0402  920-NC-BAG    10000KG   22022157    (200560221)     Br.   </t>
  </si>
  <si>
    <t xml:space="preserve">0402  MC1300-100-SSS    20000KG   22036948    (200504690)      </t>
  </si>
  <si>
    <t xml:space="preserve">0402  MC1300-100-BAG    20000KG   22018739    (94678267)      </t>
  </si>
  <si>
    <t xml:space="preserve">0402  XCY620S-76701-BAG    20000KG   22037308    (82962847)      </t>
  </si>
  <si>
    <t xml:space="preserve">0402  XCY620S-76701-BAG    20000KG   22037308    (82962846)      </t>
  </si>
  <si>
    <t xml:space="preserve">0402  XCY620S-76701-BAG    20000KG   22037308    (82962845)      </t>
  </si>
  <si>
    <t xml:space="preserve">0402  XCY620S-76701-BAG    20000KG   22037308    (82962835)      </t>
  </si>
  <si>
    <t xml:space="preserve">0402  XCY620S-76701-BAG    20000KG   22037308    (82962836)      </t>
  </si>
  <si>
    <t xml:space="preserve">0402  MC1300-100-BAG    20000KG   22018739    (94678268)      </t>
  </si>
  <si>
    <t xml:space="preserve">0402  MC1300-100-BAG    20000KG   22018739    (94678269)      </t>
  </si>
  <si>
    <t xml:space="preserve">0402  LG9000-100-BAG    5000KG   22023994    (200559251)      </t>
  </si>
  <si>
    <t xml:space="preserve">0402  MC1300-100-BAG    20000KG   22018739    (94678270)      </t>
  </si>
  <si>
    <t xml:space="preserve">0402  MC1300-100-BAG    20000KG   22018739    (94678271)      </t>
  </si>
  <si>
    <t xml:space="preserve">0402  XCY620S-100-BAG    20000KG   22025073    (94700208)      </t>
  </si>
  <si>
    <t xml:space="preserve">0402  MC1300-100-BAG    20000KG   22018739    (94678272)      </t>
  </si>
  <si>
    <t xml:space="preserve">0402  MC1300-100-BAG    20000KG   22018739    (94678273)      </t>
  </si>
  <si>
    <t xml:space="preserve">0402  C3650-111-BAG    16000KG   22019705    (200464870)      </t>
  </si>
  <si>
    <t xml:space="preserve">0402  MC1300-100-SSS    20000KG   22036948    (200504766)      </t>
  </si>
  <si>
    <t xml:space="preserve">0402  XCY620S-76701-BAG    20000KG   22037308    (82957931)      </t>
  </si>
  <si>
    <t xml:space="preserve">0402  XCY620S-76701-BAG    20000KG   22037308    (82962884)      </t>
  </si>
  <si>
    <t xml:space="preserve">0402  XCY620S-100-BAG    20000KG   22025073    (94700209)      </t>
  </si>
  <si>
    <t xml:space="preserve">0402  MC1300-100-BAG    20000KG   22018739    (94699062)      </t>
  </si>
  <si>
    <t xml:space="preserve">0402  MC1300-100-BAG    20000KG   22018739    (94699061)      </t>
  </si>
  <si>
    <t xml:space="preserve">0402  MC1300-100-BAG    20000KG   22018739    (94699060)      </t>
  </si>
  <si>
    <t xml:space="preserve">0402  MC1300-100-BAG    20000KG   22018739    (94699059)      </t>
  </si>
  <si>
    <t xml:space="preserve">0402  MC1300-100-BAG    20000KG   22018739    (94699058)      </t>
  </si>
  <si>
    <t xml:space="preserve">0402  MC1300-100-BAG    20000KG   22018739    (94699055)      </t>
  </si>
  <si>
    <t xml:space="preserve">0402  MC1300-100-BAG    20000KG   22018739    (94699054)      </t>
  </si>
  <si>
    <t xml:space="preserve">0402  MC1300-100-BAG    20000KG   22018739    (94699053)      </t>
  </si>
  <si>
    <t xml:space="preserve">0402  MC1300-100-BAG    20000KG   22018739    (94699052)      </t>
  </si>
  <si>
    <t xml:space="preserve">0402  MC1300-100-BAG    20000KG   22018739    (94699051)      </t>
  </si>
  <si>
    <t xml:space="preserve">0402  MC1300-100-BAG    20000KG   22018739    (94699049)      </t>
  </si>
  <si>
    <t xml:space="preserve">0402  MC1300-100-BAG    20000KG   22018739    (94699050)      </t>
  </si>
  <si>
    <t xml:space="preserve">0402  C1200HF-701-BAG    20000KG   22022222    (82959378)      </t>
  </si>
  <si>
    <t xml:space="preserve">0402  LS1-701-BAG    20000KG   22041018    (200516577)      </t>
  </si>
  <si>
    <t xml:space="preserve">0402  LG9000-701-BAG    5000KG   22017215    (200553469)      </t>
  </si>
  <si>
    <t xml:space="preserve">0402  C1200HF-701-BAG    20000KG   22022222    (90033779)      </t>
  </si>
  <si>
    <t xml:space="preserve">0402  XP4034-BK1041-BAG    20000KG   22019027    (90656597)      </t>
  </si>
  <si>
    <t xml:space="preserve">0402  LG9000-BK1044-BAG    5000KG   22018724    (200560391)      </t>
  </si>
  <si>
    <t xml:space="preserve">0402  C1200HF-GY1460-BAG    5000KG   22039413    (200537204)      </t>
  </si>
  <si>
    <t xml:space="preserve">0402  C1200HF-GY1G005-BAG    6000KG   22044899    (200554522)      </t>
  </si>
  <si>
    <t xml:space="preserve">0402  XP4034-BK1041-BAG    10000KG   22019027    (94692688)      </t>
  </si>
  <si>
    <t xml:space="preserve">0402  C1200HF-7001-BAG    10000KG   22034851    (200562500)      </t>
  </si>
  <si>
    <t xml:space="preserve">0402  LS1-701-BAG    10000KG   22041018    (200558326)      </t>
  </si>
  <si>
    <t xml:space="preserve">0402  141R-701-BAG    5000KG   22021359    (200544598)      </t>
  </si>
  <si>
    <t xml:space="preserve">0402  LS1-701-BAG    20000KG   22041018    (200549493)      </t>
  </si>
  <si>
    <t xml:space="preserve">0402  C1200HF-GY1460-BAG    10000KG   22039413    (200521960)      </t>
  </si>
  <si>
    <t xml:space="preserve">0402  LS1-701-BAG    10000KG   22041018    (200558300)      </t>
  </si>
  <si>
    <t xml:space="preserve">0402  C1200HF-BK2G024-BAG    20000KG   22034874    (200551142)      </t>
  </si>
  <si>
    <t xml:space="preserve">0402  XP4034-GY1E349-BAG    10000KG   22041179    (200508695)      </t>
  </si>
  <si>
    <t xml:space="preserve">0402  C1200HF-BK2G024-BAG    20000KG   22034874    (200551079)      </t>
  </si>
  <si>
    <t xml:space="preserve">0402  LS1-701-BAG    20000KG   22041018    (200549471)      </t>
  </si>
  <si>
    <t xml:space="preserve">0402  XP4034-BK1041-BAG    10000KG   22019027    (94692789)      </t>
  </si>
  <si>
    <t xml:space="preserve">0402  XP4034-BK1041-BAG    15000KG   22019027    (94692790)      </t>
  </si>
  <si>
    <t xml:space="preserve">0402  LS1-701-BAG    10000KG   22041018    (200558235)      </t>
  </si>
  <si>
    <t xml:space="preserve">0402  LS1-701-BAG    20000KG   22041018    (200549400)      </t>
  </si>
  <si>
    <t xml:space="preserve">0402  LS1-701-BAG    10000KG   22041018    (200558314)      </t>
  </si>
  <si>
    <t xml:space="preserve">0402  XCY620-BK1G372-BAG    16000KG   22041153    (200496374)      </t>
  </si>
  <si>
    <t xml:space="preserve">0402  XP4034-GY1E811-BAG    10000KG   22019030    (200561871)      </t>
  </si>
  <si>
    <t xml:space="preserve">0402  C1200HF-7001-BBG    10000KG   22028879    (200558256)      </t>
  </si>
  <si>
    <t xml:space="preserve">0402  LS1-701-BAG    20000KG   22041018    (200549507)      </t>
  </si>
  <si>
    <t xml:space="preserve">0402  C1200HF-BK2G024-BAG    20000KG   22034874    (200551123)      </t>
  </si>
  <si>
    <t xml:space="preserve">0402  LS1-701-BAG    20000KG   22041018    (200549528)      </t>
  </si>
  <si>
    <t xml:space="preserve">0402  XP4034-7G1A1101-BAG    10000KG   299901337    (200558282)      </t>
  </si>
  <si>
    <t xml:space="preserve">0402  XP4034-BK1B374-BAG    20000KG   22041176    (200520422)      </t>
  </si>
  <si>
    <t xml:space="preserve">0402  C1200HF-BK2G024-BAG    20000KG   22034874    (200551017)      </t>
  </si>
  <si>
    <t xml:space="preserve">0402  XCY620-BK1005-BAG    20000KG   22025061    (94714325)      </t>
  </si>
  <si>
    <t xml:space="preserve">0402  LS1-701-BAG    20000KG   22041018    (200549459)      </t>
  </si>
  <si>
    <t xml:space="preserve">0402  LG9000-GY1C306-BAG    13000KG   22018726    (200540824)      </t>
  </si>
  <si>
    <t xml:space="preserve">0402  C1200HF-GY1460-BAG    5000KG   22039413    (200539808)      </t>
  </si>
  <si>
    <t xml:space="preserve">0402  C1200HF-GY1460-BAG    10000KG   22039413    (200537703)      </t>
  </si>
  <si>
    <t xml:space="preserve">0402  XCY620-BK1G372-BAG    10000KG   22041153    (200537625)      </t>
  </si>
  <si>
    <t xml:space="preserve">0402  XCY620-BK1G372-BAG    10000KG   22041153    (200535117)      </t>
  </si>
  <si>
    <t xml:space="preserve">0402  XP4034-BK1041-BAG    20000KG   22019027    (94692791)      </t>
  </si>
  <si>
    <t xml:space="preserve">0402  C1200HF-701-BAG    20000KG   22022222    (90033780)      </t>
  </si>
  <si>
    <t xml:space="preserve">0402  XCY620-BK1005-BAG    20000KG   22025061    (94714326)      </t>
  </si>
  <si>
    <t xml:space="preserve">0402  XP4034-GY1E811-BAG    10000KG   22019030    (200508774)      </t>
  </si>
  <si>
    <t xml:space="preserve">0402  XCY620-BK1G372-BAG    10000KG   22041153    (200537540)      </t>
  </si>
  <si>
    <t xml:space="preserve">0402  SLX2471T-NA9E166T-BAG    1000KG   22024953    (200554902)      </t>
  </si>
  <si>
    <t xml:space="preserve">0402  LUX9610-111N-BAG    1675KG   22041065    (200548737)      </t>
  </si>
  <si>
    <t xml:space="preserve">0402  FXD171R-WH7E306X-BAG    500KG   22017394    (200551271)      </t>
  </si>
  <si>
    <t xml:space="preserve">0402  103-111-BAG    5000KG   22028578    (200523571)      </t>
  </si>
  <si>
    <t xml:space="preserve">0402  945U-NC-BAG    10000KG   22039271    (200554900)      </t>
  </si>
  <si>
    <t xml:space="preserve">0402  LUX9130T-NAT-BAG    10000KG   22036940    (200421445)      </t>
  </si>
  <si>
    <t xml:space="preserve">0402  FXD141R-NA1D001X-BAG    2000KG   22030318    (200514393)      </t>
  </si>
  <si>
    <t xml:space="preserve">0402  FXD123R-WH3C015X-BAG    3000KG   22032499    (200559224)      </t>
  </si>
  <si>
    <t xml:space="preserve">0402  9925A-NA1A0036-BAG    2000KG   22034701    (200549117)      </t>
  </si>
  <si>
    <t xml:space="preserve">0402  FXD121R-WH6E008X-BAG    2000KG   22036130    (200496048)      </t>
  </si>
  <si>
    <t xml:space="preserve">0402  LUX2114G-WH4G020X-BAG    3000KG   22036929    (200426612)      </t>
  </si>
  <si>
    <t xml:space="preserve">0402  LUX2114G-WH5B140X-BAG    2000KG   22023831    (200530651)      </t>
  </si>
  <si>
    <t xml:space="preserve">0402  FXD121R-NA2D006X-BAG    2000KG   22036125    (200496047)      </t>
  </si>
  <si>
    <t xml:space="preserve">0402  XCY620S-100-BAG    10000KG   22025073    (86435842)      </t>
  </si>
  <si>
    <t xml:space="preserve">0402  923A-116-BAG    500KG   22022183    (200561340)      </t>
  </si>
  <si>
    <t xml:space="preserve">0402  LUX9130T-NAT-BAG    10000KG   22036940    (200421444)      </t>
  </si>
  <si>
    <t xml:space="preserve">0402  FXD121R-WH6E008X-BAG    2000KG   22036130    (200496049)      </t>
  </si>
  <si>
    <t xml:space="preserve">0402  LUX7636C-WH5E143X-BAG    2000KG   22028318    (200559384)      </t>
  </si>
  <si>
    <t xml:space="preserve">0402  LUX7630C-NAT-BAG    1000KG   22023838    (200559171)      </t>
  </si>
  <si>
    <t xml:space="preserve">0402  LUX9610-NA9G155T-BAG    10000KG   22036943    (200562446)      </t>
  </si>
  <si>
    <t xml:space="preserve">0402  164H-111FC-BAG    2000KG   22031018    (200495973)      </t>
  </si>
  <si>
    <t xml:space="preserve">0402  C2950HF-GY1291-BAG    1000KG   22031568    (200564671)      </t>
  </si>
  <si>
    <t xml:space="preserve">0402  EXL1414T-7A1D194-BAG    1000KG   22039730    (200554982)      </t>
  </si>
  <si>
    <t xml:space="preserve">0402  CX7241-7R1D180-BAG    2000KG   22072855    (200532750)      </t>
  </si>
  <si>
    <t xml:space="preserve">0402  EXL8483-7A1D262-BAG    4000KG   22040537    (200556911)      </t>
  </si>
  <si>
    <t xml:space="preserve">0402  C1200HF-76701-BAG    10000KG   22028141    (95299977)      </t>
  </si>
  <si>
    <t xml:space="preserve">0402  C6600-GY2A547-BAG    1000KG   22038939    (200555900)      </t>
  </si>
  <si>
    <t xml:space="preserve">0402  C2950HF-GY1291-BAG    7000KG   22031568    (200561291)      </t>
  </si>
  <si>
    <t xml:space="preserve">0402  BX7241-7A1D330-BAG    4000KG   22072651    (200556947)      </t>
  </si>
  <si>
    <t xml:space="preserve">0402  C6200-7T1D306-BAG    10000KG   22035116    (200560244)      </t>
  </si>
  <si>
    <t xml:space="preserve">0402  EXL9330-BK2E002-BAG    1000KG   22036348    (200562605)      </t>
  </si>
  <si>
    <t xml:space="preserve">0402  EXL9134-7T2D205-BAG    2000KG   22029393    (200551356)      </t>
  </si>
  <si>
    <t xml:space="preserve">0402  D2000P-BK1A644-BAG    2000KG   22027937    (200559103)      </t>
  </si>
  <si>
    <t xml:space="preserve">0402  925-701-BAG    500KG   22022189    (200555908)      </t>
  </si>
  <si>
    <t xml:space="preserve">0402  C2800-701-BAG    1000KG   22017334    (200560132)      </t>
  </si>
  <si>
    <t xml:space="preserve">0402  C1200HF-GY2E337-BAG    2000KG   22031630    (200558345)      </t>
  </si>
  <si>
    <t xml:space="preserve">0402  XCY620-BK1G372-BAG    3000KG   22041153    (200537925)      </t>
  </si>
  <si>
    <t xml:space="preserve">0402  953-701-BAG    5000KG   22019593    (200529075)      </t>
  </si>
  <si>
    <t xml:space="preserve">0402  LG9000-BK1044-BAG    1000KG   22018724    (200479758)      </t>
  </si>
  <si>
    <t xml:space="preserve">0402  ML6411-7T4D041L-BAG    10000KG   22036797    (200561419)      </t>
  </si>
  <si>
    <t xml:space="preserve">0402  HF1110R-701-BAG    1000KG   22023557    (200560120)      </t>
  </si>
  <si>
    <t xml:space="preserve">0402  D251RC-7A1D379-BAG    10000KG   22097758    (200565956)      </t>
  </si>
  <si>
    <t xml:space="preserve">0402  EXL9330-BK1A068-BAG    20000KG   22018508    (96103540)      </t>
  </si>
  <si>
    <t xml:space="preserve">0402  EXL9330-BK1A068-BAG    20000KG   22018508    (96038555)      </t>
  </si>
  <si>
    <t xml:space="preserve">0402  EXL9330-BK1A233-BAG    20000KG   22020017    (95359437)      </t>
  </si>
  <si>
    <t xml:space="preserve">0402  EXL9330P-BK1E649-BAG    20000KG   22035991    (92846408)      </t>
  </si>
  <si>
    <t xml:space="preserve">0402  C4220-76701-BAG    5000KG   22030087    (200547546)      </t>
  </si>
  <si>
    <t xml:space="preserve">0402  D551RC-701-SBG    10000KG   22086246    (96281789)      </t>
  </si>
  <si>
    <t xml:space="preserve">0402  DX10311-7B1D125-SBG    5000KG   22029221    (200550412)      </t>
  </si>
  <si>
    <t xml:space="preserve">0402  DX11355-BKNAT-FBG    20000KG   22082385    (95368791)      </t>
  </si>
  <si>
    <t xml:space="preserve">0402  DX11355-BKNAT-FBG    20000KG   22082385    (96280870)      </t>
  </si>
  <si>
    <t xml:space="preserve">0402  WF006N-7A1A0666-SBG    1000KG   22098412    (200548730)      </t>
  </si>
  <si>
    <t xml:space="preserve">0402  D551-701-SBG    6500KG   22032152    (200557882)      </t>
  </si>
  <si>
    <t xml:space="preserve">0402  RCP36-BK1A862-SBG    2400KG   22040918    (92477791)      </t>
  </si>
  <si>
    <t xml:space="preserve">0402  DX11355-BKNAT-FBG    20000KG   22082385    (94691478)      </t>
  </si>
  <si>
    <t xml:space="preserve">0402  RCP36-BK1A862-SBG    3200KG   22040918    (92477792)      </t>
  </si>
  <si>
    <t xml:space="preserve">0402  NX07344-BK1E565-BAG    925KG   22041265    (200549206)      </t>
  </si>
  <si>
    <t xml:space="preserve">0402  A3000-BK8115-BAG    1000KG   22034318    (200541939)      </t>
  </si>
  <si>
    <t xml:space="preserve">0402  WF006N-4A6A3914-SBG    1000KG   299904430    (200558290)      </t>
  </si>
  <si>
    <t xml:space="preserve">0402  D251RC-7A1D379-BAG    1000KG   22097758    (200559202)      </t>
  </si>
  <si>
    <t xml:space="preserve">0402  WF008NA-7N1A4352-SBG    315KG   299905588    (200562421)      </t>
  </si>
  <si>
    <t xml:space="preserve">0402  WF006N-4A8A3915-SBG    1000KG   299904429    (200546258)      </t>
  </si>
  <si>
    <t xml:space="preserve">0402  ER007485-2G2A4425-SBG    300KG   22106792    (96286617)      </t>
  </si>
  <si>
    <t xml:space="preserve">0402  MC5220-7001-BAG    2000KG   22030554    (200549055)      </t>
  </si>
  <si>
    <t xml:space="preserve">0402  C2950HF-BL2082-BAG    500KG   22039549    (200562555)      </t>
  </si>
  <si>
    <t xml:space="preserve">0402  WF006N-4A6A3914-SBG    1000KG   299904430    (200548396)      </t>
  </si>
  <si>
    <t xml:space="preserve">0402  CX7240U-7T1D359-BAG    20000KG   22035659    (200562795)      </t>
  </si>
  <si>
    <t xml:space="preserve">0402  C2950HF-BL2082-BAG    500KG   22039549    (200562556)      </t>
  </si>
  <si>
    <t xml:space="preserve">0402  R2000-GYMDNAT-SBG    1000KG   22041327    (200548370)      </t>
  </si>
  <si>
    <t xml:space="preserve">0402  DC0041PR-7M1D145-BAG    10000KG   22084188    (96103100)      </t>
  </si>
  <si>
    <t xml:space="preserve">0402  RFP36-BK1A856-SBG    1000KG   22040935    (85966981)      </t>
  </si>
  <si>
    <t xml:space="preserve">0402  DC0041PR-7M1D145-BAG    10000KG   22084188    (96281790)      </t>
  </si>
  <si>
    <t xml:space="preserve">0402  915R-GY5G115-BAG    1000KG   22038986    (200543491)      </t>
  </si>
  <si>
    <t xml:space="preserve">0402  CY6012-6M1D009-BAG    3025KG   22072870    (200561385)      </t>
  </si>
  <si>
    <t xml:space="preserve">0402  D151-7M4D046-BAG    500KG   22046330    (200560256)      </t>
  </si>
  <si>
    <t xml:space="preserve">0402  ML6411-7T8D707-BAG    500KG   22040673    (200555858)      </t>
  </si>
  <si>
    <t xml:space="preserve">0402  C6600-GY9A016-BAG    1000KG   22039826    (200560089)      </t>
  </si>
  <si>
    <t xml:space="preserve">0402  UFL36S-BKNAT-SBG    1000KG   22041363    (86521991)      </t>
  </si>
  <si>
    <t xml:space="preserve">0402  WF006N-8A8A1122-SBG    1000KG   22104379    (200557796)      </t>
  </si>
  <si>
    <t xml:space="preserve">0402  BPL1000-GY6E054-BAG    1000KG   22038531    (92134647)      </t>
  </si>
  <si>
    <t xml:space="preserve">0402  UFL36AS-YWLTNAT-SBG    1000KG   22037570    (97081540)      </t>
  </si>
  <si>
    <t xml:space="preserve">0402  CX7240-GY8D348-BAG    2000KG   22032089    (200559286)      </t>
  </si>
  <si>
    <t xml:space="preserve">0402  UFL36AS-YWLTNAT-SBG    1000KG   22037570    (94493587)      </t>
  </si>
  <si>
    <t xml:space="preserve">0402  LS1-701-BAG    20000KG   22041018    (200516705)      </t>
  </si>
  <si>
    <t xml:space="preserve">0402  LS1-701-BAG    20000KG   22041018    (200516678)      </t>
  </si>
  <si>
    <t xml:space="preserve">0402  LS1-701-BAG    20000KG   22041018    (200516636)      </t>
  </si>
  <si>
    <t xml:space="preserve">0402  DX89406-BKNAT-BPK    10000KG   22039467    (92302282)      </t>
  </si>
  <si>
    <t xml:space="preserve">0402  DX89406-BKNAT-BPK    10000KG   22039467    (92302280)      </t>
  </si>
  <si>
    <t xml:space="preserve">0402  DX89406-BKNAT-BPK    10000KG   22039467    (92302277)      </t>
  </si>
  <si>
    <t xml:space="preserve">0402  DX89406-BKNAT-BPK    10000KG   22039467    (92302273)      </t>
  </si>
  <si>
    <t xml:space="preserve">0402  DX89406-BKNAT-BPK    10000KG   22039467    (92302275)      </t>
  </si>
  <si>
    <t xml:space="preserve">0402  DX89406-BKNAT-BPK    10000KG   22039467    (92302270)      </t>
  </si>
  <si>
    <t xml:space="preserve">0402  EXL1433T-NA8A005T-BAG    100KG   22019987    (200551150)      </t>
  </si>
  <si>
    <t xml:space="preserve">0402  SLX2271T-NA9E166T-BAG    100KG   22024947    (200548570)      </t>
  </si>
  <si>
    <t xml:space="preserve">0402  LUX9612-WH8E508X-BAG    25KG   22017108    (200562541)      </t>
  </si>
  <si>
    <t xml:space="preserve">0402  EXL1414-GY1G336-BAG    500KG   22028749    (200561511)      </t>
  </si>
  <si>
    <t xml:space="preserve">0402  C6600-6B5D001-BAG    100KG   22034747    (200560344)      </t>
  </si>
  <si>
    <t xml:space="preserve">0402  C2800-7T2D256-BAG    100KG   22031509    (200564696)      </t>
  </si>
  <si>
    <t xml:space="preserve">0402  NL001-BK1B643-BAG    25KG   22036885    (200555884)      </t>
  </si>
  <si>
    <t xml:space="preserve">0402  940-WH9G555-BAG    100KG   22039131    (200556893)      </t>
  </si>
  <si>
    <t xml:space="preserve">0402  223R-BR2G132-BAG    500KG   22044053    (200548727)      </t>
  </si>
  <si>
    <t xml:space="preserve">0402  ENH2900-WH6G038-BAG    25KG   22040325    (91762082)      </t>
  </si>
  <si>
    <t xml:space="preserve">0402  CFR9111-7M1D228T-BAG    300KG   22083871    (200566002)      </t>
  </si>
  <si>
    <t xml:space="preserve">0402  945-WH5185-BAG    25KG   22038419    (200553741)      </t>
  </si>
  <si>
    <t xml:space="preserve">0402  EXL9330-7T3D128-BAG    100KG   22036326    (200544628)      </t>
  </si>
  <si>
    <t xml:space="preserve">0402  C2800-GY6B278-BAG    50KG   22038683    (200534803)      </t>
  </si>
  <si>
    <t xml:space="preserve">0402  C2950HF-BK1D834-BAG    100KG   22034639    (200547469)      </t>
  </si>
  <si>
    <t xml:space="preserve">0402  D151-6M2A1665-BAG    150KG   299901854    (200559000)      </t>
  </si>
  <si>
    <t xml:space="preserve">0402  C6200-7T4D018-BAG    300KG   22038790    (200551214)      </t>
  </si>
  <si>
    <t xml:space="preserve">0402  DFL22-BK8115-BAG    100KG   22031886    (200550045)      </t>
  </si>
  <si>
    <t xml:space="preserve">0402  RF006S-BK1A791-SBG    100KG   22037032    (200565917)      </t>
  </si>
  <si>
    <t xml:space="preserve">0402  R2000-BK1A831-SBG    100KG   22037395    (200552287)      </t>
  </si>
  <si>
    <t xml:space="preserve">0402  420SE0-GN4B079-BAG    25KG   22033684    (200561373)      </t>
  </si>
  <si>
    <t xml:space="preserve">0007527967  PVX0901-BK1066-BAG    5000KG   22036954    (200489904)      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</si>
  <si>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</si>
  <si>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</si>
  <si>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</si>
  <si>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</si>
  <si>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</si>
  <si>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</si>
  <si>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</si>
  <si>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</si>
  <si>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0007614539  C6200-WH9D397-BAG    10000KG   22039644    (200497257)      </t>
  </si>
  <si>
    <t xml:space="preserve">  121R-GY8F074-SSS    10000KG   22105472    (92463176)      </t>
  </si>
  <si>
    <t xml:space="preserve">0008493567  3412ECR-131-BAG    10000KG   22021723    (200562925)      </t>
  </si>
  <si>
    <t xml:space="preserve">0008384894  3412ECR-WH8E395-BAG    5000KG   22037868    (200557252)     Br.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</si>
  <si>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</si>
  <si>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</si>
  <si>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</si>
  <si>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</si>
  <si>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</si>
  <si>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</si>
  <si>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</si>
  <si>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</si>
  <si>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</si>
  <si>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</si>
  <si>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</si>
  <si>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</si>
  <si>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</si>
  <si>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0008351673  FN215X-111-BAG    6475KG   22028763    (200550354)      </t>
  </si>
  <si>
    <t xml:space="preserve">0007708988  PX9406-GY8D396-BAG    5000KG   22037377    (200507022)      </t>
  </si>
  <si>
    <t xml:space="preserve">0008403253  PX9406P-GY5E492-BAG    1000KG   22032732    (200558294)      </t>
  </si>
  <si>
    <t xml:space="preserve">  IGN5531-71003-SSS    10000KG   22073242    (97081360)      </t>
  </si>
  <si>
    <t xml:space="preserve">  IGN5531-71003-SSS    10000KG   22073242    (97081538)      </t>
  </si>
  <si>
    <t xml:space="preserve">0008383492  PX2801Z-OR8B008-BAG    100KG   22037004    (200556954)     Br.   </t>
  </si>
  <si>
    <t xml:space="preserve">0008227798  1000-BL7079-BAG    1000KG   22033128    (200533505)     Br.   </t>
  </si>
  <si>
    <t xml:space="preserve">0008316565  1000-BR7095-BAG    200KG   22030661    (200546370)     Br.   </t>
  </si>
  <si>
    <t xml:space="preserve">0008318610  1000R-RD6B018-BAG    100KG   22033154    (200546846)      </t>
  </si>
  <si>
    <t xml:space="preserve">0008318605  1000R-GY2B087-BAG    100KG   22019073    (200546893)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</si>
  <si>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</si>
  <si>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</si>
  <si>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</si>
  <si>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0008384152  131-111N-BAG    1000KG   22019159    (200557034)      </t>
  </si>
  <si>
    <t xml:space="preserve">0008380399  121R-GY1D201T-BAG    1000KG   22033283    (200556053)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</si>
  <si>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</si>
  <si>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</si>
  <si>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0008379363  C2950-7T1D250-BAG    2000KG   22031532    (200555895)     Br.   </t>
  </si>
  <si>
    <t xml:space="preserve">0008422947  C2950HF-GY1D453-BAG    2000KG   22045238    (200559526)     Br.   </t>
  </si>
  <si>
    <t xml:space="preserve">0008488130  HRA222-WH4C030U-BAG    5000KG   22040377    (200562435)     Br.   </t>
  </si>
  <si>
    <t xml:space="preserve">0008471129  C6200-7T1D394-BAG    1000KG   22043956    (200561289)      </t>
  </si>
  <si>
    <t xml:space="preserve">0008473700  C6600-7R6D035-BAG    500KG   22034771    (200561513)   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</si>
  <si>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</si>
  <si>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</si>
  <si>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</si>
  <si>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0008527137  CM6140-7T7A3687-    100KG   299904423    (200566340)      </t>
  </si>
  <si>
    <t xml:space="preserve">0008532374  BPL1000-BK1C340-BAG    150KG   22034792    (200567218)      </t>
  </si>
  <si>
    <t xml:space="preserve">0008491151  C2950-4T6D005-BAG    3000KG   22035018    (200562713)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</si>
  <si>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</si>
  <si>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</si>
  <si>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</si>
  <si>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</si>
  <si>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</si>
  <si>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</si>
  <si>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</si>
  <si>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0008236492  HRA222-BK1A021-BAG    4000KG   22032595    (200535905)     Br.   </t>
  </si>
  <si>
    <t xml:space="preserve">  3412ECR-739-BAG    20000KG   22017144    (97082341)      </t>
  </si>
  <si>
    <t xml:space="preserve">  3412ECR-739-BAG    20000KG   22017144    (94769857)      </t>
  </si>
  <si>
    <t xml:space="preserve">  3412ECR-739-BAG    20000KG   22017144    (97082342)      </t>
  </si>
  <si>
    <t xml:space="preserve">0008532117  2110-7301-BAG    10000KG   22021479    (200567132)      </t>
  </si>
  <si>
    <t xml:space="preserve">0008532102  2110-7301-BAG    10000KG   22021479    (200567194)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</si>
  <si>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</si>
  <si>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</si>
  <si>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3412R-739-BAG    10000KG   22021730    (96016662)     Br.   </t>
  </si>
  <si>
    <t xml:space="preserve">  C2950-701-BAG    20000KG   22022271    (95453261)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</si>
  <si>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</si>
  <si>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</si>
  <si>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</si>
  <si>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</si>
  <si>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</si>
  <si>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</si>
  <si>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</si>
  <si>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</si>
  <si>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</si>
  <si>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</si>
  <si>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0008417099  325-1001-BAG    2000KG   22026893    (200559192)      </t>
  </si>
  <si>
    <t xml:space="preserve">0008365181  C6600-7T6D253-BAG    1000KG   22084473    (200552305)      </t>
  </si>
  <si>
    <t xml:space="preserve">0008280370  3412ECR-GY2E372-BAG    2000KG   22033602    (200539746)      </t>
  </si>
  <si>
    <t xml:space="preserve">0402  953A-116-BAG    10075KG   22022088    (200566093)      </t>
  </si>
  <si>
    <t xml:space="preserve">0402  XHT3141-GY8D046-BAG    2000KG   22025093    (200567282)      </t>
  </si>
  <si>
    <t xml:space="preserve">0402  C6600-2B2D008-BAG    5000KG   22039652    (200566300)      </t>
  </si>
  <si>
    <t xml:space="preserve">0402  C6600-2B2D008-BAG    5000KG   22039652    (200566327)      </t>
  </si>
  <si>
    <t xml:space="preserve">0402  CY6025-WH8G710-BAG    20000KG   22030264    (200566116)      </t>
  </si>
  <si>
    <t xml:space="preserve">0402  C6600-2B2D008-BAG    5000KG   22039652    (200566364)      </t>
  </si>
  <si>
    <t xml:space="preserve">0402  CY6012-7M1D238-BAG    10600KG   22089280    (200536239)      </t>
  </si>
  <si>
    <t xml:space="preserve">0402  241R-701-BAG    10000KG   22021559    (200566414)      </t>
  </si>
  <si>
    <t xml:space="preserve">0402  C2950HF-66615-BAG    2000KG   22019694    (200566284)      </t>
  </si>
  <si>
    <t xml:space="preserve">0402  XCY620S-76701-BAG    20000KG   22037308    (97125724)      </t>
  </si>
  <si>
    <t xml:space="preserve">0402  XCY620S-76701-BAG    20000KG   22037308    (97124241)      </t>
  </si>
  <si>
    <t xml:space="preserve">0402  XCY620S-76701-BAG    20000KG   22037308    (97124242)      </t>
  </si>
  <si>
    <t xml:space="preserve">0402  XCY620S-76701-BAG    20000KG   22037308    (97124243)      </t>
  </si>
  <si>
    <t xml:space="preserve">0402  XCY620S-76701-BAG    20000KG   22037308    (97124244)      </t>
  </si>
  <si>
    <t xml:space="preserve">0402  XCY620S-76701-BAG    20000KG   22037308    (97125727)      </t>
  </si>
  <si>
    <t xml:space="preserve">0402  CY6012-7M1D238-BAG    10000KG   22089280    (200536265)      </t>
  </si>
  <si>
    <t xml:space="preserve">0402  920-70405-BAG    500KG   22039003    (200567078)      </t>
  </si>
  <si>
    <t xml:space="preserve">0402  C6600-GN3058-BAG    1000KG   22038927    (200566215)      </t>
  </si>
  <si>
    <t xml:space="preserve">0402  C6600-7T1D434-BAG    1000KG   22085413    (200566070)      </t>
  </si>
  <si>
    <t xml:space="preserve">0402  C6200-7T1D123-BAG    500KG   22035115    (200567454)      </t>
  </si>
  <si>
    <t xml:space="preserve">0402  LUX9616G-WH8A492X-BAG    1000KG   22017868    (200566614)      </t>
  </si>
  <si>
    <t xml:space="preserve">0402  C1200HF-BK2G024-BAG    20000KG   22034874    (200530327)      </t>
  </si>
  <si>
    <t xml:space="preserve">0402  C1200HF-BK2G024-BAG    20000KG   22034874    (200536187)      </t>
  </si>
  <si>
    <t xml:space="preserve">0402  121-7A7D088-BAG    1000KG   22043983    (200567340)      </t>
  </si>
  <si>
    <t xml:space="preserve">0402  HF1130R-BK1A184T-BAG    1000KG   22046457    (200535984)      </t>
  </si>
  <si>
    <t xml:space="preserve">0402  C2950-YW8295S-BAG    1500KG   22022286    (200566099)      </t>
  </si>
  <si>
    <t xml:space="preserve">0402  LS2-414-BAG    5000KG   22018729    (200566112)      </t>
  </si>
  <si>
    <t xml:space="preserve">0402  9925A-7T2D137T-BAG    500KG   22039298    (200566630)      </t>
  </si>
  <si>
    <t xml:space="preserve">0402  LS2-6162-BAG    2000KG   22018730    (200566171)     Br.   </t>
  </si>
  <si>
    <t xml:space="preserve">0402  121-6A8D007-BAG    2000KG   22083423    (200566315)      </t>
  </si>
  <si>
    <t xml:space="preserve">0402  EXL5689-YW7E087-BAG    500KG   22040532    (200567371)      </t>
  </si>
  <si>
    <t xml:space="preserve">0402  DFL36-BK1A661-SBG    500KG   22035829    (200567462)     Br.   </t>
  </si>
  <si>
    <t xml:space="preserve">0402  KL004A-BK1A733-BAG    1000KG   22036555    (200566193)      </t>
  </si>
  <si>
    <t xml:space="preserve">0402  UFL36S-BKNAT-SBG    1000KG   22041363    (94716356)      </t>
  </si>
  <si>
    <t xml:space="preserve">0402  ER007485-6G7A4244-SBG    300KG   22106886    (200568250)      </t>
  </si>
  <si>
    <t xml:space="preserve">0402  ER007485-7G1A4725-SBG    800KG   22106794    (97251086)      </t>
  </si>
  <si>
    <t xml:space="preserve">0402  RFL36-BK1B602-SBG    500KG   22029457    (200566044)      </t>
  </si>
  <si>
    <t xml:space="preserve">0402  DE0029E-GY3A643-SBG    300KG   22031872    (92464767)      </t>
  </si>
  <si>
    <t xml:space="preserve">0402  KL004A-BK1A733-BAG    500KG   22036555    (200568306)      </t>
  </si>
  <si>
    <t xml:space="preserve">0402  RB008-NC-FBG    2000KG   22018899    (200504557)      </t>
  </si>
  <si>
    <t xml:space="preserve">0402  RB004-GYMDNAT-FBG    330KG   22020798    (200553712)      </t>
  </si>
  <si>
    <t xml:space="preserve">0402  DX11328-NC-BPK    15000KG   22035937    (200491998)      </t>
  </si>
  <si>
    <t xml:space="preserve">0402  D151-8G8A4572-BAG    2000KG   299905737    (200567289)      </t>
  </si>
  <si>
    <t xml:space="preserve">0402  EXL5689-7T1D069-BAG    10000KG   22019996    (97120977)      </t>
  </si>
  <si>
    <t xml:space="preserve">0402  C6600-7T1D193-BAG    12000KG   22039700    (200568296)      </t>
  </si>
  <si>
    <t xml:space="preserve">0402  RCM6134-BK1G004-BAG    2000KG   22037399    (97251247)      </t>
  </si>
  <si>
    <t xml:space="preserve">0402  357TF-1001-SSS    20000KG   22088360    (97218307)      </t>
  </si>
  <si>
    <t xml:space="preserve">0402  945-8T7D087-BAG    20000KG   22031466    (97101193)      </t>
  </si>
  <si>
    <t xml:space="preserve">0402  357TF-1001-SSS    20000KG   22088360    (97218308)      </t>
  </si>
  <si>
    <t xml:space="preserve">0402  357TF-1001-SSS    20000KG   22088360    (97218309)      </t>
  </si>
  <si>
    <t xml:space="preserve">0402  940-NC-BAG    20000KG   22022017    (97080863)     Br.   </t>
  </si>
  <si>
    <t xml:space="preserve">0402  ML9696-NC-BPK    10000KG   22040805    (97218311)      </t>
  </si>
  <si>
    <t xml:space="preserve">0402  NXCY620-BKNAT-BAG    13000KG   22036896    (200538791)      </t>
  </si>
  <si>
    <t xml:space="preserve">0402  LG9000-BK1044-BAG    5000KG   22018724    (200566296)      </t>
  </si>
  <si>
    <t xml:space="preserve">0402  LG9000-GY1C306-BAG    10000KG   22018726    (200566332)      </t>
  </si>
  <si>
    <t xml:space="preserve">0402  141R-701-BAG    5000KG   22021359    (200566150)      </t>
  </si>
  <si>
    <t xml:space="preserve">0402  XCY620S-76701-BAG    20000KG   22037308    (97125725)      </t>
  </si>
  <si>
    <t xml:space="preserve">0402  XCY620S-76701-BAG    20000KG   22037308    (97124245)      </t>
  </si>
  <si>
    <t xml:space="preserve">0402  XCY620S-76701-BAG    20000KG   22037308    (97125726)      </t>
  </si>
  <si>
    <t xml:space="preserve">0402  945-7A1A2480-BAG    2000KG   299902726    (200543608)      </t>
  </si>
  <si>
    <t xml:space="preserve">0402  C2800-7T1D203-BAG    20000KG   22034977    (200566271)     Br.   </t>
  </si>
  <si>
    <t xml:space="preserve">0402  C2950HF-GY1291-BAG    1000KG   22031568    (200568282)      </t>
  </si>
  <si>
    <t xml:space="preserve">0402  C2950HF-GY1291-BAG    1000KG   22031568    (200568264)      </t>
  </si>
  <si>
    <t xml:space="preserve">0402  C2950HF-GY1291-BAG    1000KG   22031568    (200568265)      </t>
  </si>
  <si>
    <t xml:space="preserve">0402  C2950HF-GY1291-BAG    1000KG   22031568    (200568221)      </t>
  </si>
  <si>
    <t xml:space="preserve">0402  RCY6214-7M1D182-BAG    2000KG   22040925    (200567162)      </t>
  </si>
  <si>
    <t xml:space="preserve">0402  C2950HF-GY1291-BAG    1000KG   22031568    (200568251)      </t>
  </si>
  <si>
    <t xml:space="preserve">0402  C2950HF-GY1291-BAG    1000KG   22031568    (200568283)      </t>
  </si>
  <si>
    <t xml:space="preserve">0402  D251RC-7A1D379-BAG    10000KG   22097758    (200557981)      </t>
  </si>
  <si>
    <t xml:space="preserve">0402  WF006N-7A1A0666-SBG    2000KG   22098412    (200567348)      </t>
  </si>
  <si>
    <t xml:space="preserve">0402  ER007485-2G2A4425-SBG    200KG   22106792    (97218312)      </t>
  </si>
  <si>
    <t xml:space="preserve">0402  DX10311-701-SBG    2050KG   22035924    (200564779)      </t>
  </si>
  <si>
    <t xml:space="preserve">0402  DF006ER-NC-SBG    1000KG   22031882    (200568292)      </t>
  </si>
  <si>
    <t xml:space="preserve">0402  DEP23FXC-BK8167-SBG    300KG   22039344    (200566349)      </t>
  </si>
  <si>
    <t xml:space="preserve">0402  EXCY0325-NA9G167T-BAG    2140KG   22032258    (200528258)      </t>
  </si>
  <si>
    <t xml:space="preserve">0402  RCP36-BK1A862-SBG    1000KG   22040918    (200567464)      </t>
  </si>
  <si>
    <t xml:space="preserve">0402  ML6411-3T5D024-BAG    100KG   22040670    (200567439)      </t>
  </si>
  <si>
    <t xml:space="preserve">0402  144R-111FC-BAG    20000KG   22021418    (97255057)      </t>
  </si>
  <si>
    <t xml:space="preserve">0402  SLX2271T-BK1G296-BAG    20000KG   22020921    (97254900)      </t>
  </si>
  <si>
    <t xml:space="preserve">0402  SLX2271T-BK1G296-BAG    20000KG   22020921    (97254901)      </t>
  </si>
  <si>
    <t xml:space="preserve">0402  SLX2271T-BK1G296-BAG    20000KG   22020921    (97255631)      </t>
  </si>
  <si>
    <t xml:space="preserve">0402  SLX2271T-BK1G296-BAG    20000KG   22020921    (97254799)      </t>
  </si>
  <si>
    <t xml:space="preserve">0402  920-GY2C239-BAG    300KG   22029170    (200568771)      </t>
  </si>
  <si>
    <t xml:space="preserve">0402  SLX2271T-BK1G296-BAG    20000KG   22020921    (97255630)      </t>
  </si>
  <si>
    <t xml:space="preserve">0402  EXL9330-2T2D063-BAG    500KG   22036303    (200568360)      </t>
  </si>
  <si>
    <t xml:space="preserve">0402  C6600-7B7D024-BAG    500KG   22034763    (200568765)      </t>
  </si>
  <si>
    <t xml:space="preserve">0402  ER007485-6G7A4244-SBG    300KG   22106886    (200568374)      </t>
  </si>
  <si>
    <t xml:space="preserve">0402  DX89406-BKNAT-BPK    10500KG   22039467    (200568597)      </t>
  </si>
  <si>
    <t xml:space="preserve">0402  DX89406-BKNAT-BPK    10500KG   22039467    (200568598)      </t>
  </si>
  <si>
    <t xml:space="preserve">0402  C2100-96235-BAG    5000KG   22038645    (200568612)      </t>
  </si>
  <si>
    <t xml:space="preserve">0402  XCY620S-76701-BAG    20000KG   22037308    (200568591)      </t>
  </si>
  <si>
    <t xml:space="preserve">0402  141R-701-BAG    12000KG   22021359    (200568504)      </t>
  </si>
  <si>
    <t xml:space="preserve">0402  LUX9616G-WH5A140X-BAG    350KG   22020473    (200568362)      </t>
  </si>
  <si>
    <t xml:space="preserve">0402  241RC-GN4G116-BAG    200KG   299905860    (200568637)      </t>
  </si>
  <si>
    <t xml:space="preserve">0402  945-4T7D056-BAG    250KG   299905825    (200568345)      </t>
  </si>
  <si>
    <t xml:space="preserve">0402  WF009NA-7G8A3867-SBG    280KG   299904600    (200568615)      </t>
  </si>
  <si>
    <t xml:space="preserve">0402  XHT4141-NA5D001T-BAG    2000KG   22041169    (200563816)      </t>
    <phoneticPr fontId="4" type="noConversion"/>
  </si>
  <si>
    <t xml:space="preserve">0402  CY6012-7M8D042-BAG    11025KG   22045378    (200514578)      </t>
    <phoneticPr fontId="4" type="noConversion"/>
  </si>
  <si>
    <t xml:space="preserve">0402  CY6025-WH8G710-BAG    20000KG   22030264    (200566116)      </t>
    <phoneticPr fontId="4" type="noConversion"/>
  </si>
  <si>
    <t xml:space="preserve">0402  CH6410-701-BAG    20000KG   22035048    (96280953)      </t>
    <phoneticPr fontId="4" type="noConversion"/>
  </si>
  <si>
    <t xml:space="preserve">0402  221RC-BR6G037X-BAG    1000KG   22102504    (200559899)      </t>
    <phoneticPr fontId="4" type="noConversion"/>
  </si>
  <si>
    <t xml:space="preserve">0402  CFR7431-7T1D297T-BAG    500KG   22039063    (200562420)      </t>
    <phoneticPr fontId="4" type="noConversion"/>
  </si>
  <si>
    <t xml:space="preserve">0402  EXL9134-7A8D006-BAG    1000KG   22023110    (200550250)      </t>
    <phoneticPr fontId="4" type="noConversion"/>
  </si>
  <si>
    <t xml:space="preserve">0402  XCY620S-76701-BAG    20000KG   22037308    (82962875)      </t>
    <phoneticPr fontId="4" type="noConversion"/>
  </si>
  <si>
    <t xml:space="preserve">0402  XCY620-BK1005-BAG    20000KG   22025061    (90054452)      </t>
    <phoneticPr fontId="4" type="noConversion"/>
  </si>
  <si>
    <t xml:space="preserve">0402  MC1300-100-BAG    20000KG   22018739    (94678265)      </t>
    <phoneticPr fontId="4" type="noConversion"/>
  </si>
  <si>
    <t xml:space="preserve">0402  MC1300-100-BAG    20000KG   22018739    (94678266)      </t>
    <phoneticPr fontId="4" type="noConversion"/>
  </si>
  <si>
    <t xml:space="preserve">0402  920-NC-BAG    10000KG   22022157    (200560221)     Br.   </t>
    <phoneticPr fontId="4" type="noConversion"/>
  </si>
  <si>
    <t xml:space="preserve">0402  C2950HF-GY1291-BAG    7000KG   22031568    (200561291)      </t>
    <phoneticPr fontId="4" type="noConversion"/>
  </si>
  <si>
    <t xml:space="preserve">0402  945-8T9D231-BAG    20000KG   22043924    (93984328)      </t>
    <phoneticPr fontId="4" type="noConversion"/>
  </si>
  <si>
    <t xml:space="preserve">0402  123R-WH6D257-BAG    2000KG   22033097    (200558215)      </t>
    <phoneticPr fontId="4" type="noConversion"/>
  </si>
  <si>
    <t xml:space="preserve">0402  144R-111FC-BAG    20000KG   22021418    (97255057)      </t>
    <phoneticPr fontId="4" type="noConversion"/>
  </si>
  <si>
    <t xml:space="preserve">0402  953A-116-BAG    10075KG   22022088    (200566093)      </t>
    <phoneticPr fontId="4" type="noConversion"/>
  </si>
  <si>
    <t xml:space="preserve">0402  123R-WH6D257-BAG    2000KG   22033097    (200558279)      </t>
    <phoneticPr fontId="4" type="noConversion"/>
  </si>
  <si>
    <t xml:space="preserve">0402  124R-111FC-BAG    20000KG   22021312    (200465970)      </t>
    <phoneticPr fontId="4" type="noConversion"/>
  </si>
  <si>
    <t xml:space="preserve">0402  124R-111FC-BAG    20000KG   22021312    (200465994)      </t>
    <phoneticPr fontId="4" type="noConversion"/>
  </si>
  <si>
    <t xml:space="preserve">0402  CY6025-WH8G710-BAG    10000KG   22030264    (200548772)      </t>
    <phoneticPr fontId="4" type="noConversion"/>
  </si>
  <si>
    <t xml:space="preserve">0402  XHT3141-GY8D046-BAG    2000KG   22025093    (200567282)      </t>
    <phoneticPr fontId="4" type="noConversion"/>
  </si>
  <si>
    <t xml:space="preserve">0402  241R-WH9B307-BAG    20000KG   22038464    (200559111)     Br.   </t>
    <phoneticPr fontId="4" type="noConversion"/>
  </si>
  <si>
    <t xml:space="preserve">0402  C2950-GY8E432-BAG    10000KG   22029950    (200558103)      </t>
    <phoneticPr fontId="4" type="noConversion"/>
  </si>
  <si>
    <t xml:space="preserve">0402  C2950-WH8G018-BAG    3000KG   22031555    (200557761)      </t>
    <phoneticPr fontId="4" type="noConversion"/>
  </si>
  <si>
    <t xml:space="preserve">0402  C1200HF-BL1D302-BAG    10000KG   22039398    (200561283)      </t>
    <phoneticPr fontId="4" type="noConversion"/>
  </si>
  <si>
    <t xml:space="preserve">0402  LUX2289-WH9G012-BAG    10000KG   22023833    (200498129)      </t>
    <phoneticPr fontId="4" type="noConversion"/>
  </si>
  <si>
    <t xml:space="preserve">0402  C2950-YW8001S-BAG    10000KG   22039533    (200556059)     Br.   </t>
    <phoneticPr fontId="4" type="noConversion"/>
  </si>
  <si>
    <t xml:space="preserve">0402  C6600-2B2D008-BAG    5000KG   22039652    (200566300)      </t>
    <phoneticPr fontId="4" type="noConversion"/>
  </si>
  <si>
    <t xml:space="preserve">0402  C2950-8T8D247-BAG    10000KG   22046215    (200548434)      </t>
    <phoneticPr fontId="4" type="noConversion"/>
  </si>
  <si>
    <t xml:space="preserve">0402  LUX2289-WH9G012-BAG    10000KG   22023833    (200498132)      </t>
    <phoneticPr fontId="4" type="noConversion"/>
  </si>
  <si>
    <t xml:space="preserve">0402  C1200HF-YW7B089-BAG    10000KG   22038639    (200559146)      </t>
    <phoneticPr fontId="4" type="noConversion"/>
  </si>
  <si>
    <t xml:space="preserve">0402  LUX2289-WH9G012-BAG    10000KG   22023833    (200498114)      </t>
    <phoneticPr fontId="4" type="noConversion"/>
  </si>
  <si>
    <t xml:space="preserve">0402  EXL9330-5T7D005-BAG    5000KG   22029397    (200544340)      </t>
    <phoneticPr fontId="4" type="noConversion"/>
  </si>
  <si>
    <t xml:space="preserve">0402  C6600-8M9D029-BAG    5000KG   22022574    (200551140)     Br.   </t>
    <phoneticPr fontId="4" type="noConversion"/>
  </si>
  <si>
    <t xml:space="preserve">0402  C2950-8T8D247-BAG    10000KG   22046215    (200528496)      </t>
    <phoneticPr fontId="4" type="noConversion"/>
  </si>
  <si>
    <t xml:space="preserve">0402  CY6025-WH8G710-BAG    10000KG   22030264    (200548773)      </t>
    <phoneticPr fontId="4" type="noConversion"/>
  </si>
  <si>
    <t xml:space="preserve">0402  XCY620S-100-BAG    22000KG   22025073    (86435844)      </t>
    <phoneticPr fontId="4" type="noConversion"/>
  </si>
  <si>
    <t xml:space="preserve">0402  C6600-2B2D008-BAG    5000KG   22039652    (200566327)      </t>
    <phoneticPr fontId="4" type="noConversion"/>
  </si>
  <si>
    <t xml:space="preserve">0402  XCY620S-100-BAG    10000KG   22025073    (86435845)      </t>
    <phoneticPr fontId="4" type="noConversion"/>
  </si>
  <si>
    <t xml:space="preserve">0402  LUX2289-WH9G012-BAG    10000KG   22023833    (200498133)      </t>
    <phoneticPr fontId="4" type="noConversion"/>
  </si>
  <si>
    <t xml:space="preserve">0402  C2950-GY8E432-BAG    5000KG   22029950    (200548369)      </t>
    <phoneticPr fontId="4" type="noConversion"/>
  </si>
  <si>
    <t xml:space="preserve">0402  C2950-WH8G018-BAG    5000KG   22031555    (200548380)      </t>
    <phoneticPr fontId="4" type="noConversion"/>
  </si>
  <si>
    <t xml:space="preserve">0402  C6600-2B2D008-BAG    5000KG   22039652    (200566364)      </t>
    <phoneticPr fontId="4" type="noConversion"/>
  </si>
  <si>
    <t xml:space="preserve">0402  C2950-WH8G018-BAG    5000KG   22031555    (200304498)      </t>
    <phoneticPr fontId="4" type="noConversion"/>
  </si>
  <si>
    <t xml:space="preserve">0402  XTPMFR10-BK1G005-BAG    3000KG   22044494    (200542091)      </t>
    <phoneticPr fontId="4" type="noConversion"/>
  </si>
  <si>
    <t xml:space="preserve">0402  XHT2141-GY5G190-BAG    10000KG   22041167    (200498168)      </t>
    <phoneticPr fontId="4" type="noConversion"/>
  </si>
  <si>
    <t xml:space="preserve">0402  LUX2289-WH9G012-BAG    10000KG   22023833    (200498059)      </t>
    <phoneticPr fontId="4" type="noConversion"/>
  </si>
  <si>
    <t xml:space="preserve">0402  C2950-YW8001S-BAG    20000KG   22039533    (200550097)     Br.   </t>
    <phoneticPr fontId="4" type="noConversion"/>
  </si>
  <si>
    <t xml:space="preserve">0402  CY6012-7M1D238-BAG    10600KG   22089280    (200536239)      </t>
    <phoneticPr fontId="4" type="noConversion"/>
  </si>
  <si>
    <t xml:space="preserve">0402  144-111N-BBG    20000KG   22088203    (96125948)      </t>
    <phoneticPr fontId="4" type="noConversion"/>
  </si>
  <si>
    <t xml:space="preserve">0402  C1200HF-701-SSS    20000KG   22039382    (200543497)      </t>
    <phoneticPr fontId="4" type="noConversion"/>
  </si>
  <si>
    <t xml:space="preserve">0402  XCY620S-100-BAG    20000KG   22025073    (82933313)      </t>
    <phoneticPr fontId="4" type="noConversion"/>
  </si>
  <si>
    <t xml:space="preserve">0402  144-111N-BBG    20000KG   22088203    (96126398)      </t>
    <phoneticPr fontId="4" type="noConversion"/>
  </si>
  <si>
    <t xml:space="preserve">0402  ML6411-7T4D041L-BAG    10000KG   22036797    (200539064)      </t>
    <phoneticPr fontId="4" type="noConversion"/>
  </si>
  <si>
    <t xml:space="preserve">0402  241R-701-BAG    10000KG   22021559    (200566414)      </t>
    <phoneticPr fontId="4" type="noConversion"/>
  </si>
  <si>
    <t xml:space="preserve">0402  C2950HF-66615-BAG    2000KG   22019694    (200566284)      </t>
    <phoneticPr fontId="4" type="noConversion"/>
  </si>
  <si>
    <t xml:space="preserve">0402  945-7M1D058-BAG    10000KG   22017645    (200556112)      </t>
    <phoneticPr fontId="4" type="noConversion"/>
  </si>
  <si>
    <t xml:space="preserve">0402  950-BK1334-BAG    5000KG   299900857    (200548470)      </t>
    <phoneticPr fontId="4" type="noConversion"/>
  </si>
  <si>
    <t xml:space="preserve">0402  244RF-GY7G193F-BAG    10000KG   22033846    (200563831)      </t>
    <phoneticPr fontId="4" type="noConversion"/>
  </si>
  <si>
    <t xml:space="preserve">0402  C2950-GY8E438-BAG    5000KG   22039523    (200545170)      </t>
    <phoneticPr fontId="4" type="noConversion"/>
  </si>
  <si>
    <t xml:space="preserve">0402  XCY620S-100-BAG    10000KG   22025073    (90053025)      </t>
    <phoneticPr fontId="4" type="noConversion"/>
  </si>
  <si>
    <t xml:space="preserve">0402  CY6414-701-BAG    5000KG   22035338    (96281786)      </t>
    <phoneticPr fontId="4" type="noConversion"/>
  </si>
  <si>
    <t xml:space="preserve">0402  C6600-GY6A480-BAG    10000KG   22027944    (200562455)      </t>
    <phoneticPr fontId="4" type="noConversion"/>
  </si>
  <si>
    <t xml:space="preserve">0402  CY6120-GY9A016-BAG    2000KG   22030266    (200558989)     Br.   </t>
    <phoneticPr fontId="4" type="noConversion"/>
  </si>
  <si>
    <t xml:space="preserve">0402  XCY620S-76701-BAG    20000KG   22037308    (97125724)      </t>
    <phoneticPr fontId="4" type="noConversion"/>
  </si>
  <si>
    <t xml:space="preserve">0402  C2950-GY8E438-BAG    2000KG   22039523    (200549284)      </t>
    <phoneticPr fontId="4" type="noConversion"/>
  </si>
  <si>
    <t xml:space="preserve">0402  XCY620S-76701-BAG    20000KG   22037308    (97124241)      </t>
    <phoneticPr fontId="4" type="noConversion"/>
  </si>
  <si>
    <t xml:space="preserve">0402  XCY620S-76701-BAG    20000KG   22037308    (97124242)      </t>
    <phoneticPr fontId="4" type="noConversion"/>
  </si>
  <si>
    <t xml:space="preserve">0402  XCY620S-76701-BAG    20000KG   22037308    (97124243)      </t>
    <phoneticPr fontId="4" type="noConversion"/>
  </si>
  <si>
    <t xml:space="preserve">0402  XCY620S-76701-BAG    20000KG   22037308    (97124244)      </t>
    <phoneticPr fontId="4" type="noConversion"/>
  </si>
  <si>
    <t xml:space="preserve">0402  123R-BK1G204-BAG    2000KG   22033067    (200557139)      </t>
    <phoneticPr fontId="4" type="noConversion"/>
  </si>
  <si>
    <t xml:space="preserve">0402  XCY620S-76701-BAG    20000KG   22037308    (97125727)      </t>
    <phoneticPr fontId="4" type="noConversion"/>
  </si>
  <si>
    <t xml:space="preserve">0402  CY6012-7M1D238-BAG    10000KG   22089280    (200536265)      </t>
    <phoneticPr fontId="4" type="noConversion"/>
  </si>
  <si>
    <t xml:space="preserve">0402  SLX2271T-BK1G296-BAG    20000KG   22020921    (95369668)      </t>
    <phoneticPr fontId="4" type="noConversion"/>
  </si>
  <si>
    <t xml:space="preserve">0402  C6600E-GY1C173-BAG    2000KG   22030022    (200559107)      </t>
    <phoneticPr fontId="4" type="noConversion"/>
  </si>
  <si>
    <t xml:space="preserve">0402  SLX2271T-BK1G296-BAG    20000KG   22020921    (95369669)      </t>
    <phoneticPr fontId="4" type="noConversion"/>
  </si>
  <si>
    <t xml:space="preserve">0402  SLX2271T-BK1G296-BAG    20000KG   22020921    (95369670)      </t>
    <phoneticPr fontId="4" type="noConversion"/>
  </si>
  <si>
    <t xml:space="preserve">0402  SLX2271T-BK1G296-BAG    20000KG   22020921    (97254900)      </t>
    <phoneticPr fontId="4" type="noConversion"/>
  </si>
  <si>
    <t xml:space="preserve">0402  SLX2271T-BK1G296-BAG    20000KG   22020921    (97254901)      </t>
    <phoneticPr fontId="4" type="noConversion"/>
  </si>
  <si>
    <t xml:space="preserve">0402  SLX2271T-BK1G296-BAG    20000KG   22020921    (97255631)      </t>
    <phoneticPr fontId="4" type="noConversion"/>
  </si>
  <si>
    <t xml:space="preserve">0402  SLX2271T-BK1G296-BAG    20000KG   22020921    (97254799)      </t>
    <phoneticPr fontId="4" type="noConversion"/>
  </si>
  <si>
    <t xml:space="preserve">0402  C2950HF-GY1291-BAG    1000KG   22031568    (200537147)      </t>
    <phoneticPr fontId="4" type="noConversion"/>
  </si>
  <si>
    <t xml:space="preserve">0402  CX7240U-7M1D051-BAG    1000KG   22022738    (200554759)      </t>
    <phoneticPr fontId="4" type="noConversion"/>
  </si>
  <si>
    <t xml:space="preserve">0402  920-70405-BAG    500KG   22039003    (200567078)      </t>
    <phoneticPr fontId="4" type="noConversion"/>
  </si>
  <si>
    <t xml:space="preserve">0402  C6600-GN3058-BAG    1000KG   22038927    (200566215)      </t>
    <phoneticPr fontId="4" type="noConversion"/>
  </si>
  <si>
    <t xml:space="preserve">0402  920-70405-BAG    200KG   22039003    (200559980)      </t>
    <phoneticPr fontId="4" type="noConversion"/>
  </si>
  <si>
    <t xml:space="preserve">0402  C2950HF-7T2D326-BAG    1000KG   22085309    (200561528)      </t>
    <phoneticPr fontId="4" type="noConversion"/>
  </si>
  <si>
    <t xml:space="preserve">0402  101-GY6135-BAG    1000KG   22044725    (200562685)      </t>
    <phoneticPr fontId="4" type="noConversion"/>
  </si>
  <si>
    <t xml:space="preserve">0402  CH6310-GY9C050-BAG    1000KG   22039074    (200559959)      </t>
    <phoneticPr fontId="4" type="noConversion"/>
  </si>
  <si>
    <t xml:space="preserve">0402  C6600-7T1D434-BAG    1000KG   22085413    (200566070)      </t>
    <phoneticPr fontId="4" type="noConversion"/>
  </si>
  <si>
    <t xml:space="preserve">0402  223R-RD8G025-BAG    500KG   22037765    (200549100)      </t>
    <phoneticPr fontId="4" type="noConversion"/>
  </si>
  <si>
    <t xml:space="preserve">0402  CX7240-7T5D172-BAG    1000KG   22085534    (200524763)      </t>
    <phoneticPr fontId="4" type="noConversion"/>
  </si>
  <si>
    <t xml:space="preserve">0402  LUX9616-WH8E491X-BAG    1000KG   22018736    (96032102)      </t>
    <phoneticPr fontId="4" type="noConversion"/>
  </si>
  <si>
    <t xml:space="preserve">0402  945-GY2E572-BAG    500KG   22034256    (200562544)      </t>
    <phoneticPr fontId="4" type="noConversion"/>
  </si>
  <si>
    <t xml:space="preserve">0402  945U-701-BAG    1000KG   22022075    (200554547)      </t>
    <phoneticPr fontId="4" type="noConversion"/>
  </si>
  <si>
    <t xml:space="preserve">0402  C2800-701-BAG    1000KG   22017334    (200513088)      </t>
    <phoneticPr fontId="4" type="noConversion"/>
  </si>
  <si>
    <t xml:space="preserve">0402  C6200-7T1D123-BAG    500KG   22035115    (200567454)      </t>
    <phoneticPr fontId="4" type="noConversion"/>
  </si>
  <si>
    <t xml:space="preserve">0402  LG9000-100-BAG    1000KG   22023994    (200553320)      </t>
    <phoneticPr fontId="4" type="noConversion"/>
  </si>
  <si>
    <t xml:space="preserve">0402  920-GY2C239-BAG    300KG   22029170    (200568771)      </t>
    <phoneticPr fontId="4" type="noConversion"/>
  </si>
  <si>
    <t xml:space="preserve">0402  C2950-WH9C272-BAG    1000KG   22039530    (200559285)      </t>
    <phoneticPr fontId="4" type="noConversion"/>
  </si>
  <si>
    <t xml:space="preserve">0402  XCY620-GY7G608-BAG    1000KG   22045866    (200537813)      </t>
    <phoneticPr fontId="4" type="noConversion"/>
  </si>
  <si>
    <t xml:space="preserve">0402  LUX9616G-WH8A492X-BAG    1000KG   22017868    (200566614)      </t>
    <phoneticPr fontId="4" type="noConversion"/>
  </si>
  <si>
    <t xml:space="preserve">0402  C6600-GY6D379-BAG    6000KG   22034902    (200542985)      </t>
    <phoneticPr fontId="4" type="noConversion"/>
  </si>
  <si>
    <t xml:space="preserve">0402  SLX2271T-BK1G296-BAG    20000KG   22020921    (94691987)      </t>
    <phoneticPr fontId="4" type="noConversion"/>
  </si>
  <si>
    <t xml:space="preserve">0402  C1200HF-701-BAG    20000KG   22022222    (94676108)      </t>
    <phoneticPr fontId="4" type="noConversion"/>
  </si>
  <si>
    <t xml:space="preserve">0402  C1200HF-701-BAG    20000KG   22022222    (94676109)      </t>
    <phoneticPr fontId="4" type="noConversion"/>
  </si>
  <si>
    <t xml:space="preserve">0402  C6600-8B8D004-BAG    6000KG   22035246    (200503072)      </t>
    <phoneticPr fontId="4" type="noConversion"/>
  </si>
  <si>
    <t xml:space="preserve">0402  C1200HF-701-BAG    20000KG   22022222    (94676110)      </t>
    <phoneticPr fontId="4" type="noConversion"/>
  </si>
  <si>
    <t xml:space="preserve">0402  SLX2271T-BK1G296-BAG    20000KG   22020921    (97255630)      </t>
    <phoneticPr fontId="4" type="noConversion"/>
  </si>
  <si>
    <t xml:space="preserve">0402  C1100HF-701-BAG    10000KG   22039357    (200494097)      </t>
    <phoneticPr fontId="4" type="noConversion"/>
  </si>
  <si>
    <t xml:space="preserve">0402  C1200HF-BK2G024-BAG    20000KG   22034874    (200536187)      </t>
    <phoneticPr fontId="4" type="noConversion"/>
  </si>
  <si>
    <t xml:space="preserve">0402  C1200HF-BK2G024-BAG    20000KG   22034874    (200530327)      </t>
    <phoneticPr fontId="4" type="noConversion"/>
  </si>
  <si>
    <t xml:space="preserve">0402  C1200HF-100-BAG    20000KG   22019660    (94679206)      </t>
    <phoneticPr fontId="4" type="noConversion"/>
  </si>
  <si>
    <t xml:space="preserve">0402  SLX2471T-RD1H002-BAG    10000KG   22093031    (200537688)      </t>
    <phoneticPr fontId="4" type="noConversion"/>
  </si>
  <si>
    <t xml:space="preserve">0402  C2950-YW8295S-BAG    1500KG   22022286    (200566099)      </t>
    <phoneticPr fontId="4" type="noConversion"/>
  </si>
  <si>
    <t xml:space="preserve">0402  241R-BR8153-BAG    5000KG   22029762    (200558077)      </t>
    <phoneticPr fontId="4" type="noConversion"/>
  </si>
  <si>
    <t xml:space="preserve">0402  HF1130R-BK1A184T-BAG    2000KG   22046457    (200559979)      </t>
    <phoneticPr fontId="4" type="noConversion"/>
  </si>
  <si>
    <t xml:space="preserve">0402  121-7A7D088-BAG    1000KG   22043983    (200567340)      </t>
    <phoneticPr fontId="4" type="noConversion"/>
  </si>
  <si>
    <t xml:space="preserve">0402  LS2-414-BAG    5000KG   22018729    (200566112)      </t>
    <phoneticPr fontId="4" type="noConversion"/>
  </si>
  <si>
    <t xml:space="preserve">0402  EXL9330-2T2D063-BAG    500KG   22036303    (200568360)      </t>
    <phoneticPr fontId="4" type="noConversion"/>
  </si>
  <si>
    <t xml:space="preserve">0402  EXL9112-BK1A068-BAG    1000KG   22035891    (92466148)      </t>
    <phoneticPr fontId="4" type="noConversion"/>
  </si>
  <si>
    <t xml:space="preserve">0402  121R-VT6A015T-BAG    1000KG   22033298    (200480859)      </t>
    <phoneticPr fontId="4" type="noConversion"/>
  </si>
  <si>
    <t xml:space="preserve">0402  HF1130R-BK1A184T-BAG    1000KG   22046457    (200535984)      </t>
    <phoneticPr fontId="4" type="noConversion"/>
  </si>
  <si>
    <t xml:space="preserve">0402  MC1300-701-BAG    10000KG   22023858    (200557043)      </t>
    <phoneticPr fontId="4" type="noConversion"/>
  </si>
  <si>
    <t xml:space="preserve">0402  9925A-7T2D137T-BAG    500KG   22039298    (200566630)      </t>
    <phoneticPr fontId="4" type="noConversion"/>
  </si>
  <si>
    <t xml:space="preserve">0402  LS2-6162-BAG    2000KG   22018730    (200566171)     Br.   </t>
    <phoneticPr fontId="4" type="noConversion"/>
  </si>
  <si>
    <t xml:space="preserve">0402  C6600-7T4D208-BAG    1000KG   22039705    (200563864)      </t>
    <phoneticPr fontId="4" type="noConversion"/>
  </si>
  <si>
    <t xml:space="preserve">0402  C2950HF-2T2D070-BAG    200KG   22039535    (200562665)      </t>
    <phoneticPr fontId="4" type="noConversion"/>
  </si>
  <si>
    <t xml:space="preserve">0402  925U-7T8D779-BAG    500KG   22045042    (200562402)      </t>
    <phoneticPr fontId="4" type="noConversion"/>
  </si>
  <si>
    <t xml:space="preserve">0402  EXL9330-WH6E276-BAG    2000KG   22039934    (200526321)      </t>
    <phoneticPr fontId="4" type="noConversion"/>
  </si>
  <si>
    <t xml:space="preserve">0402  C6600-7B7D024-BAG    500KG   22034763    (200568765)      </t>
    <phoneticPr fontId="4" type="noConversion"/>
  </si>
  <si>
    <t xml:space="preserve">0402  121-6A8D007-BAG    2000KG   22083423    (200566315)      </t>
    <phoneticPr fontId="4" type="noConversion"/>
  </si>
  <si>
    <t xml:space="preserve">0402  C6600-GY8977-BAG    1000KG   22029292    (200562757)      </t>
    <phoneticPr fontId="4" type="noConversion"/>
  </si>
  <si>
    <t xml:space="preserve">0402  C2950-7T5D113-BAG    500KG   22031533    (200558001)      </t>
    <phoneticPr fontId="4" type="noConversion"/>
  </si>
  <si>
    <t xml:space="preserve">0402  945-7T8D574-BAG    500KG   22034225    (200558045)     Br.   </t>
    <phoneticPr fontId="4" type="noConversion"/>
  </si>
  <si>
    <t xml:space="preserve">0402  BFL4000U-WH3150-BAG    1000KG   22017663    (200549057)      </t>
    <phoneticPr fontId="4" type="noConversion"/>
  </si>
  <si>
    <t xml:space="preserve">0402  EXL9134-7A8D006-BAG    1000KG   22023110    (200545606)      </t>
    <phoneticPr fontId="4" type="noConversion"/>
  </si>
  <si>
    <t xml:space="preserve">0402  EXL9330-YW8D008-BAG    5000KG   22032208    (200548634)      </t>
    <phoneticPr fontId="4" type="noConversion"/>
  </si>
  <si>
    <t xml:space="preserve">0402  LUX7169-WH8G733-BAG    2000KG   22041058    (96245775)      </t>
    <phoneticPr fontId="4" type="noConversion"/>
  </si>
  <si>
    <t xml:space="preserve">0402  123R-WH5G107-BAG    2000KG   22044544    (200470262)      </t>
    <phoneticPr fontId="4" type="noConversion"/>
  </si>
  <si>
    <t xml:space="preserve">0402  C1200HF-96622-BAG    4000KG   22034863    (200563832)      </t>
    <phoneticPr fontId="4" type="noConversion"/>
  </si>
  <si>
    <t xml:space="preserve">0402  C6600-WH7222-BAG    1000KG   22022414    (200563863)     Br.   </t>
    <phoneticPr fontId="4" type="noConversion"/>
  </si>
  <si>
    <t xml:space="preserve">0402  241R-WH2C006-BAG    10000KG   22038458    (200559182)      </t>
    <phoneticPr fontId="4" type="noConversion"/>
  </si>
  <si>
    <t xml:space="preserve">0402  945-7T8D574-BAG    500KG   22034225    (200559302)     Br.   </t>
    <phoneticPr fontId="4" type="noConversion"/>
  </si>
  <si>
    <t xml:space="preserve">0402  ML6411-WH8D293-BAG    1000KG   22037050    (200559265)      </t>
    <phoneticPr fontId="4" type="noConversion"/>
  </si>
  <si>
    <t xml:space="preserve">0402  C6200-GY7C059-BAG    2000KG   22022537    (200538817)      </t>
    <phoneticPr fontId="4" type="noConversion"/>
  </si>
  <si>
    <t xml:space="preserve">0402  945-8T9D140-BAG    2000KG   22028869    (200561367)      </t>
    <phoneticPr fontId="4" type="noConversion"/>
  </si>
  <si>
    <t xml:space="preserve">0402  ML6411-7M8D024-BAG    1000KG   22040671    (200548418)      </t>
    <phoneticPr fontId="4" type="noConversion"/>
  </si>
  <si>
    <t xml:space="preserve">0402  LUX2289-WH9G012-BAG    10000KG   22023833    (200530684)      </t>
    <phoneticPr fontId="4" type="noConversion"/>
  </si>
  <si>
    <t xml:space="preserve">0402  RFL36-BK1B602-SBG    1000KG   22029457    (200554800)      </t>
    <phoneticPr fontId="4" type="noConversion"/>
  </si>
  <si>
    <t xml:space="preserve">0402  ER007485-2G2A4425-SBG    700KG   299905676    (200560310)      </t>
    <phoneticPr fontId="4" type="noConversion"/>
  </si>
  <si>
    <t xml:space="preserve">0402  ER007485-2G2A4425-SBG    400KG   299905676    (200560280)      </t>
    <phoneticPr fontId="4" type="noConversion"/>
  </si>
  <si>
    <t xml:space="preserve">0402  ER007485-2G2A4425-SBG    400KG   299905676    (200560362)      </t>
    <phoneticPr fontId="4" type="noConversion"/>
  </si>
  <si>
    <t xml:space="preserve">0402  141-701-BAG    5000KG   22021332    (200558932)      </t>
    <phoneticPr fontId="4" type="noConversion"/>
  </si>
  <si>
    <t xml:space="preserve">0402  RFL36-BK1B602-SBG    3000KG   22029457    (200546344)      </t>
    <phoneticPr fontId="4" type="noConversion"/>
  </si>
  <si>
    <t xml:space="preserve">0402  ER007485-7G1A4725-SBG    700KG   22106794    (96286256)      </t>
    <phoneticPr fontId="4" type="noConversion"/>
  </si>
  <si>
    <t xml:space="preserve">0402  EXL5689-YW7E087-BAG    500KG   22040532    (200567371)      </t>
    <phoneticPr fontId="4" type="noConversion"/>
  </si>
  <si>
    <t xml:space="preserve">0402  DFL36-BK1A661-SBG    500KG   22035829    (200567462)     Br.   </t>
    <phoneticPr fontId="4" type="noConversion"/>
  </si>
  <si>
    <t xml:space="preserve">0402  KL004A-BK1A733-BAG    1000KG   22036555    (200566193)      </t>
    <phoneticPr fontId="4" type="noConversion"/>
  </si>
  <si>
    <t xml:space="preserve">0402  UFL36S-BKNAT-SBG    1000KG   22041363    (94716356)      </t>
    <phoneticPr fontId="4" type="noConversion"/>
  </si>
  <si>
    <t xml:space="preserve">0402  D351-701-SBG    500KG   22032147    (200554584)      </t>
    <phoneticPr fontId="4" type="noConversion"/>
  </si>
  <si>
    <t xml:space="preserve">0402  MD000ISC-BKNAT-SBG    2000KG   22029497    (200558229)      </t>
    <phoneticPr fontId="4" type="noConversion"/>
  </si>
  <si>
    <t xml:space="preserve">0402  ER007485-6G7A4244-SBG    300KG   22106886    (200568374)      </t>
    <phoneticPr fontId="4" type="noConversion"/>
  </si>
  <si>
    <t xml:space="preserve">0402  ER007485-6G7A4244-SBG    300KG   22106886    (200568250)      </t>
    <phoneticPr fontId="4" type="noConversion"/>
  </si>
  <si>
    <t xml:space="preserve">0402  500-131-BAG    2000KG   22021688    (200549387)      </t>
    <phoneticPr fontId="4" type="noConversion"/>
  </si>
  <si>
    <t xml:space="preserve">0402  ER007485-7G1A4725-SBG    800KG   22106794    (97251086)      </t>
    <phoneticPr fontId="4" type="noConversion"/>
  </si>
  <si>
    <t xml:space="preserve">0402  RFL36-BK1B602-SBG    500KG   22029457    (200566044)      </t>
    <phoneticPr fontId="4" type="noConversion"/>
  </si>
  <si>
    <t xml:space="preserve">0402  RFL36XXY-BK1A843-SBG    1600KG   22029458    (96018769)      </t>
    <phoneticPr fontId="4" type="noConversion"/>
  </si>
  <si>
    <t xml:space="preserve">0402  RFL36-BK1B602-SBG    2000KG   22029457    (200508439)      </t>
    <phoneticPr fontId="4" type="noConversion"/>
  </si>
  <si>
    <t xml:space="preserve">0402  MFB82I-BK1B459-BAG    2500KG   22036698    (200542705)      </t>
    <phoneticPr fontId="4" type="noConversion"/>
  </si>
  <si>
    <t xml:space="preserve">0402  DE0029E-GY3A643-SBG    300KG   22031872    (92464767)      </t>
    <phoneticPr fontId="4" type="noConversion"/>
  </si>
  <si>
    <t xml:space="preserve">0402  DD0009PC-BKNAT-BAG    1000KG   22035801    (200551407)      </t>
    <phoneticPr fontId="4" type="noConversion"/>
  </si>
  <si>
    <t xml:space="preserve">0402  KL004A-BK1A733-BAG    500KG   22036555    (200568306)      </t>
    <phoneticPr fontId="4" type="noConversion"/>
  </si>
  <si>
    <t xml:space="preserve">0402  DE0029E-GY3A643-SBG    300KG   22031872    (92464768)      </t>
    <phoneticPr fontId="4" type="noConversion"/>
  </si>
  <si>
    <t xml:space="preserve">0402  RFL36XXY-BK1A843-SBG    2400KG   22029458    (96016250)      </t>
    <phoneticPr fontId="4" type="noConversion"/>
  </si>
  <si>
    <t xml:space="preserve">0402  MFB82I-BK1B459-BAG    2500KG   22036698    (200563800)      </t>
    <phoneticPr fontId="4" type="noConversion"/>
  </si>
  <si>
    <t xml:space="preserve">0402  RFP36-BK1A856-SBG    1000KG   22040935    (200558028)      </t>
    <phoneticPr fontId="4" type="noConversion"/>
  </si>
  <si>
    <t xml:space="preserve">0402  DE0029E-GY3A643-SBG    300KG   22031872    (92464769)      </t>
    <phoneticPr fontId="4" type="noConversion"/>
  </si>
  <si>
    <t xml:space="preserve">0402  RB008-NC-FBG    4500KG   22018899    (200552313)      </t>
    <phoneticPr fontId="4" type="noConversion"/>
  </si>
  <si>
    <t xml:space="preserve">0402  RB008-NC-FBG    2000KG   22018899    (200504557)      </t>
    <phoneticPr fontId="4" type="noConversion"/>
  </si>
  <si>
    <t xml:space="preserve">0402  RB004-GYMDNAT-FBG    330KG   22020798    (200553712)      </t>
    <phoneticPr fontId="4" type="noConversion"/>
  </si>
  <si>
    <t xml:space="preserve">0402  RB008-NC-FBG    2000KG   22018899    (200552399)      </t>
    <phoneticPr fontId="4" type="noConversion"/>
  </si>
  <si>
    <t xml:space="preserve">0402  DX89406-BKNAT-BPK    10500KG   22039467    (200568598)      </t>
    <phoneticPr fontId="4" type="noConversion"/>
  </si>
  <si>
    <t xml:space="preserve">0402  DX11328-NC-BPK    15000KG   22035937    (200491976)      </t>
    <phoneticPr fontId="4" type="noConversion"/>
  </si>
  <si>
    <t xml:space="preserve">0402  DX89406-BKNAT-BPK    10000KG   22039467    (92302303)      </t>
    <phoneticPr fontId="4" type="noConversion"/>
  </si>
  <si>
    <t xml:space="preserve">0402  DX89406-BKNAT-BPK    10000KG   22039467    (92466165)      </t>
    <phoneticPr fontId="4" type="noConversion"/>
  </si>
  <si>
    <t xml:space="preserve">0402  DX89406-BKNAT-BPK    10000KG   22039467    (92302302)      </t>
    <phoneticPr fontId="4" type="noConversion"/>
  </si>
  <si>
    <t xml:space="preserve">0402  DX89406-BKNAT-BPK    10000KG   22039467    (92302301)      </t>
    <phoneticPr fontId="4" type="noConversion"/>
  </si>
  <si>
    <t xml:space="preserve">0402  DX89406-BKNAT-BPK    10000KG   22039467    (92302298)      </t>
    <phoneticPr fontId="4" type="noConversion"/>
  </si>
  <si>
    <t xml:space="preserve">0402  DX89406-BKNAT-BPK    10000KG   22039467    (92302299)      </t>
    <phoneticPr fontId="4" type="noConversion"/>
  </si>
  <si>
    <t xml:space="preserve">0402  DX89406-BKNAT-BPK    10000KG   22039467    (92302300)      </t>
    <phoneticPr fontId="4" type="noConversion"/>
  </si>
  <si>
    <t xml:space="preserve">0402  DX89406-BKNAT-BPK    10000KG   22039467    (92302296)      </t>
    <phoneticPr fontId="4" type="noConversion"/>
  </si>
  <si>
    <t xml:space="preserve">0402  DX89406-BKNAT-BPK    10000KG   22039467    (92302297)      </t>
    <phoneticPr fontId="4" type="noConversion"/>
  </si>
  <si>
    <t xml:space="preserve">0402  DX89406-BKNAT-BPK    10000KG   22039467    (92302295)      </t>
    <phoneticPr fontId="4" type="noConversion"/>
  </si>
  <si>
    <t xml:space="preserve">0402  DX89406-BKNAT-BPK    10000KG   22039467    (92302294)      </t>
    <phoneticPr fontId="4" type="noConversion"/>
  </si>
  <si>
    <t xml:space="preserve">0402  DX89406-BKNAT-BPK    10000KG   22039467    (92302293)      </t>
    <phoneticPr fontId="4" type="noConversion"/>
  </si>
  <si>
    <t xml:space="preserve">0402  C2100-96235-BAG    5000KG   22038645    (200568612)      </t>
    <phoneticPr fontId="4" type="noConversion"/>
  </si>
  <si>
    <t xml:space="preserve">0402  3412ECR-WH8E395-BAG    5000KG   22037868    (200502901)     Br.   </t>
    <phoneticPr fontId="4" type="noConversion"/>
  </si>
  <si>
    <t xml:space="preserve">0402  3412ECR-131-BAG    5000KG   22021723    (200555946)      </t>
    <phoneticPr fontId="4" type="noConversion"/>
  </si>
  <si>
    <t xml:space="preserve">0402  3412R-131-BAG    10000KG   22021728    (200559480)     Br.   </t>
    <phoneticPr fontId="4" type="noConversion"/>
  </si>
  <si>
    <t xml:space="preserve">0402  3412R-131-BAG    5000KG   22021728    (200562407)     Br.   </t>
    <phoneticPr fontId="4" type="noConversion"/>
  </si>
  <si>
    <t xml:space="preserve">0402  3412R-739-BAG    20000KG   22021730    (200560260)     Br.   </t>
    <phoneticPr fontId="4" type="noConversion"/>
  </si>
  <si>
    <t xml:space="preserve">0402  3412ECR-739-BAG    20000KG   22017144    (96268462)      </t>
    <phoneticPr fontId="4" type="noConversion"/>
  </si>
  <si>
    <t xml:space="preserve">0402  EXL5689-7T1D069-BAG    10000KG   22019996    (97120977)      </t>
    <phoneticPr fontId="4" type="noConversion"/>
  </si>
  <si>
    <t xml:space="preserve">0402  XCY620S-76701-BAG    20000KG   22037308    (200568591)      </t>
    <phoneticPr fontId="4" type="noConversion"/>
  </si>
  <si>
    <t xml:space="preserve">0402  XCY620S-76701-BAG    20000KG   22037308    (82962854)      </t>
    <phoneticPr fontId="4" type="noConversion"/>
  </si>
  <si>
    <t xml:space="preserve">0402  C6600-7T1D193-BAG    12000KG   22039700    (200568296)      </t>
    <phoneticPr fontId="4" type="noConversion"/>
  </si>
  <si>
    <t xml:space="preserve">0402  923-BK1261-BAG    20000KG   22038237    (200553500)      </t>
    <phoneticPr fontId="4" type="noConversion"/>
  </si>
  <si>
    <t xml:space="preserve">0402  XCY620S-76701-BAG    20000KG   22037308    (85806441)      </t>
    <phoneticPr fontId="4" type="noConversion"/>
  </si>
  <si>
    <t xml:space="preserve">0402  XCY620S-76701-BAG    20000KG   22037308    (82962837)      </t>
    <phoneticPr fontId="4" type="noConversion"/>
  </si>
  <si>
    <t xml:space="preserve">0402  XCY620S-76701-BAG    20000KG   22037308    (82962838)      </t>
    <phoneticPr fontId="4" type="noConversion"/>
  </si>
  <si>
    <t xml:space="preserve">0402  XCY620S-76701-BAG    20000KG   22037308    (82962870)      </t>
    <phoneticPr fontId="4" type="noConversion"/>
  </si>
  <si>
    <t xml:space="preserve">0402  XCM830-76701-BAG    10000KG   22033024    (200497262)      </t>
    <phoneticPr fontId="4" type="noConversion"/>
  </si>
  <si>
    <t xml:space="preserve">0402  923-BK1261-BAG    20000KG   22038237    (200553562)      </t>
    <phoneticPr fontId="4" type="noConversion"/>
  </si>
  <si>
    <t xml:space="preserve">0402  CP8320-76701-BAG    10000KG   22056197    (200508722)      </t>
    <phoneticPr fontId="4" type="noConversion"/>
  </si>
  <si>
    <t xml:space="preserve">0402  XCM830-76701-BAG    10000KG   22033024    (200497209)      </t>
    <phoneticPr fontId="4" type="noConversion"/>
  </si>
  <si>
    <t xml:space="preserve">0402  RCM6134-BK1G004-BAG    2000KG   22037399    (97251247)      </t>
    <phoneticPr fontId="4" type="noConversion"/>
  </si>
  <si>
    <t xml:space="preserve">0402  XCM830-76701-BAG    10000KG   22033024    (200497210)      </t>
    <phoneticPr fontId="4" type="noConversion"/>
  </si>
  <si>
    <t xml:space="preserve">0402  945-701-BAG    20000KG   22019581    (96280868)      </t>
    <phoneticPr fontId="4" type="noConversion"/>
  </si>
  <si>
    <t xml:space="preserve">0402  XCY620S-76701-BAG    20000KG   22037308    (82962864)      </t>
    <phoneticPr fontId="4" type="noConversion"/>
  </si>
  <si>
    <t xml:space="preserve">0402  XCY620S-76701-BAG    20000KG   22037308    (82962848)      </t>
    <phoneticPr fontId="4" type="noConversion"/>
  </si>
  <si>
    <t xml:space="preserve">0402  XCY620S-76701-BAG    20000KG   22037308    (82962849)      </t>
    <phoneticPr fontId="4" type="noConversion"/>
  </si>
  <si>
    <t xml:space="preserve">0402  XCY620S-76701-BAG    20000KG   22037308    (82962859)      </t>
    <phoneticPr fontId="4" type="noConversion"/>
  </si>
  <si>
    <t xml:space="preserve">0402  945-7T2D216-BAG    7000KG   22029986    (200537177)     Br.   </t>
    <phoneticPr fontId="4" type="noConversion"/>
  </si>
  <si>
    <t xml:space="preserve">0402  XCY620S-76701-BAG    20000KG   22037308    (82962853)      </t>
    <phoneticPr fontId="4" type="noConversion"/>
  </si>
  <si>
    <t xml:space="preserve">0402  XCY620S-76701-BAG    20000KG   22037308    (82962852)      </t>
    <phoneticPr fontId="4" type="noConversion"/>
  </si>
  <si>
    <t xml:space="preserve">0402  XCY620S-76701-BAG    20000KG   22037308    (82962851)      </t>
    <phoneticPr fontId="4" type="noConversion"/>
  </si>
  <si>
    <t xml:space="preserve">0402  XCY620S-76701-BAG    20000KG   22037308    (82962850)      </t>
    <phoneticPr fontId="4" type="noConversion"/>
  </si>
  <si>
    <t xml:space="preserve">0402  XCY620S-76701-BAG    20000KG   22037308    (71618761)      </t>
    <phoneticPr fontId="4" type="noConversion"/>
  </si>
  <si>
    <t xml:space="preserve">0402  XCY620S-76701-BAG    20000KG   22037308    (82957941)      </t>
    <phoneticPr fontId="4" type="noConversion"/>
  </si>
  <si>
    <t xml:space="preserve">0402  XCY620S-76701-BAG    20000KG   22037308    (82957942)      </t>
    <phoneticPr fontId="4" type="noConversion"/>
  </si>
  <si>
    <t xml:space="preserve">0402  945-7T2D216-BAG    5000KG   22029986    (200537202)     Br.   </t>
    <phoneticPr fontId="4" type="noConversion"/>
  </si>
  <si>
    <t xml:space="preserve">0402  XCY620S-76701-BAG    20000KG   22037308    (82962876)      </t>
    <phoneticPr fontId="4" type="noConversion"/>
  </si>
  <si>
    <t xml:space="preserve">0402  XCY620S-76701-BAG    20000KG   22037308    (82962877)      </t>
    <phoneticPr fontId="4" type="noConversion"/>
  </si>
  <si>
    <t xml:space="preserve">0402  XCY620S-76701-BAG    20000KG   22037308    (82962878)      </t>
    <phoneticPr fontId="4" type="noConversion"/>
  </si>
  <si>
    <t xml:space="preserve">0402  XCY620S-76701-BAG    20000KG   22037308    (82962879)      </t>
    <phoneticPr fontId="4" type="noConversion"/>
  </si>
  <si>
    <t xml:space="preserve">0402  945-7T2D216-BAG    8000KG   22029986    (200537264)     Br.   </t>
    <phoneticPr fontId="4" type="noConversion"/>
  </si>
  <si>
    <t xml:space="preserve">0402  XCY620S-76701-BAG    20000KG   22037308    (82962880)      </t>
    <phoneticPr fontId="4" type="noConversion"/>
  </si>
  <si>
    <t xml:space="preserve">0402  357TF-1001-SSS    20000KG   22088360    (97218307)      </t>
    <phoneticPr fontId="4" type="noConversion"/>
  </si>
  <si>
    <t xml:space="preserve">0402  945-7T8D574-BAG    10000KG   22034225    (200555906)     Br.   </t>
    <phoneticPr fontId="4" type="noConversion"/>
  </si>
  <si>
    <t xml:space="preserve">0402  943-NC-BAG    10000KG   22018287    (200560180)     Br.   </t>
    <phoneticPr fontId="4" type="noConversion"/>
  </si>
  <si>
    <t xml:space="preserve">0402  945-7T9A0590-BAG    10000KG   22098535    (200527627)      </t>
    <phoneticPr fontId="4" type="noConversion"/>
  </si>
  <si>
    <t xml:space="preserve">0402  945-8T7D087-BAG    20000KG   22031466    (97101193)      </t>
    <phoneticPr fontId="4" type="noConversion"/>
  </si>
  <si>
    <t xml:space="preserve">0402  357TF-1001-SSS    20000KG   22088360    (97218308)      </t>
    <phoneticPr fontId="4" type="noConversion"/>
  </si>
  <si>
    <t xml:space="preserve">0402  945U-NC-BAG    10197KG   22039271    (200497370)      </t>
    <phoneticPr fontId="4" type="noConversion"/>
  </si>
  <si>
    <t xml:space="preserve">0402  945-8T8A1183-BAG    8000KG   299901533    (200446072)      </t>
    <phoneticPr fontId="4" type="noConversion"/>
  </si>
  <si>
    <t xml:space="preserve">0402  357TF-1001-SSS    20000KG   22088360    (97218309)      </t>
    <phoneticPr fontId="4" type="noConversion"/>
  </si>
  <si>
    <t xml:space="preserve">0402  LS2-4135-BAG    20000KG   22028049    (200531580)      </t>
    <phoneticPr fontId="4" type="noConversion"/>
  </si>
  <si>
    <t xml:space="preserve">0402  121R-GY1D201T-BAG    2000KG   22033283    (200555846)      </t>
    <phoneticPr fontId="4" type="noConversion"/>
  </si>
  <si>
    <t xml:space="preserve">0402  945-NC-BAG    20000KG   22022070    (94727000)      </t>
    <phoneticPr fontId="4" type="noConversion"/>
  </si>
  <si>
    <t xml:space="preserve">0402  241R-WH8F021-BAG    2000KG   22044918    (200558139)      </t>
    <phoneticPr fontId="4" type="noConversion"/>
  </si>
  <si>
    <t xml:space="preserve">0402  241R-GN8B014T-BAG    2000KG   22030867    (200548766)      </t>
    <phoneticPr fontId="4" type="noConversion"/>
  </si>
  <si>
    <t xml:space="preserve">0402  940-NC-BAG    20000KG   22022017    (95348817)     Br.   </t>
    <phoneticPr fontId="4" type="noConversion"/>
  </si>
  <si>
    <t xml:space="preserve">0402  945-NC-BAG    20000KG   22022070    (96247168)      </t>
    <phoneticPr fontId="4" type="noConversion"/>
  </si>
  <si>
    <t xml:space="preserve">0402  GLX143-GN4G119T-BAG    10000KG   22067691    (200497052)      </t>
    <phoneticPr fontId="4" type="noConversion"/>
  </si>
  <si>
    <t xml:space="preserve">0402  ML9696-NC-BPK    10000KG   22040805    (97218311)      </t>
    <phoneticPr fontId="4" type="noConversion"/>
  </si>
  <si>
    <t xml:space="preserve">0402  GLX143-GN4G119T-BAG    10000KG   22067691    (200497053)      </t>
    <phoneticPr fontId="4" type="noConversion"/>
  </si>
  <si>
    <t xml:space="preserve">0402  GLX143-GN4G119T-BAG    10000KG   22067691    (200497104)      </t>
    <phoneticPr fontId="4" type="noConversion"/>
  </si>
  <si>
    <t xml:space="preserve">0402  GLX143-GN4G119T-BAG    10000KG   22067691    (200497054)      </t>
    <phoneticPr fontId="4" type="noConversion"/>
  </si>
  <si>
    <t xml:space="preserve">0402  LUX2114G-WH5B140X-BAG    1000KG   22023831    (200559993)      </t>
    <phoneticPr fontId="4" type="noConversion"/>
  </si>
  <si>
    <t xml:space="preserve">0402  LUX2114G-WH5B140X-BAG    5000KG   22023831    (200559207)      </t>
    <phoneticPr fontId="4" type="noConversion"/>
  </si>
  <si>
    <t xml:space="preserve">0402  LUX2114G-WH8G625X-BAG    5000KG   22032676    (200549460)      </t>
    <phoneticPr fontId="4" type="noConversion"/>
  </si>
  <si>
    <t xml:space="preserve">0402  MC1300-100-BAG    20000KG   22018739    (94678264)      </t>
    <phoneticPr fontId="4" type="noConversion"/>
  </si>
  <si>
    <t xml:space="preserve">0402  EXL1414T-1A8A3284T-BAG    17000KG   22103046    (96219574)      </t>
    <phoneticPr fontId="4" type="noConversion"/>
  </si>
  <si>
    <t xml:space="preserve">0402  LUX2114G-WH8G625X-BAG    3000KG   22032676    (200549461)      </t>
    <phoneticPr fontId="4" type="noConversion"/>
  </si>
  <si>
    <t xml:space="preserve">0402  LG9000-100-BAG    20000KG   22023994    (200497070)      </t>
    <phoneticPr fontId="4" type="noConversion"/>
  </si>
  <si>
    <t xml:space="preserve">0402  C1200HF-100-BAG    20000KG   22019660    (88398245)      </t>
    <phoneticPr fontId="4" type="noConversion"/>
  </si>
  <si>
    <t xml:space="preserve">0402  MC1300-100-BAG    20000KG   22018739    (94700527)      </t>
    <phoneticPr fontId="4" type="noConversion"/>
  </si>
  <si>
    <t xml:space="preserve">0402  MC1300-100-BAG    20000KG   22018739    (94700528)      </t>
    <phoneticPr fontId="4" type="noConversion"/>
  </si>
  <si>
    <t xml:space="preserve">0402  MC1300-100-BAG    20000KG   22018739    (94700529)      </t>
    <phoneticPr fontId="4" type="noConversion"/>
  </si>
  <si>
    <t xml:space="preserve">0402  MC1300-100-BAG    20000KG   22018739    (94700530)      </t>
    <phoneticPr fontId="4" type="noConversion"/>
  </si>
  <si>
    <t xml:space="preserve">0402  MC1300-100-BAG    20000KG   22018739    (94700531)      </t>
    <phoneticPr fontId="4" type="noConversion"/>
  </si>
  <si>
    <t xml:space="preserve">0402  MC1300-100-BAG    20000KG   22018739    (94699063)      </t>
    <phoneticPr fontId="4" type="noConversion"/>
  </si>
  <si>
    <t xml:space="preserve">0402  MC1300-100-BAG    20000KG   22018739    (94699057)      </t>
    <phoneticPr fontId="4" type="noConversion"/>
  </si>
  <si>
    <t xml:space="preserve">0402  MC1300-100-BAG    20000KG   22018739    (94699056)      </t>
    <phoneticPr fontId="4" type="noConversion"/>
  </si>
  <si>
    <t xml:space="preserve">0402  HF1130R-111-BAG    10000KG   22028312    (200560189)      </t>
    <phoneticPr fontId="4" type="noConversion"/>
  </si>
  <si>
    <t xml:space="preserve">0402  EXL1414-GY8B195-BAG    5000KG   22040454    (200524337)      </t>
    <phoneticPr fontId="4" type="noConversion"/>
  </si>
  <si>
    <t xml:space="preserve">0402  121R-7R7D031-SSS    20000KG   22037463    (200529089)      </t>
    <phoneticPr fontId="4" type="noConversion"/>
  </si>
  <si>
    <t xml:space="preserve">0402  141R-80711-BAG    9000KG   22038171    (200509387)      </t>
    <phoneticPr fontId="4" type="noConversion"/>
  </si>
  <si>
    <t xml:space="preserve">0402  141R-GY6A427-SSS    10000KG   22038198    (200553646)      </t>
    <phoneticPr fontId="4" type="noConversion"/>
  </si>
  <si>
    <t xml:space="preserve">0402  121R-7R7D031-SSS    20000KG   22037463    (200561488)      </t>
    <phoneticPr fontId="4" type="noConversion"/>
  </si>
  <si>
    <t xml:space="preserve">0402  141R-80711-BAG    9000KG   22038171    (200528331)      </t>
    <phoneticPr fontId="4" type="noConversion"/>
  </si>
  <si>
    <t xml:space="preserve">0402  LUX7630C-NAT-BAG    3000KG   22023838    (200560167)      </t>
    <phoneticPr fontId="4" type="noConversion"/>
  </si>
  <si>
    <t xml:space="preserve">0402  XCY620S-76701-BAG    20000KG   22037308    (82962858)      </t>
    <phoneticPr fontId="4" type="noConversion"/>
  </si>
  <si>
    <t xml:space="preserve">0402  XCY620S-76701-BAG    20000KG   22037308    (82962857)      </t>
    <phoneticPr fontId="4" type="noConversion"/>
  </si>
  <si>
    <t xml:space="preserve">0402  MC1300-100-SSS    20000KG   22036948    (200504690)      </t>
    <phoneticPr fontId="4" type="noConversion"/>
  </si>
  <si>
    <t xml:space="preserve">0402  MC1300-100-BAG    20000KG   22018739    (94678267)      </t>
    <phoneticPr fontId="4" type="noConversion"/>
  </si>
  <si>
    <t xml:space="preserve">0402  XCY620S-76701-BAG    20000KG   22037308    (82962847)      </t>
    <phoneticPr fontId="4" type="noConversion"/>
  </si>
  <si>
    <t xml:space="preserve">0402  XCY620S-76701-BAG    20000KG   22037308    (82962846)      </t>
    <phoneticPr fontId="4" type="noConversion"/>
  </si>
  <si>
    <t xml:space="preserve">0402  XCY620S-76701-BAG    20000KG   22037308    (82962845)      </t>
    <phoneticPr fontId="4" type="noConversion"/>
  </si>
  <si>
    <t xml:space="preserve">0402  XCY620S-76701-BAG    20000KG   22037308    (82962835)      </t>
    <phoneticPr fontId="4" type="noConversion"/>
  </si>
  <si>
    <t xml:space="preserve">0402  XCY620S-76701-BAG    20000KG   22037308    (82962836)      </t>
    <phoneticPr fontId="4" type="noConversion"/>
  </si>
  <si>
    <t xml:space="preserve">0402  MC1300-100-BAG    20000KG   22018739    (94678268)      </t>
    <phoneticPr fontId="4" type="noConversion"/>
  </si>
  <si>
    <t xml:space="preserve">0402  MC1300-100-BAG    20000KG   22018739    (94678269)      </t>
    <phoneticPr fontId="4" type="noConversion"/>
  </si>
  <si>
    <t xml:space="preserve">0402  LG9000-100-BAG    5000KG   22023994    (200559251)      </t>
    <phoneticPr fontId="4" type="noConversion"/>
  </si>
  <si>
    <t xml:space="preserve">0402  MC1300-100-BAG    20000KG   22018739    (94678270)      </t>
    <phoneticPr fontId="4" type="noConversion"/>
  </si>
  <si>
    <t xml:space="preserve">0402  MC1300-100-BAG    20000KG   22018739    (94678271)      </t>
    <phoneticPr fontId="4" type="noConversion"/>
  </si>
  <si>
    <t xml:space="preserve">0402  XCY620S-100-BAG    20000KG   22025073    (94700208)      </t>
    <phoneticPr fontId="4" type="noConversion"/>
  </si>
  <si>
    <t xml:space="preserve">0402  MC1300-100-BAG    20000KG   22018739    (94678272)      </t>
    <phoneticPr fontId="4" type="noConversion"/>
  </si>
  <si>
    <t xml:space="preserve">0402  MC1300-100-BAG    20000KG   22018739    (94678273)      </t>
    <phoneticPr fontId="4" type="noConversion"/>
  </si>
  <si>
    <t xml:space="preserve">0402  MC1300-100-SSS    20000KG   22036948    (200504766)      </t>
    <phoneticPr fontId="4" type="noConversion"/>
  </si>
  <si>
    <t xml:space="preserve">0402  XCY620S-76701-BAG    20000KG   22037308    (82957931)      </t>
    <phoneticPr fontId="4" type="noConversion"/>
  </si>
  <si>
    <t xml:space="preserve">0402  XCY620S-76701-BAG    20000KG   22037308    (82962884)      </t>
    <phoneticPr fontId="4" type="noConversion"/>
  </si>
  <si>
    <t xml:space="preserve">0402  XCY620S-100-BAG    20000KG   22025073    (94700209)      </t>
    <phoneticPr fontId="4" type="noConversion"/>
  </si>
  <si>
    <t xml:space="preserve">0402  MC1300-100-BAG    20000KG   22018739    (94699062)      </t>
    <phoneticPr fontId="4" type="noConversion"/>
  </si>
  <si>
    <t xml:space="preserve">0402  MC1300-100-BAG    20000KG   22018739    (94699061)      </t>
    <phoneticPr fontId="4" type="noConversion"/>
  </si>
  <si>
    <t xml:space="preserve">0402  MC1300-100-BAG    20000KG   22018739    (94699060)      </t>
    <phoneticPr fontId="4" type="noConversion"/>
  </si>
  <si>
    <t xml:space="preserve">0402  MC1300-100-BAG    20000KG   22018739    (94699059)      </t>
    <phoneticPr fontId="4" type="noConversion"/>
  </si>
  <si>
    <t xml:space="preserve">0402  MC1300-100-BAG    20000KG   22018739    (94699058)      </t>
    <phoneticPr fontId="4" type="noConversion"/>
  </si>
  <si>
    <t xml:space="preserve">0402  MC1300-100-BAG    20000KG   22018739    (94699055)      </t>
    <phoneticPr fontId="4" type="noConversion"/>
  </si>
  <si>
    <t xml:space="preserve">0402  MC1300-100-BAG    20000KG   22018739    (94699054)      </t>
    <phoneticPr fontId="4" type="noConversion"/>
  </si>
  <si>
    <t xml:space="preserve">0402  MC1300-100-BAG    20000KG   22018739    (94699053)      </t>
    <phoneticPr fontId="4" type="noConversion"/>
  </si>
  <si>
    <t xml:space="preserve">0402  MC1300-100-BAG    20000KG   22018739    (94699052)      </t>
    <phoneticPr fontId="4" type="noConversion"/>
  </si>
  <si>
    <t xml:space="preserve">0402  MC1300-100-BAG    20000KG   22018739    (94699051)      </t>
    <phoneticPr fontId="4" type="noConversion"/>
  </si>
  <si>
    <t xml:space="preserve">0402  MC1300-100-BAG    20000KG   22018739    (94699049)      </t>
    <phoneticPr fontId="4" type="noConversion"/>
  </si>
  <si>
    <t xml:space="preserve">0402  MC1300-100-BAG    20000KG   22018739    (94699050)      </t>
    <phoneticPr fontId="4" type="noConversion"/>
  </si>
  <si>
    <t xml:space="preserve">0402  LG9000-BK1044-BAG    5000KG   22018724    (200560391)      </t>
    <phoneticPr fontId="4" type="noConversion"/>
  </si>
  <si>
    <t xml:space="preserve">0402  C1200HF-GY1460-BAG    5000KG   22039413    (200537204)      </t>
    <phoneticPr fontId="4" type="noConversion"/>
  </si>
  <si>
    <t xml:space="preserve">0402  C1200HF-GY1G005-BAG    6000KG   22044899    (200554522)      </t>
    <phoneticPr fontId="4" type="noConversion"/>
  </si>
  <si>
    <t xml:space="preserve">0402  XP4034-BK1041-BAG    10000KG   22019027    (94692688)      </t>
    <phoneticPr fontId="4" type="noConversion"/>
  </si>
  <si>
    <t xml:space="preserve">0402  C1200HF-7001-BAG    10000KG   22034851    (200562500)      </t>
    <phoneticPr fontId="4" type="noConversion"/>
  </si>
  <si>
    <t xml:space="preserve">0402  141R-701-BAG    5000KG   22021359    (200544598)      </t>
    <phoneticPr fontId="4" type="noConversion"/>
  </si>
  <si>
    <t xml:space="preserve">0402  LS1-701-BAG    20000KG   22041018    (200549493)      </t>
    <phoneticPr fontId="4" type="noConversion"/>
  </si>
  <si>
    <t xml:space="preserve">0402  C1200HF-GY1460-BAG    10000KG   22039413    (200521960)      </t>
    <phoneticPr fontId="4" type="noConversion"/>
  </si>
  <si>
    <t xml:space="preserve">0402  C1200HF-BK2G024-BAG    20000KG   22034874    (200551142)      </t>
    <phoneticPr fontId="4" type="noConversion"/>
  </si>
  <si>
    <t xml:space="preserve">0402  XP4034-GY1E349-BAG    10000KG   22041179    (200508695)      </t>
    <phoneticPr fontId="4" type="noConversion"/>
  </si>
  <si>
    <t xml:space="preserve">0402  C1200HF-BK2G024-BAG    20000KG   22034874    (200551079)      </t>
    <phoneticPr fontId="4" type="noConversion"/>
  </si>
  <si>
    <t xml:space="preserve">0402  LS1-701-BAG    20000KG   22041018    (200549471)      </t>
    <phoneticPr fontId="4" type="noConversion"/>
  </si>
  <si>
    <t xml:space="preserve">0402  XP4034-BK1041-BAG    10000KG   22019027    (94692789)      </t>
    <phoneticPr fontId="4" type="noConversion"/>
  </si>
  <si>
    <t xml:space="preserve">0402  XP4034-BK1041-BAG    15000KG   22019027    (94692790)      </t>
    <phoneticPr fontId="4" type="noConversion"/>
  </si>
  <si>
    <t xml:space="preserve">0402  141R-701-BAG    12000KG   22021359    (200568504)      </t>
    <phoneticPr fontId="4" type="noConversion"/>
  </si>
  <si>
    <t xml:space="preserve">0402  LS1-701-BAG    20000KG   22041018    (200549400)      </t>
    <phoneticPr fontId="4" type="noConversion"/>
  </si>
  <si>
    <t xml:space="preserve">0402  XCY620-BK1G372-BAG    16000KG   22041153    (200496374)      </t>
    <phoneticPr fontId="4" type="noConversion"/>
  </si>
  <si>
    <t xml:space="preserve">0402  XP4034-GY1E811-BAG    10000KG   22019030    (200561871)      </t>
    <phoneticPr fontId="4" type="noConversion"/>
  </si>
  <si>
    <t xml:space="preserve">0402  C1200HF-7001-BBG    10000KG   22028879    (200558256)      </t>
    <phoneticPr fontId="4" type="noConversion"/>
  </si>
  <si>
    <t xml:space="preserve">0402  LS1-701-BAG    20000KG   22041018    (200549507)      </t>
    <phoneticPr fontId="4" type="noConversion"/>
  </si>
  <si>
    <t xml:space="preserve">0402  C1200HF-BK2G024-BAG    20000KG   22034874    (200551123)      </t>
    <phoneticPr fontId="4" type="noConversion"/>
  </si>
  <si>
    <t xml:space="preserve">0402  LG9000-BK1044-BAG    5000KG   22018724    (200566296)      </t>
    <phoneticPr fontId="4" type="noConversion"/>
  </si>
  <si>
    <t xml:space="preserve">0402  LS1-701-BAG    20000KG   22041018    (200549528)      </t>
    <phoneticPr fontId="4" type="noConversion"/>
  </si>
  <si>
    <t xml:space="preserve">0402  XP4034-7G1A1101-BAG    10000KG   299901337    (200558282)      </t>
    <phoneticPr fontId="4" type="noConversion"/>
  </si>
  <si>
    <t xml:space="preserve">0402  XP4034-BK1B374-BAG    20000KG   22041176    (200520422)      </t>
    <phoneticPr fontId="4" type="noConversion"/>
  </si>
  <si>
    <t xml:space="preserve">0402  C1200HF-BK2G024-BAG    20000KG   22034874    (200551017)      </t>
    <phoneticPr fontId="4" type="noConversion"/>
  </si>
  <si>
    <t xml:space="preserve">0402  XCY620-BK1005-BAG    20000KG   22025061    (94714325)      </t>
    <phoneticPr fontId="4" type="noConversion"/>
  </si>
  <si>
    <t xml:space="preserve">0402  LS1-701-BAG    20000KG   22041018    (200549459)      </t>
    <phoneticPr fontId="4" type="noConversion"/>
  </si>
  <si>
    <t xml:space="preserve">0402  LG9000-GY1C306-BAG    13000KG   22018726    (200540824)      </t>
    <phoneticPr fontId="4" type="noConversion"/>
  </si>
  <si>
    <t xml:space="preserve">0402  LS1-701-BAG    10000KG   22041018    (200558326)      </t>
    <phoneticPr fontId="4" type="noConversion"/>
  </si>
  <si>
    <t xml:space="preserve">0402  LG9000-GY1C306-BAG    10000KG   22018726    (200566332)      </t>
    <phoneticPr fontId="4" type="noConversion"/>
  </si>
  <si>
    <t xml:space="preserve">0402  C1200HF-GY1460-BAG    5000KG   22039413    (200539808)      </t>
    <phoneticPr fontId="4" type="noConversion"/>
  </si>
  <si>
    <t xml:space="preserve">0402  C1200HF-GY1460-BAG    10000KG   22039413    (200537703)      </t>
    <phoneticPr fontId="4" type="noConversion"/>
  </si>
  <si>
    <t xml:space="preserve">0402  NXCY620-BKNAT-BAG    13000KG   22036896    (200538791)      </t>
    <phoneticPr fontId="4" type="noConversion"/>
  </si>
  <si>
    <t xml:space="preserve">0402  LS1-701-BAG    10000KG   22041018    (200558235)      </t>
    <phoneticPr fontId="4" type="noConversion"/>
  </si>
  <si>
    <t xml:space="preserve">0402  141R-701-BAG    5000KG   22021359    (200566150)      </t>
    <phoneticPr fontId="4" type="noConversion"/>
  </si>
  <si>
    <t xml:space="preserve">0402  XCY620-BK1G372-BAG    10000KG   22041153    (200537625)      </t>
    <phoneticPr fontId="4" type="noConversion"/>
  </si>
  <si>
    <t xml:space="preserve">0402  XCY620-BK1G372-BAG    10000KG   22041153    (200535117)      </t>
    <phoneticPr fontId="4" type="noConversion"/>
  </si>
  <si>
    <t xml:space="preserve">0402  LS1-701-BAG    10000KG   22041018    (200558300)      </t>
    <phoneticPr fontId="4" type="noConversion"/>
  </si>
  <si>
    <t xml:space="preserve">0402  XP4034-BK1041-BAG    20000KG   22019027    (94692791)      </t>
    <phoneticPr fontId="4" type="noConversion"/>
  </si>
  <si>
    <t xml:space="preserve">0402  LS1-701-BAG    10000KG   22041018    (200558314)      </t>
    <phoneticPr fontId="4" type="noConversion"/>
  </si>
  <si>
    <t xml:space="preserve">0402  C1200HF-701-BAG    20000KG   22022222    (90033780)      </t>
    <phoneticPr fontId="4" type="noConversion"/>
  </si>
  <si>
    <t xml:space="preserve">0402  XCY620-BK1005-BAG    20000KG   22025061    (94714326)      </t>
    <phoneticPr fontId="4" type="noConversion"/>
  </si>
  <si>
    <t xml:space="preserve">0402  XP4034-GY1E811-BAG    10000KG   22019030    (200508774)      </t>
    <phoneticPr fontId="4" type="noConversion"/>
  </si>
  <si>
    <t xml:space="preserve">0402  XCY620S-76701-BAG    20000KG   22037308    (97125725)      </t>
    <phoneticPr fontId="4" type="noConversion"/>
  </si>
  <si>
    <t xml:space="preserve">0402  XCY620-BK1G372-BAG    10000KG   22041153    (200537540)      </t>
    <phoneticPr fontId="4" type="noConversion"/>
  </si>
  <si>
    <t xml:space="preserve">0402  XCY620S-76701-BAG    20000KG   22037308    (97124245)      </t>
    <phoneticPr fontId="4" type="noConversion"/>
  </si>
  <si>
    <t xml:space="preserve">0402  XCY620S-76701-BAG    20000KG   22037308    (97125726)      </t>
    <phoneticPr fontId="4" type="noConversion"/>
  </si>
  <si>
    <t xml:space="preserve">0402  945U-NC-BAG    10000KG   22039271    (200554900)      </t>
    <phoneticPr fontId="4" type="noConversion"/>
  </si>
  <si>
    <t xml:space="preserve">0402  LUX9130T-NAT-BAG    10000KG   22036940    (200421445)      </t>
    <phoneticPr fontId="4" type="noConversion"/>
  </si>
  <si>
    <t xml:space="preserve">0402  9925A-NA1A0036-BAG    2000KG   22034701    (200549117)      </t>
    <phoneticPr fontId="4" type="noConversion"/>
  </si>
  <si>
    <t xml:space="preserve">0402  LUX2114G-WH4G020X-BAG    3000KG   22036929    (200426612)      </t>
    <phoneticPr fontId="4" type="noConversion"/>
  </si>
  <si>
    <t xml:space="preserve">0402  LUX2114G-WH5B140X-BAG    2000KG   22023831    (200530651)      </t>
    <phoneticPr fontId="4" type="noConversion"/>
  </si>
  <si>
    <t xml:space="preserve">0402  XCY620S-100-BAG    10000KG   22025073    (86435842)      </t>
    <phoneticPr fontId="4" type="noConversion"/>
  </si>
  <si>
    <t xml:space="preserve">0402  923A-116-BAG    500KG   22022183    (200561340)      </t>
    <phoneticPr fontId="4" type="noConversion"/>
  </si>
  <si>
    <t xml:space="preserve">0402  LUX9130T-NAT-BAG    10000KG   22036940    (200421444)      </t>
    <phoneticPr fontId="4" type="noConversion"/>
  </si>
  <si>
    <t xml:space="preserve">0402  LUX7636C-WH5E143X-BAG    2000KG   22028318    (200559384)      </t>
    <phoneticPr fontId="4" type="noConversion"/>
  </si>
  <si>
    <t xml:space="preserve">0402  LUX7630C-NAT-BAG    1000KG   22023838    (200559171)      </t>
    <phoneticPr fontId="4" type="noConversion"/>
  </si>
  <si>
    <t xml:space="preserve">0402  164H-111FC-BAG    2000KG   22031018    (200495973)      </t>
    <phoneticPr fontId="4" type="noConversion"/>
  </si>
  <si>
    <t xml:space="preserve">0402  LUX9616G-WH5A140X-BAG    350KG   22020473    (200568362)      </t>
    <phoneticPr fontId="4" type="noConversion"/>
  </si>
  <si>
    <t xml:space="preserve">0402  945-7A1A2480-BAG    2000KG   299902726    (200543608)      </t>
    <phoneticPr fontId="4" type="noConversion"/>
  </si>
  <si>
    <t xml:space="preserve">0402  C2800-7T1D203-BAG    20000KG   22034977    (200566271)     Br.   </t>
    <phoneticPr fontId="4" type="noConversion"/>
  </si>
  <si>
    <t xml:space="preserve">0402  C6600-GY2A547-BAG    1000KG   22038939    (200555900)      </t>
    <phoneticPr fontId="4" type="noConversion"/>
  </si>
  <si>
    <t xml:space="preserve">0402  C6200-7T1D306-BAG    10000KG   22035116    (200560244)      </t>
    <phoneticPr fontId="4" type="noConversion"/>
  </si>
  <si>
    <t xml:space="preserve">0402  EXL9330-BK2E002-BAG    1000KG   22036348    (200562605)      </t>
    <phoneticPr fontId="4" type="noConversion"/>
  </si>
  <si>
    <t xml:space="preserve">0402  EXL9134-7T2D205-BAG    2000KG   22029393    (200551356)      </t>
    <phoneticPr fontId="4" type="noConversion"/>
  </si>
  <si>
    <t xml:space="preserve">0402  C2950HF-GY1291-BAG    1000KG   22031568    (200568282)      </t>
    <phoneticPr fontId="4" type="noConversion"/>
  </si>
  <si>
    <t xml:space="preserve">0402  C2950HF-GY1291-BAG    1000KG   22031568    (200568264)      </t>
    <phoneticPr fontId="4" type="noConversion"/>
  </si>
  <si>
    <t xml:space="preserve">0402  925-701-BAG    500KG   22022189    (200555908)      </t>
    <phoneticPr fontId="4" type="noConversion"/>
  </si>
  <si>
    <t xml:space="preserve">0402  C2950HF-GY1291-BAG    1000KG   22031568    (200568265)      </t>
    <phoneticPr fontId="4" type="noConversion"/>
  </si>
  <si>
    <t xml:space="preserve">0402  C2800-701-BAG    1000KG   22017334    (200560132)      </t>
    <phoneticPr fontId="4" type="noConversion"/>
  </si>
  <si>
    <t xml:space="preserve">0402  C1200HF-GY2E337-BAG    2000KG   22031630    (200558345)      </t>
    <phoneticPr fontId="4" type="noConversion"/>
  </si>
  <si>
    <t xml:space="preserve">0402  XCY620-BK1G372-BAG    3000KG   22041153    (200537925)      </t>
    <phoneticPr fontId="4" type="noConversion"/>
  </si>
  <si>
    <t xml:space="preserve">0402  953-701-BAG    5000KG   22019593    (200529075)      </t>
    <phoneticPr fontId="4" type="noConversion"/>
  </si>
  <si>
    <t xml:space="preserve">0402  C2950HF-GY1291-BAG    1000KG   22031568    (200568221)      </t>
    <phoneticPr fontId="4" type="noConversion"/>
  </si>
  <si>
    <t xml:space="preserve">0402  RCY6214-7M1D182-BAG    2000KG   22040925    (200567162)      </t>
    <phoneticPr fontId="4" type="noConversion"/>
  </si>
  <si>
    <t xml:space="preserve">0402  C2950HF-GY1291-BAG    1000KG   22031568    (200568251)      </t>
    <phoneticPr fontId="4" type="noConversion"/>
  </si>
  <si>
    <t xml:space="preserve">0402  C2950HF-GY1291-BAG    1000KG   22031568    (200568283)      </t>
    <phoneticPr fontId="4" type="noConversion"/>
  </si>
  <si>
    <t xml:space="preserve">0402  LG9000-BK1044-BAG    1000KG   22018724    (200479758)      </t>
    <phoneticPr fontId="4" type="noConversion"/>
  </si>
  <si>
    <t xml:space="preserve">0402  ML6411-7T4D041L-BAG    10000KG   22036797    (200561419)      </t>
    <phoneticPr fontId="4" type="noConversion"/>
  </si>
  <si>
    <t xml:space="preserve">0402  HF1110R-701-BAG    1000KG   22023557    (200560120)      </t>
    <phoneticPr fontId="4" type="noConversion"/>
  </si>
  <si>
    <t xml:space="preserve">0402  EXL9330-BK1A068-BAG    20000KG   22018508    (96038555)      </t>
    <phoneticPr fontId="4" type="noConversion"/>
  </si>
  <si>
    <t xml:space="preserve">0402  D251RC-7A1D379-BAG    10000KG   22097758    (200557981)      </t>
    <phoneticPr fontId="4" type="noConversion"/>
  </si>
  <si>
    <t xml:space="preserve">0402  EXL9330-BK1A233-BAG    20000KG   22020017    (95359437)      </t>
    <phoneticPr fontId="4" type="noConversion"/>
  </si>
  <si>
    <t xml:space="preserve">0402  EXL9330P-BK1E649-BAG    20000KG   22035991    (92846408)      </t>
    <phoneticPr fontId="4" type="noConversion"/>
  </si>
  <si>
    <t xml:space="preserve">0402  C4220-76701-BAG    5000KG   22030087    (200547546)      </t>
    <phoneticPr fontId="4" type="noConversion"/>
  </si>
  <si>
    <t xml:space="preserve">0402  D551-701-SBG    6500KG   22032152    (200557882)      </t>
    <phoneticPr fontId="4" type="noConversion"/>
  </si>
  <si>
    <t xml:space="preserve">0402  RCP36-BK1A862-SBG    2400KG   22040918    (92477791)      </t>
    <phoneticPr fontId="4" type="noConversion"/>
  </si>
  <si>
    <t xml:space="preserve">0402  DX11355-BKNAT-FBG    20000KG   22082385    (94691478)      </t>
    <phoneticPr fontId="4" type="noConversion"/>
  </si>
  <si>
    <t xml:space="preserve">0402  RCP36-BK1A862-SBG    3200KG   22040918    (92477792)      </t>
    <phoneticPr fontId="4" type="noConversion"/>
  </si>
  <si>
    <t xml:space="preserve">0402  A3000-BK8115-BAG    1000KG   22034318    (200541939)      </t>
    <phoneticPr fontId="4" type="noConversion"/>
  </si>
  <si>
    <t xml:space="preserve">0402  D251RC-7A1D379-BAG    1000KG   22097758    (200559202)      </t>
    <phoneticPr fontId="4" type="noConversion"/>
  </si>
  <si>
    <t xml:space="preserve">0402  ER007485-2G2A4425-SBG    300KG   22106792    (96286617)      </t>
    <phoneticPr fontId="4" type="noConversion"/>
  </si>
  <si>
    <t xml:space="preserve">0402  MC5220-7001-BAG    2000KG   22030554    (200549055)      </t>
    <phoneticPr fontId="4" type="noConversion"/>
  </si>
  <si>
    <t xml:space="preserve">0402  C2950HF-BL2082-BAG    500KG   22039549    (200562555)      </t>
    <phoneticPr fontId="4" type="noConversion"/>
  </si>
  <si>
    <t xml:space="preserve">0402  241RC-GN4G116-BAG    200KG   299905860    (200568637)      </t>
    <phoneticPr fontId="4" type="noConversion"/>
  </si>
  <si>
    <t xml:space="preserve">0402  ER007485-2G2A4425-SBG    200KG   22106792    (97218312)      </t>
    <phoneticPr fontId="4" type="noConversion"/>
  </si>
  <si>
    <t xml:space="preserve">0402  CX7240U-7T1D359-BAG    20000KG   22035659    (200562795)      </t>
    <phoneticPr fontId="4" type="noConversion"/>
  </si>
  <si>
    <t xml:space="preserve">0402  DX10311-701-SBG    2050KG   22035924    (200564779)      </t>
    <phoneticPr fontId="4" type="noConversion"/>
  </si>
  <si>
    <t xml:space="preserve">0402  DF006ER-NC-SBG    1000KG   22031882    (200568292)      </t>
    <phoneticPr fontId="4" type="noConversion"/>
  </si>
  <si>
    <t xml:space="preserve">0402  DEP23FXC-BK8167-SBG    300KG   22039344    (200566349)      </t>
    <phoneticPr fontId="4" type="noConversion"/>
  </si>
  <si>
    <t xml:space="preserve">0402  C2950HF-BL2082-BAG    500KG   22039549    (200562556)      </t>
    <phoneticPr fontId="4" type="noConversion"/>
  </si>
  <si>
    <t xml:space="preserve">0402  R2000-GYMDNAT-SBG    1000KG   22041327    (200548370)      </t>
    <phoneticPr fontId="4" type="noConversion"/>
  </si>
  <si>
    <t xml:space="preserve">0402  RFP36-BK1A856-SBG    1000KG   22040935    (85966981)      </t>
    <phoneticPr fontId="4" type="noConversion"/>
  </si>
  <si>
    <t xml:space="preserve">0402  C6600-GY9A016-BAG    1000KG   22039826    (200560089)      </t>
    <phoneticPr fontId="4" type="noConversion"/>
  </si>
  <si>
    <t xml:space="preserve">0402  EXCY0325-NA9G167T-BAG    2140KG   22032258    (200528258)      </t>
    <phoneticPr fontId="4" type="noConversion"/>
  </si>
  <si>
    <t xml:space="preserve">0402  RCP36-BK1A862-SBG    1000KG   22040918    (200567464)      </t>
    <phoneticPr fontId="4" type="noConversion"/>
  </si>
  <si>
    <t xml:space="preserve">0402  WF006N-8A8A1122-SBG    1000KG   22104379    (200557796)      </t>
    <phoneticPr fontId="4" type="noConversion"/>
  </si>
  <si>
    <t xml:space="preserve">0402  UFL36S-BKNAT-SBG    1000KG   22041363    (86521991)      </t>
    <phoneticPr fontId="4" type="noConversion"/>
  </si>
  <si>
    <t xml:space="preserve">0402  BPL1000-GY6E054-BAG    1000KG   22038531    (92134647)      </t>
    <phoneticPr fontId="4" type="noConversion"/>
  </si>
  <si>
    <t xml:space="preserve">0402  UFL36AS-YWLTNAT-SBG    1000KG   22037570    (97081540)      </t>
    <phoneticPr fontId="4" type="noConversion"/>
  </si>
  <si>
    <t xml:space="preserve">0402  CX7240-GY8D348-BAG    2000KG   22032089    (200559286)      </t>
    <phoneticPr fontId="4" type="noConversion"/>
  </si>
  <si>
    <t xml:space="preserve">0402  UFL36AS-YWLTNAT-SBG    1000KG   22037570    (94493587)      </t>
    <phoneticPr fontId="4" type="noConversion"/>
  </si>
  <si>
    <t xml:space="preserve">0402  LS1-701-BAG    20000KG   22041018    (200516636)      </t>
    <phoneticPr fontId="4" type="noConversion"/>
  </si>
  <si>
    <t xml:space="preserve">0402  DX89406-BKNAT-BPK    10000KG   22039467    (92302282)      </t>
    <phoneticPr fontId="4" type="noConversion"/>
  </si>
  <si>
    <t xml:space="preserve">0402  DX89406-BKNAT-BPK    10000KG   22039467    (92302280)      </t>
    <phoneticPr fontId="4" type="noConversion"/>
  </si>
  <si>
    <t xml:space="preserve">0402  LS1-701-BAG    20000KG   22041018    (200516678)      </t>
    <phoneticPr fontId="4" type="noConversion"/>
  </si>
  <si>
    <t xml:space="preserve">0402  DX89406-BKNAT-BPK    10000KG   22039467    (92302277)      </t>
    <phoneticPr fontId="4" type="noConversion"/>
  </si>
  <si>
    <t xml:space="preserve">0402  DX89406-BKNAT-BPK    10000KG   22039467    (92302273)      </t>
    <phoneticPr fontId="4" type="noConversion"/>
  </si>
  <si>
    <t xml:space="preserve">0402  DX89406-BKNAT-BPK    10000KG   22039467    (92302275)      </t>
    <phoneticPr fontId="4" type="noConversion"/>
  </si>
  <si>
    <t xml:space="preserve">0402  DX89406-BKNAT-BPK    10000KG   22039467    (92302270)      </t>
    <phoneticPr fontId="4" type="noConversion"/>
  </si>
  <si>
    <t xml:space="preserve">0402  SLX2271T-NA9E166T-BAG    100KG   22024947    (200548570)      </t>
    <phoneticPr fontId="4" type="noConversion"/>
  </si>
  <si>
    <t xml:space="preserve">0402  ML6411-3T5D024-BAG    100KG   22040670    (200567439)      </t>
    <phoneticPr fontId="4" type="noConversion"/>
  </si>
  <si>
    <t xml:space="preserve">0402  LUX9612-WH8E508X-BAG    25KG   22017108    (200562541)      </t>
    <phoneticPr fontId="4" type="noConversion"/>
  </si>
  <si>
    <t xml:space="preserve">0402  C2800-7T2D256-BAG    100KG   22031509    (200564696)      </t>
    <phoneticPr fontId="4" type="noConversion"/>
  </si>
  <si>
    <t xml:space="preserve">0402  NL001-BK1B643-BAG    25KG   22036885    (200555884)      </t>
    <phoneticPr fontId="4" type="noConversion"/>
  </si>
  <si>
    <t xml:space="preserve">0402  940-WH9G555-BAG    100KG   22039131    (200556893)      </t>
    <phoneticPr fontId="4" type="noConversion"/>
  </si>
  <si>
    <t xml:space="preserve">0402  945-4T7D056-BAG    250KG   299905825    (200568345)      </t>
    <phoneticPr fontId="4" type="noConversion"/>
  </si>
  <si>
    <t xml:space="preserve">0402  223R-BR2G132-BAG    500KG   22044053    (200548727)      </t>
    <phoneticPr fontId="4" type="noConversion"/>
  </si>
  <si>
    <t xml:space="preserve">0402  ENH2900-WH6G038-BAG    25KG   22040325    (91762082)      </t>
    <phoneticPr fontId="4" type="noConversion"/>
  </si>
  <si>
    <t xml:space="preserve">0402  CFR9111-7M1D228T-BAG    300KG   22083871    (200566002)      </t>
    <phoneticPr fontId="4" type="noConversion"/>
  </si>
  <si>
    <t xml:space="preserve">0402  945-WH5185-BAG    25KG   22038419    (200553741)      </t>
    <phoneticPr fontId="4" type="noConversion"/>
  </si>
  <si>
    <t xml:space="preserve">0402  EXL9330-7T3D128-BAG    100KG   22036326    (200544628)      </t>
    <phoneticPr fontId="4" type="noConversion"/>
  </si>
  <si>
    <t xml:space="preserve">0402  C2800-GY6B278-BAG    50KG   22038683    (200534803)      </t>
    <phoneticPr fontId="4" type="noConversion"/>
  </si>
  <si>
    <t xml:space="preserve">0402  C2950HF-BK1D834-BAG    100KG   22034639    (200547469)      </t>
    <phoneticPr fontId="4" type="noConversion"/>
  </si>
  <si>
    <t xml:space="preserve">0402  WF009NA-7G8A3867-SBG    280KG   299904600    (200568615)      </t>
    <phoneticPr fontId="4" type="noConversion"/>
  </si>
  <si>
    <t xml:space="preserve">0402  RF006S-BK1A791-SBG    100KG   22037032    (200565917)      </t>
    <phoneticPr fontId="4" type="noConversion"/>
  </si>
  <si>
    <t xml:space="preserve">0402  R2000-BK1A831-SBG    100KG   22037395    (200552287)      </t>
    <phoneticPr fontId="4" type="noConversion"/>
  </si>
  <si>
    <t xml:space="preserve">0402  420SE0-GN4B079-BAG    25KG   22033684    (200561373)      </t>
    <phoneticPr fontId="4" type="noConversion"/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</si>
  <si>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</si>
  <si>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</si>
  <si>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</si>
  <si>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</si>
  <si>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</si>
  <si>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</si>
  <si>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</si>
  <si>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</si>
  <si>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</si>
  <si>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</si>
  <si>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</si>
  <si>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</si>
  <si>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</si>
  <si>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</si>
  <si>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</si>
  <si>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</si>
  <si>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</si>
  <si>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</si>
  <si>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</si>
  <si>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</si>
  <si>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</si>
  <si>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</si>
  <si>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</si>
  <si>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</si>
  <si>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</si>
  <si>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</si>
  <si>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</si>
  <si>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</si>
  <si>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KG</t>
  </si>
  <si>
    <t>BAG</t>
  </si>
  <si>
    <t>No</t>
  </si>
  <si>
    <t>PrcOrd (R)</t>
  </si>
  <si>
    <t>BK1066</t>
  </si>
  <si>
    <t>PlOrd. (F)</t>
  </si>
  <si>
    <t>MISC99</t>
  </si>
  <si>
    <t>PrcOrd (C)</t>
  </si>
  <si>
    <t>LEXF7O</t>
  </si>
  <si>
    <t>500R</t>
  </si>
  <si>
    <t>ML7694</t>
  </si>
  <si>
    <t>121R</t>
  </si>
  <si>
    <t>SSS</t>
  </si>
  <si>
    <t>LEXFR7O</t>
  </si>
  <si>
    <t>LEXF8O</t>
  </si>
  <si>
    <t>3412R</t>
  </si>
  <si>
    <t>3412R-131-BAG-00-00-00</t>
  </si>
  <si>
    <t>LEXF1X</t>
  </si>
  <si>
    <t>C6200</t>
  </si>
  <si>
    <t>HF1130</t>
  </si>
  <si>
    <t>LEX8X</t>
  </si>
  <si>
    <t>FXD171R</t>
  </si>
  <si>
    <t>945A</t>
  </si>
  <si>
    <t>241R</t>
  </si>
  <si>
    <t>LEXF4O</t>
  </si>
  <si>
    <t>COYFRGDO</t>
  </si>
  <si>
    <t>C2800</t>
  </si>
  <si>
    <t>COYFR8O</t>
  </si>
  <si>
    <t>C2950-YW8295S-BAG-00-00-00</t>
  </si>
  <si>
    <t>COYFR4O</t>
  </si>
  <si>
    <t>C2950</t>
  </si>
  <si>
    <t>YW8295S</t>
  </si>
  <si>
    <t>C2950-701-BAG-00-00-00</t>
  </si>
  <si>
    <t>COYFR7O</t>
  </si>
  <si>
    <t>945-WH5185-BAG-00-00-00</t>
  </si>
  <si>
    <t>WH5185</t>
  </si>
  <si>
    <t>C6600-111-BAG-00-00-00</t>
  </si>
  <si>
    <t>C6600</t>
  </si>
  <si>
    <t>CX7240</t>
  </si>
  <si>
    <t>C6600-8M9D029-BAG-00-00-00</t>
  </si>
  <si>
    <t>8M9D029</t>
  </si>
  <si>
    <t>945-NC-BAG-00-00-00</t>
  </si>
  <si>
    <t>LEX1T</t>
  </si>
  <si>
    <t>NC</t>
  </si>
  <si>
    <t>3413R</t>
  </si>
  <si>
    <t>LS2-6162-BAG-00-00-00</t>
  </si>
  <si>
    <t>LEX6DT</t>
  </si>
  <si>
    <t>LS2</t>
  </si>
  <si>
    <t>LEXFR1T</t>
  </si>
  <si>
    <t>3412ECR-WH8E395-BAG-00-00-00</t>
  </si>
  <si>
    <t>3412ECR</t>
  </si>
  <si>
    <t>WH8E395</t>
  </si>
  <si>
    <t>500R-131-BAG-00-00-00</t>
  </si>
  <si>
    <t>ML7694-WH8G785-BAG-00-00-00</t>
  </si>
  <si>
    <t>WH8G785</t>
  </si>
  <si>
    <t>LEX8O</t>
  </si>
  <si>
    <t>LEXFGDO</t>
  </si>
  <si>
    <t>LEXGDO</t>
  </si>
  <si>
    <t>SBG</t>
  </si>
  <si>
    <t>PlOrd.</t>
  </si>
  <si>
    <t>BK8115</t>
  </si>
  <si>
    <t>EXL1414T</t>
  </si>
  <si>
    <t>ENH2900</t>
  </si>
  <si>
    <t>945-BL3D150-BAG-00-00-00</t>
  </si>
  <si>
    <t>BL3D150</t>
  </si>
  <si>
    <t>LEX7T</t>
  </si>
  <si>
    <t>143R</t>
  </si>
  <si>
    <t>123R</t>
  </si>
  <si>
    <t>LEXGLX</t>
  </si>
  <si>
    <t>LEXX7T</t>
  </si>
  <si>
    <t>0/07:08:34</t>
  </si>
  <si>
    <t>HF1110</t>
  </si>
  <si>
    <t>0/21:25:43</t>
  </si>
  <si>
    <t>LEXX1T</t>
  </si>
  <si>
    <t>LEX4T</t>
  </si>
  <si>
    <t>FXD121R</t>
  </si>
  <si>
    <t>0/00:42:51</t>
  </si>
  <si>
    <t>EXL9414T</t>
  </si>
  <si>
    <t>EXL1433T</t>
  </si>
  <si>
    <t>141R</t>
  </si>
  <si>
    <t>123R-GY4G232T-BAG-00-00-00</t>
  </si>
  <si>
    <t>LEXGDT</t>
  </si>
  <si>
    <t>GY4G232T</t>
  </si>
  <si>
    <t>0/03:34:17</t>
  </si>
  <si>
    <t>920A</t>
  </si>
  <si>
    <t>111N</t>
  </si>
  <si>
    <t>121R-GY1D201T-BAG-00-00-00</t>
  </si>
  <si>
    <t>GY1D201T</t>
  </si>
  <si>
    <t>123R-WH5C051X-BAG-00-00-00</t>
  </si>
  <si>
    <t>WH5C051X</t>
  </si>
  <si>
    <t>FXE121R-BK1A184T-BAG-00-00-00</t>
  </si>
  <si>
    <t>FXE121R</t>
  </si>
  <si>
    <t>BK1A184T</t>
  </si>
  <si>
    <t>LEXHC1T</t>
  </si>
  <si>
    <t>111FC</t>
  </si>
  <si>
    <t>LEX2DO</t>
  </si>
  <si>
    <t>LEXFGLO</t>
  </si>
  <si>
    <t>243R</t>
  </si>
  <si>
    <t>7T2D216</t>
  </si>
  <si>
    <t>EXL1434-WH9G202-BAG-00-00-00</t>
  </si>
  <si>
    <t>EXL1434</t>
  </si>
  <si>
    <t>WH9G202</t>
  </si>
  <si>
    <t>3414R-739-BAG-00-00-00</t>
  </si>
  <si>
    <t>3414R</t>
  </si>
  <si>
    <t>LEXX8O</t>
  </si>
  <si>
    <t>EXL1414</t>
  </si>
  <si>
    <t>BK1041</t>
  </si>
  <si>
    <t>C1200HF</t>
  </si>
  <si>
    <t>COYFRGLO</t>
  </si>
  <si>
    <t>8T9D148</t>
  </si>
  <si>
    <t>D2000-BK1A643-BAG-00-00-00</t>
  </si>
  <si>
    <t>PC7O</t>
  </si>
  <si>
    <t>D2000</t>
  </si>
  <si>
    <t>BK1A643</t>
  </si>
  <si>
    <t>945-7M1D115-BAG-00-00-00</t>
  </si>
  <si>
    <t>LEX7O</t>
  </si>
  <si>
    <t>7M1D115</t>
  </si>
  <si>
    <t>BK1005</t>
  </si>
  <si>
    <t>503R</t>
  </si>
  <si>
    <t>141R-BR4A174-BAG-00-00-00</t>
  </si>
  <si>
    <t>BR4A174</t>
  </si>
  <si>
    <t>LEX3DO</t>
  </si>
  <si>
    <t>COYFR2DO</t>
  </si>
  <si>
    <t>943-701-BAG-00-00-00</t>
  </si>
  <si>
    <t>D20001</t>
  </si>
  <si>
    <t>LEXX5LO</t>
  </si>
  <si>
    <t>C7230P</t>
  </si>
  <si>
    <t>BK1C340</t>
  </si>
  <si>
    <t>BFL4000U-WH3150-BAG-00-00-00</t>
  </si>
  <si>
    <t>BFL4000U</t>
  </si>
  <si>
    <t>WH3150</t>
  </si>
  <si>
    <t>C2950HF</t>
  </si>
  <si>
    <t>CM6240-701-BAG-00-00-00</t>
  </si>
  <si>
    <t>CM6240</t>
  </si>
  <si>
    <t>COYGDO</t>
  </si>
  <si>
    <t>940-701-BAG-00-00-00</t>
  </si>
  <si>
    <t>LEXFR8O</t>
  </si>
  <si>
    <t>GY6A427</t>
  </si>
  <si>
    <t>LEXFRGDO</t>
  </si>
  <si>
    <t>GY3395</t>
  </si>
  <si>
    <t>VALF7O</t>
  </si>
  <si>
    <t>3412ECR-739-BAG-00-00-00</t>
  </si>
  <si>
    <t>CX7240-7T1D193-BAG-00-00-00</t>
  </si>
  <si>
    <t>7T1D193</t>
  </si>
  <si>
    <t>C2800-7T1D203-BAG-00-00-00</t>
  </si>
  <si>
    <t>7T1D203</t>
  </si>
  <si>
    <t>7M1D051</t>
  </si>
  <si>
    <t>500R-739-BAG-00-00-00</t>
  </si>
  <si>
    <t>945-GY2E572-BAG-00-00-00</t>
  </si>
  <si>
    <t>GY2E572</t>
  </si>
  <si>
    <t>C6200-701-BAG-00-00-00</t>
  </si>
  <si>
    <t>945-701-BAG-00-00-00</t>
  </si>
  <si>
    <t>C6600-701-BAG-00-00-00</t>
  </si>
  <si>
    <t>144R-111FC-BAG-00-00-00</t>
  </si>
  <si>
    <t>144R</t>
  </si>
  <si>
    <t>HF1130-111-BAG-00-00-00</t>
  </si>
  <si>
    <t>BPL1000-BK1C294-BAG-00-00-00</t>
  </si>
  <si>
    <t>BPL1000</t>
  </si>
  <si>
    <t>BK1C294</t>
  </si>
  <si>
    <t>3412R-739-BAG-00-00-00</t>
  </si>
  <si>
    <t>LEXF6DO</t>
  </si>
  <si>
    <t>C1200HF-701-BAG-00-00-00</t>
  </si>
  <si>
    <t>COY7O</t>
  </si>
  <si>
    <t>141R-701-BAG-00-00-00</t>
  </si>
  <si>
    <t>VAL7O</t>
  </si>
  <si>
    <t>VALFGDO</t>
  </si>
  <si>
    <t>C6600E</t>
  </si>
  <si>
    <t>CX7240-8B6D009-BAG-00-00-00</t>
  </si>
  <si>
    <t>8B6D009</t>
  </si>
  <si>
    <t>EXL1414T-7A1D040-BAG-00-00-00</t>
  </si>
  <si>
    <t>LEXX7O</t>
  </si>
  <si>
    <t>7A1D040</t>
  </si>
  <si>
    <t>143R-701-BAG-00-00-00</t>
  </si>
  <si>
    <t>C2950HF-701-BAG-00-00-00</t>
  </si>
  <si>
    <t>Grade-Color</t>
  </si>
  <si>
    <t>PullScrew</t>
  </si>
  <si>
    <t>G-C-Remark</t>
  </si>
  <si>
    <t>G-Remark</t>
  </si>
  <si>
    <t>PO-Remark</t>
  </si>
  <si>
    <t>SumRemark</t>
  </si>
  <si>
    <t>000010</t>
  </si>
  <si>
    <t>False</t>
  </si>
  <si>
    <t/>
  </si>
  <si>
    <t>0000</t>
  </si>
  <si>
    <t>1</t>
  </si>
  <si>
    <t>701</t>
  </si>
  <si>
    <t>000020</t>
  </si>
  <si>
    <t>900001</t>
  </si>
  <si>
    <t>000030</t>
  </si>
  <si>
    <t>111</t>
  </si>
  <si>
    <t>131</t>
  </si>
  <si>
    <t>22021728</t>
  </si>
  <si>
    <t>116</t>
  </si>
  <si>
    <t>22022286</t>
  </si>
  <si>
    <t>22022271</t>
  </si>
  <si>
    <t>22038419</t>
  </si>
  <si>
    <t>945</t>
  </si>
  <si>
    <t>22018361</t>
  </si>
  <si>
    <t>943</t>
  </si>
  <si>
    <t>22022574</t>
  </si>
  <si>
    <t>22022070</t>
  </si>
  <si>
    <t>739</t>
  </si>
  <si>
    <t>22018730</t>
  </si>
  <si>
    <t>6162</t>
  </si>
  <si>
    <t>22037868</t>
  </si>
  <si>
    <t>22018199</t>
  </si>
  <si>
    <t>22037112</t>
  </si>
  <si>
    <t>925</t>
  </si>
  <si>
    <t>920</t>
  </si>
  <si>
    <t>940</t>
  </si>
  <si>
    <t>7001</t>
  </si>
  <si>
    <t>100</t>
  </si>
  <si>
    <t>22038408</t>
  </si>
  <si>
    <t>22030942</t>
  </si>
  <si>
    <t>22033283</t>
  </si>
  <si>
    <t>22033096</t>
  </si>
  <si>
    <t>22023219</t>
  </si>
  <si>
    <t>1001</t>
  </si>
  <si>
    <t>22029383</t>
  </si>
  <si>
    <t>22021743</t>
  </si>
  <si>
    <t>22027936</t>
  </si>
  <si>
    <t>22038377</t>
  </si>
  <si>
    <t>22029126</t>
  </si>
  <si>
    <t>22022046</t>
  </si>
  <si>
    <t>22017663</t>
  </si>
  <si>
    <t>22022433</t>
  </si>
  <si>
    <t>500</t>
  </si>
  <si>
    <t>22019549</t>
  </si>
  <si>
    <t>000050</t>
  </si>
  <si>
    <t>22017144</t>
  </si>
  <si>
    <t>22039232</t>
  </si>
  <si>
    <t>22034977</t>
  </si>
  <si>
    <t>22021700</t>
  </si>
  <si>
    <t>22034256</t>
  </si>
  <si>
    <t>22018354</t>
  </si>
  <si>
    <t>22019581</t>
  </si>
  <si>
    <t>22039680</t>
  </si>
  <si>
    <t>121</t>
  </si>
  <si>
    <t>22021418</t>
  </si>
  <si>
    <t>22023563</t>
  </si>
  <si>
    <t>22038527</t>
  </si>
  <si>
    <t>22021730</t>
  </si>
  <si>
    <t>22022222</t>
  </si>
  <si>
    <t>22021359</t>
  </si>
  <si>
    <t>8244</t>
  </si>
  <si>
    <t>22035230</t>
  </si>
  <si>
    <t>22039729</t>
  </si>
  <si>
    <t>22021393</t>
  </si>
  <si>
    <t>22018347</t>
  </si>
  <si>
    <t xml:space="preserve">0402  500R-131-BAG    10000KG   22018199    (96011956)     Br. 1  </t>
  </si>
  <si>
    <t xml:space="preserve">0402  3413R-GY1D257-BAG    5000KG   22033634    (200549038)     Br. 1  </t>
  </si>
  <si>
    <t xml:space="preserve">0402  940-GY6123-BAG    10000KG   22019556    (200559298)     Br. 1  </t>
  </si>
  <si>
    <t xml:space="preserve">0402  CX2244ME-8T8D280-BAG    4000KG   22088072    (96103090)     Br. 1  </t>
  </si>
  <si>
    <t xml:space="preserve">0402  GFN20F-7M1D101F-BAG    500KG   22096112    (200549224)     Br. 1  </t>
  </si>
  <si>
    <t xml:space="preserve">0402  FXG121R-BL4F027G-BAG    100KG   22036274    (200549047)     Br. 1  </t>
  </si>
  <si>
    <t xml:space="preserve">0402  143R-71257-BAG    2000KG   22037594    (200495918)     Br. 1  </t>
  </si>
  <si>
    <t xml:space="preserve">0402  364-1001-BAG    500KG   22038585    (200537651)     Br. 1  </t>
  </si>
  <si>
    <t xml:space="preserve">0402  357M-BK1066-BAG    500KG   22029685    (200547584)     Br. 1  </t>
  </si>
  <si>
    <t xml:space="preserve">0402  420-WH6E281-BAG    5000KG   22031065    (200496046)     Br. 1  </t>
  </si>
  <si>
    <t xml:space="preserve">0402  DR48-7001-BAG    1000KG   22027892    (200549070)     Br. 1  </t>
  </si>
  <si>
    <t xml:space="preserve">0402  553U-2R4A1010-BAG    225KG   299901392    (200533483)     Br. 1  </t>
  </si>
  <si>
    <t xml:space="preserve">0402  CR7500-BK1041-BAG    2000KG   22019769    (200508789)     Br. 1  </t>
  </si>
  <si>
    <t xml:space="preserve">0402  457-GN4072-BAG    1000KG   22031214    (200553584)     Br. 1  </t>
  </si>
  <si>
    <t xml:space="preserve">0402  X4820-YW3D010-BAG    2000KG   22025024    (200554558)     Br. 1  </t>
  </si>
  <si>
    <t xml:space="preserve">0402  457-GN4072-BAG    1000KG   22031214    (200561550)     Br. 1  </t>
  </si>
  <si>
    <t xml:space="preserve">0402  3414R-739-BAG    2000KG   22021743    (200558756)     Br. 1  </t>
  </si>
  <si>
    <t xml:space="preserve">0402  DF004-GY2D398-BAG    500KG   22031877    (200556958)     Br. 1  </t>
  </si>
  <si>
    <t xml:space="preserve">0402  500R-60355-BAG    300KG   22034089    (200560281)     Br. 1  </t>
  </si>
  <si>
    <t xml:space="preserve">0402  HRA170-GY6E500U-BAG    2000KG   22036440    (93270841)     Br. 1  </t>
  </si>
  <si>
    <t xml:space="preserve">0402  EXL1414-6G7A2328-BAG    300KG   299902738    (200551295)     Br. 1  </t>
  </si>
  <si>
    <t xml:space="preserve">0402  LS2-7056-BAG    2000KG   22041034    (200560551)     Br. 1  </t>
  </si>
  <si>
    <t xml:space="preserve">0402  505RU-WH9F090-BAG    2000KG   22033788    (200517901)     Br. 1  </t>
  </si>
  <si>
    <t xml:space="preserve">0402  500R-RD5D188-BAG    1000KG   22029841    (200561041)     Br. 1  </t>
  </si>
  <si>
    <t xml:space="preserve">0402  241S-WH9G203-BAG    20000KG   22031084    (200551388)     Br. 1  </t>
  </si>
  <si>
    <t xml:space="preserve">0402  HRA222F-BK2E067-BAG    5000KG   22036450    (200553483)     Br. 1  </t>
  </si>
  <si>
    <t xml:space="preserve">0402  905-BK1G030-BAG    10000KG   22029773    (200554909)     Br. 1  </t>
  </si>
  <si>
    <t xml:space="preserve">0402  121R-WH3A022X-BAG    10000KG   22021271    (200529033)     Br. 1  </t>
  </si>
  <si>
    <t xml:space="preserve">0402  500R-73234-BAG    10000KG   22038722    (200559562)     Br. 1  </t>
  </si>
  <si>
    <t xml:space="preserve">0402  500R-GY6E402-BAG    10000KG   22033751    (200554724)     Br. 1  </t>
  </si>
  <si>
    <t xml:space="preserve">0402  500R-73231-BAG    5000KG   22031231    (200553729)     Br. 1  </t>
  </si>
  <si>
    <t xml:space="preserve">0402  925-GY1G168-BAG    8100KG   22034407    (200528408)     Br. 1  </t>
  </si>
  <si>
    <t xml:space="preserve">0402  C1200HF-RD3G073-BAG    20000KG   22029056    (94716248)     Br. 1  </t>
  </si>
  <si>
    <t xml:space="preserve">0402  C1200HF-RD3G073-BAG    20000KG   22029056    (94716249)     Br. 1  </t>
  </si>
  <si>
    <t xml:space="preserve">0402  C1200HF-RD3G073-BAG    20000KG   22029056    (94716250)     Br. 1  </t>
  </si>
  <si>
    <t xml:space="preserve">0402  V3900WX-BK1066-BAG    10000KG   22024815    (95432258)     Br. 1  </t>
  </si>
  <si>
    <t xml:space="preserve">0402  V3900WX-BK1066-BAG    10000KG   22024815    (95997378)     Br. 1  </t>
  </si>
  <si>
    <t xml:space="preserve">0402  DR48-BK1066-BAG    20000KG   22017721    (87586011)     Br. 1  </t>
  </si>
  <si>
    <t xml:space="preserve">0402  V4860HR-BK1066-BAG    5000KG   22024826    (200558839)     Br. 1  </t>
  </si>
  <si>
    <t xml:space="preserve">0402  V3900WX-7M8D027-BAG    5000KG   22032797    (200547366)     Br. 1  </t>
  </si>
  <si>
    <t xml:space="preserve">0402  V3900WX-WH8E373-BAG    10000KG   22041108    (200542652)     Br. 1  </t>
  </si>
  <si>
    <t xml:space="preserve">0402  V3900WX-WH8E373-BAG    10000KG   22041108    (200556149)     Br. 1  </t>
  </si>
  <si>
    <t xml:space="preserve">0402  SE1GFN1-701-BAG    8619KG   22024908    (200431427)      </t>
    <phoneticPr fontId="4" type="noConversion"/>
  </si>
  <si>
    <t xml:space="preserve">0402  V0150B-701-BAG    20000KG   22017123    (85130081)      </t>
    <phoneticPr fontId="4" type="noConversion"/>
  </si>
  <si>
    <t xml:space="preserve">0402  PX1600X-701-BAG    20000KG   22017944    (86323985)      </t>
    <phoneticPr fontId="4" type="noConversion"/>
  </si>
  <si>
    <t xml:space="preserve">0402  PX1600X-701-BAG    20000KG   22017944    (86324098)      </t>
    <phoneticPr fontId="4" type="noConversion"/>
  </si>
  <si>
    <t xml:space="preserve">0402  PX1600X-701-BAG    20000KG   22017944    (87778113)      </t>
    <phoneticPr fontId="4" type="noConversion"/>
  </si>
  <si>
    <t xml:space="preserve">0402  HM4025H-75001-BAG    20000KG   22040915    (92335692)      </t>
    <phoneticPr fontId="4" type="noConversion"/>
  </si>
  <si>
    <t xml:space="preserve">0402  V0150B-701-BAG    20000KG   22017123    (81792811)      </t>
    <phoneticPr fontId="4" type="noConversion"/>
  </si>
  <si>
    <t xml:space="preserve">0402  V0150B-701-BAG    20000KG   22017123    (79141668)      </t>
    <phoneticPr fontId="4" type="noConversion"/>
  </si>
  <si>
    <t xml:space="preserve">0402  SE1GFN1-701-BAG    20000KG   22024908    (200431428)      </t>
    <phoneticPr fontId="4" type="noConversion"/>
  </si>
  <si>
    <t xml:space="preserve">0402  HM3020H-75001-BAG    15000KG   22036424    (200548439)      </t>
    <phoneticPr fontId="4" type="noConversion"/>
  </si>
  <si>
    <t xml:space="preserve">0402  HM4025H-75001-BAG    20000KG   22040915    (92323059)      </t>
    <phoneticPr fontId="4" type="noConversion"/>
  </si>
  <si>
    <t xml:space="preserve">0402  N1250-BK1066-BAG    5000KG   22040824    (200545494)      </t>
    <phoneticPr fontId="4" type="noConversion"/>
  </si>
  <si>
    <t xml:space="preserve">0402  GFN1F-701S-BAG    10000KG   22066660    (200513144)      </t>
    <phoneticPr fontId="4" type="noConversion"/>
  </si>
  <si>
    <t xml:space="preserve">0402  HS2000X-111-BAG    20000KG   22023605    (94771336)      </t>
    <phoneticPr fontId="4" type="noConversion"/>
  </si>
  <si>
    <t xml:space="preserve">0402  HS2000X-WH8C022-BAG    20000KG   22036470    (92864583)      </t>
    <phoneticPr fontId="4" type="noConversion"/>
  </si>
  <si>
    <t xml:space="preserve">0402  N1250-BK1066-BAG    5000KG   22040824    (200545495)      </t>
    <phoneticPr fontId="4" type="noConversion"/>
  </si>
  <si>
    <t xml:space="preserve">0402  HS2000X-701-BAG    10000KG   22023606    (89722964)      </t>
    <phoneticPr fontId="4" type="noConversion"/>
  </si>
  <si>
    <t xml:space="preserve">0402  HS2000X-701-BAG    10000KG   22023606    (90238106)      </t>
    <phoneticPr fontId="4" type="noConversion"/>
  </si>
  <si>
    <t xml:space="preserve">0402  N1250-BK1066-BAG    5000KG   22040824    (200545584)      </t>
    <phoneticPr fontId="4" type="noConversion"/>
  </si>
  <si>
    <t xml:space="preserve">0402  HS2000X-111-BAG    20000KG   22023605    (94771335)      </t>
    <phoneticPr fontId="4" type="noConversion"/>
  </si>
  <si>
    <t xml:space="preserve">0402  HS2000X-111-BAG    20000KG   22023605    (94769879)      </t>
    <phoneticPr fontId="4" type="noConversion"/>
  </si>
  <si>
    <t xml:space="preserve">0402  N300X-701-BAG    20000KG   22018853    (95448250)      </t>
    <phoneticPr fontId="4" type="noConversion"/>
  </si>
  <si>
    <t xml:space="preserve">0402  GFN1F-701S-BAG    10000KG   22066660    (200520284)      </t>
    <phoneticPr fontId="4" type="noConversion"/>
  </si>
  <si>
    <t xml:space="preserve">0402  N1250-BK1066-BAG    5000KG   22040824    (200545535)      </t>
    <phoneticPr fontId="4" type="noConversion"/>
  </si>
  <si>
    <t xml:space="preserve">0402  HS2000X-WH8C022-BAG    20000KG   22036470    (95999286)      </t>
    <phoneticPr fontId="4" type="noConversion"/>
  </si>
  <si>
    <t xml:space="preserve">0402  HS2000X-WH8C022-BAG    20000KG   22036470    (95999287)      </t>
    <phoneticPr fontId="4" type="noConversion"/>
  </si>
  <si>
    <t xml:space="preserve">0402  N1250-BK1066-BAG    5000KG   22040824    (200545305)      </t>
    <phoneticPr fontId="4" type="noConversion"/>
  </si>
  <si>
    <t xml:space="preserve">0402  HS2000X-701-BAG    10000KG   22023606    (95999288)      </t>
    <phoneticPr fontId="4" type="noConversion"/>
  </si>
  <si>
    <t xml:space="preserve">0402  HS2000X-701-BAG    10000KG   22023606    (92845169)      </t>
    <phoneticPr fontId="4" type="noConversion"/>
  </si>
  <si>
    <t xml:space="preserve">0402  GFN20-801-BAG    20000KG   22095158    (200552256)      </t>
    <phoneticPr fontId="4" type="noConversion"/>
  </si>
  <si>
    <t xml:space="preserve">0402  N1250-BK1066-BAG    5000KG   22040824    (200545603)      </t>
    <phoneticPr fontId="4" type="noConversion"/>
  </si>
  <si>
    <t xml:space="preserve">0402  N1250-BK1066-BAG    5000KG   22040824    (200545255)      </t>
    <phoneticPr fontId="4" type="noConversion"/>
  </si>
  <si>
    <t xml:space="preserve">0402  940A-116-BAG    20000KG   22022020    (96011837)     Br. 1  </t>
    <phoneticPr fontId="4" type="noConversion"/>
  </si>
  <si>
    <t xml:space="preserve">0402  CX2244ME-8T8D280-BAG    3000KG   22088072    (96103479)     Br. 1  </t>
    <phoneticPr fontId="4" type="noConversion"/>
  </si>
  <si>
    <t xml:space="preserve">0402  925-7T6D157-BAG    5000KG   22038257    (200558307)     Br. 1  </t>
    <phoneticPr fontId="4" type="noConversion"/>
  </si>
  <si>
    <t xml:space="preserve">0402  121R-GY8F074-SSS    10000KG   22105472    (200554972)      </t>
    <phoneticPr fontId="4" type="noConversion"/>
  </si>
  <si>
    <t xml:space="preserve">0402  945-NC-BAG    20000KG   22022070    (89022780)      </t>
    <phoneticPr fontId="4" type="noConversion"/>
  </si>
  <si>
    <t xml:space="preserve">0402  920-WH4C129-BAG    6000KG   22031379    (200554685)     Br. 1  </t>
    <phoneticPr fontId="4" type="noConversion"/>
  </si>
  <si>
    <t xml:space="preserve">0402  CX7240-8N9D079-BAG    20000KG   22031866    (200550085)      </t>
    <phoneticPr fontId="4" type="noConversion"/>
  </si>
  <si>
    <t xml:space="preserve">0402  C2800-111-BAG    10000KG   22022249    (200480046)      </t>
    <phoneticPr fontId="4" type="noConversion"/>
  </si>
  <si>
    <t xml:space="preserve">0402  500R-131-BAG    10000KG   22018199    (96011956)     Br. 1  </t>
    <phoneticPr fontId="4" type="noConversion"/>
  </si>
  <si>
    <t xml:space="preserve">0402  3413R-GY1D257-BAG    5000KG   22033634    (200549038)     Br. 1  </t>
    <phoneticPr fontId="4" type="noConversion"/>
  </si>
  <si>
    <t xml:space="preserve">0402  940-GY6123-BAG    10000KG   22019556    (200559298)     Br. 1  </t>
    <phoneticPr fontId="4" type="noConversion"/>
  </si>
  <si>
    <t xml:space="preserve">0402  CX2244ME-8T8D280-BAG    4000KG   22088072    (96103090)     Br. 1  </t>
    <phoneticPr fontId="4" type="noConversion"/>
  </si>
  <si>
    <t xml:space="preserve">0402  CX7240-8N9D079-BAG    20000KG   22031866    (200550086)      </t>
    <phoneticPr fontId="4" type="noConversion"/>
  </si>
  <si>
    <t xml:space="preserve">0402  SE1X-701-BAG    20000KG   22024919    (96149718)      </t>
    <phoneticPr fontId="4" type="noConversion"/>
  </si>
  <si>
    <t xml:space="preserve">0402  SE1X-701-BAG    20000KG   22024919    (96149717)      </t>
    <phoneticPr fontId="4" type="noConversion"/>
  </si>
  <si>
    <t xml:space="preserve">0402  SE100X-701-BAG    20000KG   22024902    (83537443)      </t>
    <phoneticPr fontId="4" type="noConversion"/>
  </si>
  <si>
    <t xml:space="preserve">0402  SE100X-701-BAG    20000KG   22024902    (85134293)      </t>
    <phoneticPr fontId="4" type="noConversion"/>
  </si>
  <si>
    <t xml:space="preserve">0402  SE100X-701-BAG    20000KG   22024902    (83537442)      </t>
    <phoneticPr fontId="4" type="noConversion"/>
  </si>
  <si>
    <t xml:space="preserve">0402  SE100X-701-BAG    20000KG   22024902    (83537444)      </t>
    <phoneticPr fontId="4" type="noConversion"/>
  </si>
  <si>
    <t xml:space="preserve">0402  SE1X-701-BAG    20000KG   22024919    (96149719)      </t>
    <phoneticPr fontId="4" type="noConversion"/>
  </si>
  <si>
    <t xml:space="preserve">0402  SE100X-701-BAG    20000KG   22024902    (70104680)      </t>
    <phoneticPr fontId="4" type="noConversion"/>
  </si>
  <si>
    <t xml:space="preserve">0402  SE100X-701-BAG    20000KG   22024902    (80050915)      </t>
    <phoneticPr fontId="4" type="noConversion"/>
  </si>
  <si>
    <t xml:space="preserve">0402  SE1X-701-BAG    20000KG   22024919    (96149720)      </t>
    <phoneticPr fontId="4" type="noConversion"/>
  </si>
  <si>
    <t xml:space="preserve">0402  PX9406P-7001-BAG    20000KG   22041318    (93212678)      </t>
    <phoneticPr fontId="4" type="noConversion"/>
  </si>
  <si>
    <t xml:space="preserve">0402  PX9406P-7001-BAG    20000KG   22041318    (93228788)      </t>
    <phoneticPr fontId="4" type="noConversion"/>
  </si>
  <si>
    <t xml:space="preserve">0402  PX9406P-7001-BAG    20000KG   22041318    (93230023)      </t>
    <phoneticPr fontId="4" type="noConversion"/>
  </si>
  <si>
    <t xml:space="preserve">0402  PX1600X-701-BAG    20000KG   22017944    (86299668)      </t>
    <phoneticPr fontId="4" type="noConversion"/>
  </si>
  <si>
    <t xml:space="preserve">0402  PX9406P-7001-BAG    20000KG   22041318    (93176770)      </t>
    <phoneticPr fontId="4" type="noConversion"/>
  </si>
  <si>
    <t xml:space="preserve">0402  PX9406P-7001-BAG    20000KG   22041318    (93176772)      </t>
    <phoneticPr fontId="4" type="noConversion"/>
  </si>
  <si>
    <t xml:space="preserve">0402  PX9406P-7001-BAG    20000KG   22041318    (93212592)      </t>
    <phoneticPr fontId="4" type="noConversion"/>
  </si>
  <si>
    <t xml:space="preserve">0402  SE1V-BK1066-BAG    1000KG   22037144    (200561393)      </t>
    <phoneticPr fontId="4" type="noConversion"/>
  </si>
  <si>
    <t xml:space="preserve">0402  FN215X-780-BAG    2000KG   22020062    (200551485)      </t>
    <phoneticPr fontId="4" type="noConversion"/>
  </si>
  <si>
    <t xml:space="preserve">0402  N300X-VT6E022-BAG    1000KG   22041244    (200562452)     Br. 1  </t>
    <phoneticPr fontId="4" type="noConversion"/>
  </si>
  <si>
    <t xml:space="preserve">0402  N300X-GN3E084-BAG    1000KG   22032647    (200561554)     Br. 1  </t>
    <phoneticPr fontId="4" type="noConversion"/>
  </si>
  <si>
    <t xml:space="preserve">0402  N300X-GY2E479-BAG    1000KG   22041242    (200561541)      </t>
    <phoneticPr fontId="4" type="noConversion"/>
  </si>
  <si>
    <t xml:space="preserve">0402  731S-701S-BAG    1000KG   22031186    (200549207)      </t>
    <phoneticPr fontId="4" type="noConversion"/>
  </si>
  <si>
    <t xml:space="preserve">0402  PX2801Z-BK1066-BAG    2000KG   22032844    (200545271)      </t>
    <phoneticPr fontId="4" type="noConversion"/>
  </si>
  <si>
    <t xml:space="preserve">0402  7310-701-BAG    2000KG   22095148    (200542757)      </t>
    <phoneticPr fontId="4" type="noConversion"/>
  </si>
  <si>
    <t xml:space="preserve">0402  WCD855-7A1D234-SBG    6000KG   22080588    (200554693)      </t>
    <phoneticPr fontId="4" type="noConversion"/>
  </si>
  <si>
    <t xml:space="preserve">0402  N1250-4N4D011-BAG    5000KG   22037195    (200554628)      </t>
    <phoneticPr fontId="4" type="noConversion"/>
  </si>
  <si>
    <t xml:space="preserve">0402  731S-701S-BAG    2000KG   22031186    (200521267)      </t>
    <phoneticPr fontId="4" type="noConversion"/>
  </si>
  <si>
    <t xml:space="preserve">0402  N1250-4N4D011-BAG    5000KG   22037195    (200554705)      </t>
    <phoneticPr fontId="4" type="noConversion"/>
  </si>
  <si>
    <t xml:space="preserve">0402  NH6020-100-BAG    20000KG   22060061    (200526498)      </t>
    <phoneticPr fontId="4" type="noConversion"/>
  </si>
  <si>
    <t xml:space="preserve">0402  N300-701-BAG    500KG   22041234    (200560140)      </t>
    <phoneticPr fontId="4" type="noConversion"/>
  </si>
  <si>
    <t xml:space="preserve">0402  N1050-BL2G084-BAG    5000KG   22040815    (93391781)      </t>
    <phoneticPr fontId="4" type="noConversion"/>
  </si>
  <si>
    <t xml:space="preserve">0402  NH6020-100-BAG    10000KG   22060061    (200526499)      </t>
    <phoneticPr fontId="4" type="noConversion"/>
  </si>
  <si>
    <t xml:space="preserve">0402  NH6020-100-BAG    20000KG   22060061    (200526497)      </t>
    <phoneticPr fontId="4" type="noConversion"/>
  </si>
  <si>
    <t xml:space="preserve">0402  FN215X-701-BAG    2000KG   22023022    (200556887)      </t>
    <phoneticPr fontId="4" type="noConversion"/>
  </si>
  <si>
    <t xml:space="preserve">0402  N300X-BR7E123-BAG    500KG   22036871    (200561480)      </t>
    <phoneticPr fontId="4" type="noConversion"/>
  </si>
  <si>
    <t xml:space="preserve">0402  GFN20-801-BAG    4000KG   22095158    (200552257)      </t>
    <phoneticPr fontId="4" type="noConversion"/>
  </si>
  <si>
    <t xml:space="preserve">0402  NH6020-100-BAG    20000KG   22060061    (200550112)      </t>
    <phoneticPr fontId="4" type="noConversion"/>
  </si>
  <si>
    <t xml:space="preserve">0402  NH6020-100-BAG    20000KG   22060061    (200550053)      </t>
    <phoneticPr fontId="4" type="noConversion"/>
  </si>
  <si>
    <t xml:space="preserve">0402  SE1GFN2-70699-BAG    500KG   22040973    (200560223)      </t>
    <phoneticPr fontId="4" type="noConversion"/>
  </si>
  <si>
    <t xml:space="preserve">0402  EX130-770-BAG    5000KG   22022815    (200497063)      </t>
    <phoneticPr fontId="4" type="noConversion"/>
  </si>
  <si>
    <t xml:space="preserve">0402  WCD933-5A2D002-SBG    4000KG   22079928    (200447176)      </t>
    <phoneticPr fontId="4" type="noConversion"/>
  </si>
  <si>
    <t xml:space="preserve">0402  WCA955-111-SBG    3000KG   22080186    (87853874)      </t>
    <phoneticPr fontId="4" type="noConversion"/>
  </si>
  <si>
    <t xml:space="preserve">0402  EX130-770-BAG    5000KG   22022815    (200497085)      </t>
    <phoneticPr fontId="4" type="noConversion"/>
  </si>
  <si>
    <t xml:space="preserve">0402  1000-GY2C261-BAG    1000KG   22019057    (200559078)      </t>
    <phoneticPr fontId="4" type="noConversion"/>
  </si>
  <si>
    <t xml:space="preserve">0402  EL003-NC-BAG    1000KG   22022978    (200558078)      </t>
    <phoneticPr fontId="4" type="noConversion"/>
  </si>
  <si>
    <t xml:space="preserve">0402  TPN9221-GY1493T-BAG    10000KG   22037568    (200532833)      </t>
    <phoneticPr fontId="4" type="noConversion"/>
  </si>
  <si>
    <t xml:space="preserve">0402  TPN9221-GY1493T-BAG    300KG   22037568    (200561543)      </t>
    <phoneticPr fontId="4" type="noConversion"/>
  </si>
  <si>
    <t xml:space="preserve">0402  GFN20F-7M1D101F-BAG    500KG   22096112    (200549224)     Br. 1  </t>
    <phoneticPr fontId="4" type="noConversion"/>
  </si>
  <si>
    <t xml:space="preserve">0402  1000R-7101-BAG    100KG   22021142    (200548568)      </t>
    <phoneticPr fontId="4" type="noConversion"/>
  </si>
  <si>
    <t xml:space="preserve">0402  1000-BL1B081T-BAG    500KG   22037954    (200549162)      </t>
    <phoneticPr fontId="4" type="noConversion"/>
  </si>
  <si>
    <t xml:space="preserve">0402  2310-7301-BAG    5000KG   22017567    (200485078)      </t>
    <phoneticPr fontId="4" type="noConversion"/>
  </si>
  <si>
    <t xml:space="preserve">0402  1000-BL3122-BAG    1000KG   22033123    (200533469)      </t>
    <phoneticPr fontId="4" type="noConversion"/>
  </si>
  <si>
    <t xml:space="preserve">0402  TPN9221-GY1493T-BAG    10000KG   22037568    (200552317)      </t>
    <phoneticPr fontId="4" type="noConversion"/>
  </si>
  <si>
    <t xml:space="preserve">0402  1000R-21019-BAG    500KG   22033151    (200551343)      </t>
    <phoneticPr fontId="4" type="noConversion"/>
  </si>
  <si>
    <t xml:space="preserve">0402  1000R-BR7156-BAG    300KG   22037978    (200551266)      </t>
    <phoneticPr fontId="4" type="noConversion"/>
  </si>
  <si>
    <t xml:space="preserve">0402  ENH2900-7A8D036-BAG    9000KG   22035576    (200560204)      </t>
    <phoneticPr fontId="4" type="noConversion"/>
  </si>
  <si>
    <t xml:space="preserve">0402  920A-GY2E081T-BAG    500KG   22039032    (200536266)     Br. 1  </t>
    <phoneticPr fontId="4" type="noConversion"/>
  </si>
  <si>
    <t xml:space="preserve">0402  144H-111FC-BAG    1000KG   22033341    (200559300)      </t>
    <phoneticPr fontId="4" type="noConversion"/>
  </si>
  <si>
    <t xml:space="preserve">0402  FXD121R-NA8G018X-BAG    3000KG   22044315    (200549470)      </t>
    <phoneticPr fontId="4" type="noConversion"/>
  </si>
  <si>
    <t xml:space="preserve">0402  241R-GY5D607T-BAG    2000KG   22028401    (200537924)     Br. 1  </t>
    <phoneticPr fontId="4" type="noConversion"/>
  </si>
  <si>
    <t xml:space="preserve">0402  945A-7T1D059T-BAG    5000KG   22034279    (200553681)      </t>
    <phoneticPr fontId="4" type="noConversion"/>
  </si>
  <si>
    <t xml:space="preserve">0402  FXG121R-BL4F027G-BAG    100KG   22036274    (200549047)     Br. 1  </t>
    <phoneticPr fontId="4" type="noConversion"/>
  </si>
  <si>
    <t xml:space="preserve">0402  243R-111-BAG    2000KG   22019283    (200513278)      </t>
    <phoneticPr fontId="4" type="noConversion"/>
  </si>
  <si>
    <t xml:space="preserve">0402  EXL9414T-NA8E034T-BAG    100KG   22039947    (200542010)      </t>
    <phoneticPr fontId="4" type="noConversion"/>
  </si>
  <si>
    <t xml:space="preserve">0402  101R-111-BAG    2000KG   22027971    (200521952)      </t>
    <phoneticPr fontId="4" type="noConversion"/>
  </si>
  <si>
    <t xml:space="preserve">0402  243R-111-BAG    2000KG   22019283    (200545577)      </t>
    <phoneticPr fontId="4" type="noConversion"/>
  </si>
  <si>
    <t xml:space="preserve">0402  143R-71257-BAG    2000KG   22037594    (200495918)     Br. 1  </t>
    <phoneticPr fontId="4" type="noConversion"/>
  </si>
  <si>
    <t xml:space="preserve">0402  DR48-8051-BAG    2000KG   22019885    (200537653)     Br. 1  </t>
    <phoneticPr fontId="4" type="noConversion"/>
  </si>
  <si>
    <t xml:space="preserve">0402  553-OR5G078-BAG    2000KG   22038042    (200554586)     Br. 1  </t>
    <phoneticPr fontId="4" type="noConversion"/>
  </si>
  <si>
    <t xml:space="preserve">0402  357-7M7D049-BAG    1000KG   22044074    (200539013)     Br. 1  </t>
    <phoneticPr fontId="4" type="noConversion"/>
  </si>
  <si>
    <t xml:space="preserve">0402  4521-BK1066-BAG    2000KG   22028836    (200545349)     Br. 1  </t>
    <phoneticPr fontId="4" type="noConversion"/>
  </si>
  <si>
    <t xml:space="preserve">0402  457-GN4072-BAG    1000KG   22031214    (200540765)     Br. 1  </t>
    <phoneticPr fontId="4" type="noConversion"/>
  </si>
  <si>
    <t xml:space="preserve">0402  364-1001-BAG    500KG   22038585    (200537651)     Br. 1  </t>
    <phoneticPr fontId="4" type="noConversion"/>
  </si>
  <si>
    <t xml:space="preserve">0402  357M-BK1066-BAG    500KG   22029685    (200547584)     Br. 1  </t>
    <phoneticPr fontId="4" type="noConversion"/>
  </si>
  <si>
    <t xml:space="preserve">0402  420-WH6E281-BAG    5000KG   22031065    (200496046)     Br. 1  </t>
    <phoneticPr fontId="4" type="noConversion"/>
  </si>
  <si>
    <t xml:space="preserve">0402  DR48-7001-BAG    1000KG   22027892    (200549070)     Br. 1  </t>
    <phoneticPr fontId="4" type="noConversion"/>
  </si>
  <si>
    <t xml:space="preserve">0402  553U-2R4A1010-BAG    225KG   299901392    (200533483)     Br. 1  </t>
    <phoneticPr fontId="4" type="noConversion"/>
  </si>
  <si>
    <t xml:space="preserve">0402  CR7500-BK1041-BAG    2000KG   22019769    (200508789)     Br. 1  </t>
    <phoneticPr fontId="4" type="noConversion"/>
  </si>
  <si>
    <t xml:space="preserve">0402  457-GN4072-BAG    1000KG   22031214    (200553584)     Br. 1  </t>
    <phoneticPr fontId="4" type="noConversion"/>
  </si>
  <si>
    <t xml:space="preserve">0402  X4820-YW3D010-BAG    2000KG   22025024    (200554558)     Br. 1  </t>
    <phoneticPr fontId="4" type="noConversion"/>
  </si>
  <si>
    <t xml:space="preserve">0402  420-1001-BAG    1000KG   22021631    (200547338)      </t>
    <phoneticPr fontId="4" type="noConversion"/>
  </si>
  <si>
    <t xml:space="preserve">0402  457-GN4072-BAG    1000KG   22031214    (200561550)     Br. 1  </t>
    <phoneticPr fontId="4" type="noConversion"/>
  </si>
  <si>
    <t xml:space="preserve">0402  3414R-739-BAG    2000KG   22021743    (200558756)     Br. 1  </t>
    <phoneticPr fontId="4" type="noConversion"/>
  </si>
  <si>
    <t xml:space="preserve">0402  505RU-WH8E372-BAG    1000KG   22029849    (200524286)      </t>
    <phoneticPr fontId="4" type="noConversion"/>
  </si>
  <si>
    <t xml:space="preserve">0402  505RU-WH9F090-BAG    500KG   22033788    (200558306)     Br. 1  </t>
    <phoneticPr fontId="4" type="noConversion"/>
  </si>
  <si>
    <t xml:space="preserve">0402  C2800-96214-BAG    1000KG   22034988    (200561702)      </t>
    <phoneticPr fontId="4" type="noConversion"/>
  </si>
  <si>
    <t xml:space="preserve">0402  EFL36-BK1A603-BAG    3000KG   22035948    (200556023)      </t>
    <phoneticPr fontId="4" type="noConversion"/>
  </si>
  <si>
    <t xml:space="preserve">0402  505RU-BL2A254-BAG    500KG   22037998    (200558305)      </t>
    <phoneticPr fontId="4" type="noConversion"/>
  </si>
  <si>
    <t xml:space="preserve">0402  C1200HF-BL1G087-BAG    1000KG   22034420    (200562336)      </t>
    <phoneticPr fontId="4" type="noConversion"/>
  </si>
  <si>
    <t xml:space="preserve">0402  DF004-GY2D398-BAG    500KG   22031877    (200556958)     Br. 1  </t>
    <phoneticPr fontId="4" type="noConversion"/>
  </si>
  <si>
    <t xml:space="preserve">0402  500R-60355-BAG    300KG   22034089    (200560281)     Br. 1  </t>
    <phoneticPr fontId="4" type="noConversion"/>
  </si>
  <si>
    <t xml:space="preserve">0402  HRA170-GY6E500U-BAG    2000KG   22036440    (93270841)     Br. 1  </t>
    <phoneticPr fontId="4" type="noConversion"/>
  </si>
  <si>
    <t xml:space="preserve">0402  CX7211-GY5D329-BAG    1000KG   22035198    (200559459)      </t>
    <phoneticPr fontId="4" type="noConversion"/>
  </si>
  <si>
    <t xml:space="preserve">0402  EXL1414-9G7A2995-BAG    100KG   299903374    (200551218)      </t>
    <phoneticPr fontId="4" type="noConversion"/>
  </si>
  <si>
    <t xml:space="preserve">0402  EXL1414-8G6A2496-BAG    350KG   299902816    (200550355)      </t>
    <phoneticPr fontId="4" type="noConversion"/>
  </si>
  <si>
    <t xml:space="preserve">0402  EXL1414-6G7A2328-BAG    300KG   299902738    (200551295)     Br. 1  </t>
    <phoneticPr fontId="4" type="noConversion"/>
  </si>
  <si>
    <t xml:space="preserve">0402  LS2-7056-BAG    2000KG   22041034    (200560551)     Br. 1  </t>
    <phoneticPr fontId="4" type="noConversion"/>
  </si>
  <si>
    <t xml:space="preserve">0402  123R-701-BAG    1994.814KG   22017535    (200554876)      </t>
    <phoneticPr fontId="4" type="noConversion"/>
  </si>
  <si>
    <t xml:space="preserve">0402  C2950-WH9D358-BAG    300KG   22034621    (200561531)      </t>
    <phoneticPr fontId="4" type="noConversion"/>
  </si>
  <si>
    <t xml:space="preserve">0402  505RU-WH8E372-BAG    1000KG   22029849    (200541914)      </t>
    <phoneticPr fontId="4" type="noConversion"/>
  </si>
  <si>
    <t xml:space="preserve">0402  505RU-WH9F090-BAG    2000KG   22033788    (200517901)     Br. 1  </t>
    <phoneticPr fontId="4" type="noConversion"/>
  </si>
  <si>
    <t xml:space="preserve">0402  505RU-7T8D558-BAG    100KG   22031252    (200537987)      </t>
    <phoneticPr fontId="4" type="noConversion"/>
  </si>
  <si>
    <t xml:space="preserve">0402  500R-RD5D188-BAG    1000KG   22029841    (200561041)     Br. 1  </t>
    <phoneticPr fontId="4" type="noConversion"/>
  </si>
  <si>
    <t xml:space="preserve">0402  505RU-7T8D558-BAG    1000KG   22031252    (200548614)      </t>
    <phoneticPr fontId="4" type="noConversion"/>
  </si>
  <si>
    <t xml:space="preserve">0402  141R-111-BAG    10000KG   22018087    (200428510)      </t>
    <phoneticPr fontId="4" type="noConversion"/>
  </si>
  <si>
    <t xml:space="preserve">0402  508-BK1066-BAG    20000KG   22021921    (200494185)      </t>
    <phoneticPr fontId="4" type="noConversion"/>
  </si>
  <si>
    <t xml:space="preserve">0402  141R-GY6A427-BAG    20000KG   22030748    (94717412)      </t>
    <phoneticPr fontId="4" type="noConversion"/>
  </si>
  <si>
    <t xml:space="preserve">0402  141R-GY6A427-BAG    20000KG   22030748    (94717411)      </t>
    <phoneticPr fontId="4" type="noConversion"/>
  </si>
  <si>
    <t xml:space="preserve">0402  DR51-1001-BAG    5000KG   22017180    (200537161)      </t>
    <phoneticPr fontId="4" type="noConversion"/>
  </si>
  <si>
    <t xml:space="preserve">0402  420-1001-BAG    3000KG   22021631    (200529133)      </t>
    <phoneticPr fontId="4" type="noConversion"/>
  </si>
  <si>
    <t xml:space="preserve">0402  5220U-1001-BAG    5000KG   22017603    (200559120)      </t>
    <phoneticPr fontId="4" type="noConversion"/>
  </si>
  <si>
    <t xml:space="preserve">0402  141R-GY6A427-BAG    20000KG   22030748    (94717413)      </t>
    <phoneticPr fontId="4" type="noConversion"/>
  </si>
  <si>
    <t xml:space="preserve">0402  243R-WH4B198-BAG    20000KG   22038486    (200534990)      </t>
    <phoneticPr fontId="4" type="noConversion"/>
  </si>
  <si>
    <t xml:space="preserve">0402  420-BK1066-BAG    10000KG   22021633    (200495978)      </t>
    <phoneticPr fontId="4" type="noConversion"/>
  </si>
  <si>
    <t xml:space="preserve">0402  CY8630-701-BAG    20000KG   22089617    (200553374)      </t>
    <phoneticPr fontId="4" type="noConversion"/>
  </si>
  <si>
    <t xml:space="preserve">0402  241S-WH9G203-BAG    20000KG   22031084    (200551388)     Br. 1  </t>
    <phoneticPr fontId="4" type="noConversion"/>
  </si>
  <si>
    <t xml:space="preserve">0402  HRA222F-BK2E067-BAG    5000KG   22036450    (200553483)     Br. 1  </t>
    <phoneticPr fontId="4" type="noConversion"/>
  </si>
  <si>
    <t xml:space="preserve">0402  420-1001-BAG    10000KG   22021631    (200495921)      </t>
    <phoneticPr fontId="4" type="noConversion"/>
  </si>
  <si>
    <t xml:space="preserve">0402  141R-GY5G126-BAG    10000KG   22028666    (200547777)      </t>
    <phoneticPr fontId="4" type="noConversion"/>
  </si>
  <si>
    <t xml:space="preserve">0402  1105-78211-BAG    10000KG   22030691    (200498223)      </t>
    <phoneticPr fontId="4" type="noConversion"/>
  </si>
  <si>
    <t xml:space="preserve">0402  420-BK1066-BAG    10000KG   22021633    (200496030)      </t>
    <phoneticPr fontId="4" type="noConversion"/>
  </si>
  <si>
    <t xml:space="preserve">0402  C1200HF-GY6G152-BAG    5000KG   22034465    (200549469)      </t>
    <phoneticPr fontId="4" type="noConversion"/>
  </si>
  <si>
    <t xml:space="preserve">0402  CY8630-701-BAG    20000KG   22089617    (200553321)      </t>
    <phoneticPr fontId="4" type="noConversion"/>
  </si>
  <si>
    <t xml:space="preserve">0402  243R-WH4B198-BAG    20000KG   22038486    (200534991)      </t>
    <phoneticPr fontId="4" type="noConversion"/>
  </si>
  <si>
    <t xml:space="preserve">0402  508-BK1066-BAG    20000KG   22021921    (200494168)      </t>
    <phoneticPr fontId="4" type="noConversion"/>
  </si>
  <si>
    <t xml:space="preserve">0402  420-1001-BAG    3000KG   22021631    (200542038)      </t>
    <phoneticPr fontId="4" type="noConversion"/>
  </si>
  <si>
    <t xml:space="preserve">0402  CY8630-701-BAG    20000KG   22089617    (200553402)      </t>
    <phoneticPr fontId="4" type="noConversion"/>
  </si>
  <si>
    <t xml:space="preserve">0402  420-BK1066-BAG    10000KG   22021633    (200496009)      </t>
    <phoneticPr fontId="4" type="noConversion"/>
  </si>
  <si>
    <t xml:space="preserve">0402  CY8630-701-BAG    20000KG   22089617    (200553403)      </t>
    <phoneticPr fontId="4" type="noConversion"/>
  </si>
  <si>
    <t xml:space="preserve">0402  420-1001-BAG    10000KG   22021631    (200496006)      </t>
    <phoneticPr fontId="4" type="noConversion"/>
  </si>
  <si>
    <t xml:space="preserve">0402  420-BK1066-BAG    10000KG   22021633    (200496045)      </t>
    <phoneticPr fontId="4" type="noConversion"/>
  </si>
  <si>
    <t xml:space="preserve">0402  508-BK1066-BAG    20000KG   22021921    (200544218)      </t>
    <phoneticPr fontId="4" type="noConversion"/>
  </si>
  <si>
    <t xml:space="preserve">0402  C1200HF-GY1D457U-BAG    10000KG   22029050    (200496028)      </t>
    <phoneticPr fontId="4" type="noConversion"/>
  </si>
  <si>
    <t xml:space="preserve">0402  CX2244ME-7T5D428-BAG    4000KG   22088391    (96098125)      </t>
    <phoneticPr fontId="4" type="noConversion"/>
  </si>
  <si>
    <t xml:space="preserve">0402  925-7T2D216-BAG    5000KG   22031289    (200558238)     Br. 1  </t>
    <phoneticPr fontId="4" type="noConversion"/>
  </si>
  <si>
    <t xml:space="preserve">0402  CX7240-BK1D797-BAG    10000KG   22032078    (200495218)      </t>
    <phoneticPr fontId="4" type="noConversion"/>
  </si>
  <si>
    <t xml:space="preserve">0402  CY8630-701-BAG    5000KG   22089617    (200498204)      </t>
    <phoneticPr fontId="4" type="noConversion"/>
  </si>
  <si>
    <t xml:space="preserve">0402  945-GY2E572-BAG    5000KG   22034256    (200551527)      </t>
    <phoneticPr fontId="4" type="noConversion"/>
  </si>
  <si>
    <t xml:space="preserve">0402  C6200-701-BAG    20000KG   22018354    (88470614)      </t>
    <phoneticPr fontId="4" type="noConversion"/>
  </si>
  <si>
    <t xml:space="preserve">0402  CX2244ME-7T5D428-BAG    3000KG   22088391    (96103083)      </t>
    <phoneticPr fontId="4" type="noConversion"/>
  </si>
  <si>
    <t xml:space="preserve">0402  905-BK1G030-BAG    10000KG   22029773    (200554909)     Br. 1  </t>
    <phoneticPr fontId="4" type="noConversion"/>
  </si>
  <si>
    <t xml:space="preserve">0402  945-GY2E572-BAG    5000KG   22034256    (200551452)      </t>
    <phoneticPr fontId="4" type="noConversion"/>
  </si>
  <si>
    <t xml:space="preserve">0402  945-701-BAG    10000KG   22019581    (94510312)      </t>
    <phoneticPr fontId="4" type="noConversion"/>
  </si>
  <si>
    <t xml:space="preserve">0402  CX7211-BK1005-BAG    20000KG   22022719    (200561039)      </t>
    <phoneticPr fontId="4" type="noConversion"/>
  </si>
  <si>
    <t xml:space="preserve">0402  241S-WH9G203-BAG    20000KG   22031084    (200551387)     Br. 1  </t>
    <phoneticPr fontId="4" type="noConversion"/>
  </si>
  <si>
    <t xml:space="preserve">0402  141R-111-BAG    10000KG   22018087    (200494074)      </t>
    <phoneticPr fontId="4" type="noConversion"/>
  </si>
  <si>
    <t xml:space="preserve">0402  LS2-6162-BAG    9300.002KG   22018730    (200560458)     Br. 1  </t>
    <phoneticPr fontId="4" type="noConversion"/>
  </si>
  <si>
    <t xml:space="preserve">0402  HF1130-111-BAG    20000KG   22023563    (200499057)      </t>
    <phoneticPr fontId="4" type="noConversion"/>
  </si>
  <si>
    <t xml:space="preserve">0402  HF1130-111-BAG    20000KG   22023563    (200559316)      </t>
    <phoneticPr fontId="4" type="noConversion"/>
  </si>
  <si>
    <t xml:space="preserve">0402  121R-WH3A022X-BAG    10000KG   22021271    (200529033)     Br. 1  </t>
    <phoneticPr fontId="4" type="noConversion"/>
  </si>
  <si>
    <t xml:space="preserve">0402  LS2-RD4B057T-BAG    20000KG   22036922    (200498097)      </t>
    <phoneticPr fontId="4" type="noConversion"/>
  </si>
  <si>
    <t xml:space="preserve">0402  144R-111FC-BAG    10000KG   22021418    (200494107)      </t>
    <phoneticPr fontId="4" type="noConversion"/>
  </si>
  <si>
    <t xml:space="preserve">0402  121R-111-BAG    10000KG   22019125    (200494073)      </t>
    <phoneticPr fontId="4" type="noConversion"/>
  </si>
  <si>
    <t xml:space="preserve">0402  143R-111-BAG    10000KG   22021389    (200494125)      </t>
    <phoneticPr fontId="4" type="noConversion"/>
  </si>
  <si>
    <t xml:space="preserve">0402  143R-WH8G674-BAG    20000KG   22088923    (200531850)      </t>
    <phoneticPr fontId="4" type="noConversion"/>
  </si>
  <si>
    <t xml:space="preserve">0402  143R-111-BAG    5000KG   22021389    (200560212)      </t>
    <phoneticPr fontId="4" type="noConversion"/>
  </si>
  <si>
    <t xml:space="preserve">0402  121R-111-BAG    15000KG   22019125    (200560234)      </t>
    <phoneticPr fontId="4" type="noConversion"/>
  </si>
  <si>
    <t xml:space="preserve">0402  141R-111-BAG    10000KG   22018087    (200494075)      </t>
    <phoneticPr fontId="4" type="noConversion"/>
  </si>
  <si>
    <t xml:space="preserve">0402  LS2-4158-BAG    5000KG   22020459    (200498073)      </t>
    <phoneticPr fontId="4" type="noConversion"/>
  </si>
  <si>
    <t xml:space="preserve">0402  LS2-RD4B057T-BAG    20000KG   22036922    (200498098)      </t>
    <phoneticPr fontId="4" type="noConversion"/>
  </si>
  <si>
    <t xml:space="preserve">0402  141R-111-BAG    10000KG   22018087    (200494021)      </t>
    <phoneticPr fontId="4" type="noConversion"/>
  </si>
  <si>
    <t xml:space="preserve">0402  121R-111-BAG    10000KG   22019125    (200497082)      </t>
    <phoneticPr fontId="4" type="noConversion"/>
  </si>
  <si>
    <t xml:space="preserve">0402  121R-111-BAG    10000KG   22019125    (200507105)      </t>
    <phoneticPr fontId="4" type="noConversion"/>
  </si>
  <si>
    <t xml:space="preserve">0402  241R-111-BAG    10000KG   22019277    (200506650)      </t>
    <phoneticPr fontId="4" type="noConversion"/>
  </si>
  <si>
    <t xml:space="preserve">0402  C2950-701-BAG    20000KG   22022271    (95996169)      </t>
    <phoneticPr fontId="4" type="noConversion"/>
  </si>
  <si>
    <t xml:space="preserve">0402  505RU-GY2E539-BAG    5000KG   22031253    (200558308)      </t>
    <phoneticPr fontId="4" type="noConversion"/>
  </si>
  <si>
    <t xml:space="preserve">0402  500R-RD4A056-BAG    5000KG   22038741    (200535104)     Br. 1  </t>
    <phoneticPr fontId="4" type="noConversion"/>
  </si>
  <si>
    <t xml:space="preserve">0402  C6200-701-BAG    20000KG   22018354    (95454669)      </t>
    <phoneticPr fontId="4" type="noConversion"/>
  </si>
  <si>
    <t xml:space="preserve">0402  945-GY2E572-BAG    8000KG   22034256    (200537119)      </t>
    <phoneticPr fontId="4" type="noConversion"/>
  </si>
  <si>
    <t xml:space="preserve">0402  3412ECR-739-BAG    20000KG   22017144    (95454756)      </t>
    <phoneticPr fontId="4" type="noConversion"/>
  </si>
  <si>
    <t xml:space="preserve">0402  C6200-701-BAG    20000KG   22018354    (95454671)      </t>
    <phoneticPr fontId="4" type="noConversion"/>
  </si>
  <si>
    <t xml:space="preserve">0402  C2950-701-BAG    20000KG   22022271    (95996170)      </t>
    <phoneticPr fontId="4" type="noConversion"/>
  </si>
  <si>
    <t xml:space="preserve">0402  505RU-GY2E539-BAG    5000KG   22031253    (200558309)      </t>
    <phoneticPr fontId="4" type="noConversion"/>
  </si>
  <si>
    <t xml:space="preserve">0402  505RU-GY2E539-BAG    10000KG   22031253    (200562457)      </t>
    <phoneticPr fontId="4" type="noConversion"/>
  </si>
  <si>
    <t xml:space="preserve">0402  C6200-701-BAG    20000KG   22018354    (200550121)      </t>
    <phoneticPr fontId="4" type="noConversion"/>
  </si>
  <si>
    <t xml:space="preserve">0402  500R-73234-BAG    10000KG   22038722    (200559562)     Br. 1  </t>
    <phoneticPr fontId="4" type="noConversion"/>
  </si>
  <si>
    <t xml:space="preserve">0402  500R-GY6E402-BAG    10000KG   22033751    (200554724)     Br. 1  </t>
    <phoneticPr fontId="4" type="noConversion"/>
  </si>
  <si>
    <t xml:space="preserve">0402  3412ECR-739-BAG    20000KG   22017144    (95454757)      </t>
    <phoneticPr fontId="4" type="noConversion"/>
  </si>
  <si>
    <t xml:space="preserve">0402  500R-73231-BAG    5000KG   22031231    (200553729)     Br. 1  </t>
    <phoneticPr fontId="4" type="noConversion"/>
  </si>
  <si>
    <t xml:space="preserve">0402  505RU-7T1D073-BAG    5000KG   22031251    (200562479)      </t>
    <phoneticPr fontId="4" type="noConversion"/>
  </si>
  <si>
    <t xml:space="preserve">0402  C6600-7B1D005-BAG    5000KG   22039683    (200550555)      </t>
    <phoneticPr fontId="4" type="noConversion"/>
  </si>
  <si>
    <t xml:space="preserve">0402  925-GY1G168-BAG    8100KG   22034407    (200528408)     Br. 1  </t>
    <phoneticPr fontId="4" type="noConversion"/>
  </si>
  <si>
    <t xml:space="preserve">0402  141R-701-BAG    20000KG   22021359    (83586924)      </t>
    <phoneticPr fontId="4" type="noConversion"/>
  </si>
  <si>
    <t xml:space="preserve">0402  141R-701-BAG    20000KG   22021359    (80845712)      </t>
    <phoneticPr fontId="4" type="noConversion"/>
  </si>
  <si>
    <t xml:space="preserve">0402  141R-701-BAG    20000KG   22021359    (80845714)      </t>
    <phoneticPr fontId="4" type="noConversion"/>
  </si>
  <si>
    <t xml:space="preserve">0402  141R-701-BAG    20000KG   22021359    (80845715)      </t>
    <phoneticPr fontId="4" type="noConversion"/>
  </si>
  <si>
    <t xml:space="preserve">0402  HRA170-BK2G008-BAG    5000KG   22036438    (200558271)     Br. 1  </t>
    <phoneticPr fontId="4" type="noConversion"/>
  </si>
  <si>
    <t xml:space="preserve">0402  C1200HF-GY4H029-BAG    5000KG   299900552    (200500367)      </t>
    <phoneticPr fontId="4" type="noConversion"/>
  </si>
  <si>
    <t xml:space="preserve">0402  141R-701-BAG    20000KG   22021359    (75337388)      </t>
    <phoneticPr fontId="4" type="noConversion"/>
  </si>
  <si>
    <t xml:space="preserve">0402  C1200HF-RD3G073-BAG    20000KG   22029056    (94716248)     Br. 1  </t>
    <phoneticPr fontId="4" type="noConversion"/>
  </si>
  <si>
    <t xml:space="preserve">0402  C1200HF-GY6G152-BAG    5000KG   22034465    (200549468)      </t>
    <phoneticPr fontId="4" type="noConversion"/>
  </si>
  <si>
    <t xml:space="preserve">0402  C1200HF-RD3G073-BAG    20000KG   22029056    (94716249)     Br. 1  </t>
    <phoneticPr fontId="4" type="noConversion"/>
  </si>
  <si>
    <t xml:space="preserve">0402  C1200HF-RD3G073-BAG    20000KG   22029056    (94716250)     Br. 1  </t>
    <phoneticPr fontId="4" type="noConversion"/>
  </si>
  <si>
    <t xml:space="preserve">0402  MC8002-701-BAG    15000KG   22023863    (200462904)      </t>
    <phoneticPr fontId="4" type="noConversion"/>
  </si>
  <si>
    <t xml:space="preserve">0402  MC8002-701-BAG    5000KG   22023863    (200526550)      </t>
    <phoneticPr fontId="4" type="noConversion"/>
  </si>
  <si>
    <t xml:space="preserve">0402  C6200-701-BAG    20000KG   22018354    (200550262)      </t>
    <phoneticPr fontId="4" type="noConversion"/>
  </si>
  <si>
    <t xml:space="preserve">0402  141R-701-BAG    20000KG   22021359    (70066339)      </t>
    <phoneticPr fontId="4" type="noConversion"/>
  </si>
  <si>
    <t xml:space="preserve">0402  141R-701-BAG    20000KG   22021359    (77255852)      </t>
    <phoneticPr fontId="4" type="noConversion"/>
  </si>
  <si>
    <t xml:space="preserve">0402  C6200-701-BAG    20000KG   22018354    (200550263)      </t>
    <phoneticPr fontId="4" type="noConversion"/>
  </si>
  <si>
    <t xml:space="preserve">0402  C6200-701-BAG    20364KG   22018354    (200548433)      </t>
    <phoneticPr fontId="4" type="noConversion"/>
  </si>
  <si>
    <t xml:space="preserve">0402  141R-701-BAG    20000KG   22021359    (77255854)      </t>
    <phoneticPr fontId="4" type="noConversion"/>
  </si>
  <si>
    <t xml:space="preserve">0402  141R-701-BAG    20000KG   22021359    (77255853)      </t>
    <phoneticPr fontId="4" type="noConversion"/>
  </si>
  <si>
    <t xml:space="preserve">0402  141R-701-BAG    20000KG   22021359    (94716241)      </t>
    <phoneticPr fontId="4" type="noConversion"/>
  </si>
  <si>
    <t xml:space="preserve">0402  141R-701-BAG    20000KG   22021359    (94716242)      </t>
    <phoneticPr fontId="4" type="noConversion"/>
  </si>
  <si>
    <t xml:space="preserve">0402  141R-701-BAG    20000KG   22021359    (94716243)      </t>
    <phoneticPr fontId="4" type="noConversion"/>
  </si>
  <si>
    <t xml:space="preserve">0402  141R-701-BAG    20000KG   22021359    (94716244)      </t>
    <phoneticPr fontId="4" type="noConversion"/>
  </si>
  <si>
    <t xml:space="preserve">0402  141R-701-BAG    20000KG   22021359    (94715499)      </t>
    <phoneticPr fontId="4" type="noConversion"/>
  </si>
  <si>
    <t xml:space="preserve">0402  123R-GY2G415-BAG    10000KG   22043778    (200493234)      </t>
    <phoneticPr fontId="4" type="noConversion"/>
  </si>
  <si>
    <t xml:space="preserve">0402  141R-701-BAG    20000KG   22021359    (94715498)      </t>
    <phoneticPr fontId="4" type="noConversion"/>
  </si>
  <si>
    <t xml:space="preserve">0402  141R-701-BAG    20000KG   22021359    (83539338)      </t>
    <phoneticPr fontId="4" type="noConversion"/>
  </si>
  <si>
    <t xml:space="preserve">0402  141R-701-BAG    20000KG   22021359    (75336080)      </t>
    <phoneticPr fontId="4" type="noConversion"/>
  </si>
  <si>
    <t xml:space="preserve">0402  141R-701-BAG    20000KG   22021359    (94715500)      </t>
    <phoneticPr fontId="4" type="noConversion"/>
  </si>
  <si>
    <t xml:space="preserve">0402  141R-701-BAG    20000KG   22021359    (94715501)      </t>
    <phoneticPr fontId="4" type="noConversion"/>
  </si>
  <si>
    <t xml:space="preserve">0402  C1200HF-GY4H029-BAG    5000KG   299900552    (200500423)      </t>
    <phoneticPr fontId="4" type="noConversion"/>
  </si>
  <si>
    <t xml:space="preserve">0402  141R-701-BAG    20000KG   22021359    (94700215)      </t>
    <phoneticPr fontId="4" type="noConversion"/>
  </si>
  <si>
    <t xml:space="preserve">0402  141R-701-BAG    20000KG   22021359    (94700214)      </t>
    <phoneticPr fontId="4" type="noConversion"/>
  </si>
  <si>
    <t xml:space="preserve">0402  141R-701-BAG    20000KG   22021359    (94700216)      </t>
    <phoneticPr fontId="4" type="noConversion"/>
  </si>
  <si>
    <t xml:space="preserve">0402  141R-701-BAG    20000KG   22021359    (94700217)      </t>
    <phoneticPr fontId="4" type="noConversion"/>
  </si>
  <si>
    <t xml:space="preserve">0402  141R-701-BAG    20000KG   22021359    (94700218)      </t>
    <phoneticPr fontId="4" type="noConversion"/>
  </si>
  <si>
    <t xml:space="preserve">0402  141R-701-BAG    20000KG   22021359    (94700219)      </t>
    <phoneticPr fontId="4" type="noConversion"/>
  </si>
  <si>
    <t xml:space="preserve">0402  141R-701-BAG    20000KG   22021359    (94700223)      </t>
    <phoneticPr fontId="4" type="noConversion"/>
  </si>
  <si>
    <t xml:space="preserve">0402  141R-701-BAG    20000KG   22021359    (94700222)      </t>
    <phoneticPr fontId="4" type="noConversion"/>
  </si>
  <si>
    <t xml:space="preserve">0402  141R-701-BAG    20000KG   22021359    (94700220)      </t>
    <phoneticPr fontId="4" type="noConversion"/>
  </si>
  <si>
    <t xml:space="preserve">0402  141R-701-BAG    20000KG   22021359    (94700221)      </t>
    <phoneticPr fontId="4" type="noConversion"/>
  </si>
  <si>
    <t xml:space="preserve">0402  553-7001-BAG    10000KG   22034189    (200549389)     Br. 1  </t>
    <phoneticPr fontId="4" type="noConversion"/>
  </si>
  <si>
    <t xml:space="preserve">0402  364-WH7D376-BAG    5000KG   22038589    (200561605)     Br. 1  </t>
    <phoneticPr fontId="4" type="noConversion"/>
  </si>
  <si>
    <t xml:space="preserve">0402  121R-GY8F074-SSS    10000KG   22105472    (92430289)      </t>
    <phoneticPr fontId="4" type="noConversion"/>
  </si>
  <si>
    <t xml:space="preserve">0402  325FC-1001-BAG    20000KG   22037852    (200542607)      </t>
    <phoneticPr fontId="4" type="noConversion"/>
  </si>
  <si>
    <t xml:space="preserve">0402  V3900WX-BK1066-BAG    10000KG   22024815    (95432258)     Br. 1  </t>
    <phoneticPr fontId="4" type="noConversion"/>
  </si>
  <si>
    <t xml:space="preserve">0402  V3900WX-BK1066-BAG    10000KG   22024815    (95997378)     Br. 1  </t>
    <phoneticPr fontId="4" type="noConversion"/>
  </si>
  <si>
    <t xml:space="preserve">0402  4521-8244-BAG    6000KG   22018193    (200553544)     Br. 1  </t>
    <phoneticPr fontId="4" type="noConversion"/>
  </si>
  <si>
    <t xml:space="preserve">0402  V4860HR-1001-BAG    5000KG   22037263    (200558840)     Br. 1  </t>
    <phoneticPr fontId="4" type="noConversion"/>
  </si>
  <si>
    <t xml:space="preserve">0402  855-1001-BAG    3000KG   22019477    (200550428)     Br. 1  </t>
    <phoneticPr fontId="4" type="noConversion"/>
  </si>
  <si>
    <t xml:space="preserve">0402  DR48-BK1066-BAG    20000KG   22017721    (87586011)     Br. 1  </t>
    <phoneticPr fontId="4" type="noConversion"/>
  </si>
  <si>
    <t xml:space="preserve">0402  V4860HR-BK1066-BAG    5000KG   22024826    (200558839)     Br. 1  </t>
    <phoneticPr fontId="4" type="noConversion"/>
  </si>
  <si>
    <t xml:space="preserve">0402  121R-GY8F074-SSS    10000KG   22105472    (92430290)      </t>
    <phoneticPr fontId="4" type="noConversion"/>
  </si>
  <si>
    <t xml:space="preserve">0402  357-BK1066-BAG    20376KG   22017581    (200468016)     Br. 1  </t>
    <phoneticPr fontId="4" type="noConversion"/>
  </si>
  <si>
    <t xml:space="preserve">0402  CL100-7001-BAG    10000KG   22039079    (200560326)      </t>
    <phoneticPr fontId="4" type="noConversion"/>
  </si>
  <si>
    <t xml:space="preserve">0402  121R-GY8F074-SSS    10000KG   22105472    (92463393)      </t>
    <phoneticPr fontId="4" type="noConversion"/>
  </si>
  <si>
    <t xml:space="preserve">0402  121R-GY8F074-SSS    10000KG   22105472    (92463394)      </t>
    <phoneticPr fontId="4" type="noConversion"/>
  </si>
  <si>
    <t xml:space="preserve">0402  V3900WX-7M8D027-BAG    5000KG   22032797    (200547366)     Br. 1  </t>
    <phoneticPr fontId="4" type="noConversion"/>
  </si>
  <si>
    <t xml:space="preserve">0402  V3900WX-WH8E373-BAG    10000KG   22041108    (200542652)     Br. 1  </t>
    <phoneticPr fontId="4" type="noConversion"/>
  </si>
  <si>
    <t xml:space="preserve">0402  V3900WX-WH8E373-BAG    10000KG   22041108    (200556149)     Br. 1  </t>
    <phoneticPr fontId="4" type="noConversion"/>
  </si>
  <si>
    <t xml:space="preserve">0402  141R-WH8G792-BAG    5000KG   22033228    (200495972)      </t>
    <phoneticPr fontId="4" type="noConversion"/>
  </si>
  <si>
    <t xml:space="preserve">0402  ENH2900-8A9D020-BAG    1000KG   22022996    (200557945)      </t>
    <phoneticPr fontId="4" type="noConversion"/>
  </si>
  <si>
    <t xml:space="preserve">0402  C6600-WH9A311-BAG    2000KG   22018379    (200543516)      </t>
    <phoneticPr fontId="4" type="noConversion"/>
  </si>
  <si>
    <t xml:space="preserve">0402  141R-WH8G792-BAG    5000KG   22033228    (200495961)      </t>
    <phoneticPr fontId="4" type="noConversion"/>
  </si>
  <si>
    <t xml:space="preserve">0402  143R-WH9G485-    5000KG   22044333    (200496025)      </t>
    <phoneticPr fontId="4" type="noConversion"/>
  </si>
  <si>
    <t xml:space="preserve">0402  C6600-WH9A311-BAG    2000KG   22018379    (200557304)      </t>
    <phoneticPr fontId="4" type="noConversion"/>
  </si>
  <si>
    <t xml:space="preserve">0402  CX7211-7T1D166-BAG    5000KG   22035192    (200515849)      </t>
    <phoneticPr fontId="4" type="noConversion"/>
  </si>
  <si>
    <t xml:space="preserve">0402  EXL1414-WH9G658-BAG    2000KG   22040495    (200560285)      </t>
    <phoneticPr fontId="4" type="noConversion"/>
  </si>
  <si>
    <t xml:space="preserve">0402  141R-BL3A238-BAG    1000KG   22030739    (200561405)      </t>
    <phoneticPr fontId="4" type="noConversion"/>
  </si>
  <si>
    <t xml:space="preserve">0402  CL100-78211-BAG    2000KG   22028144    (200561866)      </t>
    <phoneticPr fontId="4" type="noConversion"/>
  </si>
  <si>
    <t xml:space="preserve">0402  C6600-7T6D253-BAG    1000KG   22084473    (200534819)      </t>
    <phoneticPr fontId="4" type="noConversion"/>
  </si>
  <si>
    <t xml:space="preserve">0402  5220U-BL1A569-BAG    1000KG   22019416    (200559101)      </t>
    <phoneticPr fontId="4" type="noConversion"/>
  </si>
  <si>
    <t xml:space="preserve">0402  CL100-7001-BAG    5000KG   22039079    (200499146)      </t>
    <phoneticPr fontId="4" type="noConversion"/>
  </si>
  <si>
    <t xml:space="preserve">0402  DR51-7001-BAG    2000KG   22028156    (200535980)      </t>
    <phoneticPr fontId="4" type="noConversion"/>
  </si>
  <si>
    <t>CDPS_REPT rprt Location</t>
  </si>
  <si>
    <t>CDPS_REPT</t>
  </si>
  <si>
    <t>CDPS_REPT rprt</t>
  </si>
  <si>
    <t>COOISPI rprt Location</t>
  </si>
  <si>
    <t>COOISPI</t>
  </si>
  <si>
    <t>COOISPI rprt</t>
  </si>
  <si>
    <t>WNANEX001_PC52_008</t>
  </si>
  <si>
    <t>0/16:09:25</t>
  </si>
  <si>
    <t>11204</t>
  </si>
  <si>
    <t>22022017</t>
  </si>
  <si>
    <t>940-NC-BAG-00-00-00</t>
  </si>
  <si>
    <t>22018293</t>
  </si>
  <si>
    <t>945AU-116-BAG-00-00-00</t>
  </si>
  <si>
    <t>945AU</t>
  </si>
  <si>
    <t>22040307</t>
  </si>
  <si>
    <t>HFD1731-NA9E109T-BAG-00-00-00</t>
  </si>
  <si>
    <t>0002425521</t>
  </si>
  <si>
    <t>HFD1731</t>
  </si>
  <si>
    <t>NA9E109T</t>
  </si>
  <si>
    <t>22020237</t>
  </si>
  <si>
    <t>HF1140-111FC-BAG-00-00-00</t>
  </si>
  <si>
    <t>0/07:15:01</t>
  </si>
  <si>
    <t>HF1140</t>
  </si>
  <si>
    <t>22088203</t>
  </si>
  <si>
    <t>144-111N-BBG-00-00-00</t>
  </si>
  <si>
    <t>0/13:44:00</t>
  </si>
  <si>
    <t>2</t>
  </si>
  <si>
    <t>144</t>
  </si>
  <si>
    <t>BBG</t>
  </si>
  <si>
    <t>22028402</t>
  </si>
  <si>
    <t>244RF-111FC-BAG-00-00-00</t>
  </si>
  <si>
    <t>0002375883</t>
  </si>
  <si>
    <t>244RF</t>
  </si>
  <si>
    <t>0/08:04:42</t>
  </si>
  <si>
    <t>0/12:07:04</t>
  </si>
  <si>
    <t>22017278</t>
  </si>
  <si>
    <t>201R-111-BAG-00-00-00</t>
  </si>
  <si>
    <t>0002375867</t>
  </si>
  <si>
    <t>201R</t>
  </si>
  <si>
    <t>22038090</t>
  </si>
  <si>
    <t>123-111N-BAG-00-00-00</t>
  </si>
  <si>
    <t>0/01:34:07</t>
  </si>
  <si>
    <t>0002431818</t>
  </si>
  <si>
    <t>123</t>
  </si>
  <si>
    <t>0/15:41:11</t>
  </si>
  <si>
    <t>0002375459</t>
  </si>
  <si>
    <t>22022160</t>
  </si>
  <si>
    <t>920A-116-BAG-00-00-00</t>
  </si>
  <si>
    <t>0/07:50:35</t>
  </si>
  <si>
    <t>0002458359</t>
  </si>
  <si>
    <t>22033097</t>
  </si>
  <si>
    <t>123R-WH6D257-BAG-00-00-00</t>
  </si>
  <si>
    <t>0002441163</t>
  </si>
  <si>
    <t>WH6D257</t>
  </si>
  <si>
    <t>22041169</t>
  </si>
  <si>
    <t>XHT4141-NA5D001T-BAG-00-00-00</t>
  </si>
  <si>
    <t>0002448674</t>
  </si>
  <si>
    <t>XHT4141</t>
  </si>
  <si>
    <t>NA5D001T</t>
  </si>
  <si>
    <t>22037770</t>
  </si>
  <si>
    <t>223R-WH9G279-BAG-00-00-00</t>
  </si>
  <si>
    <t>0/03:55:18</t>
  </si>
  <si>
    <t>0002458241</t>
  </si>
  <si>
    <t>223R</t>
  </si>
  <si>
    <t>WH9G279</t>
  </si>
  <si>
    <t>0002458122</t>
  </si>
  <si>
    <t>0002436363</t>
  </si>
  <si>
    <t>22022088</t>
  </si>
  <si>
    <t>953A-116-BAG-00-00-00</t>
  </si>
  <si>
    <t>0/07:54:07</t>
  </si>
  <si>
    <t>0002453305</t>
  </si>
  <si>
    <t>953A</t>
  </si>
  <si>
    <t>0002441171</t>
  </si>
  <si>
    <t>0/01:36:56</t>
  </si>
  <si>
    <t>0002459642</t>
  </si>
  <si>
    <t>22030694</t>
  </si>
  <si>
    <t>121-111-BAG-00-00-00</t>
  </si>
  <si>
    <t>0002462922</t>
  </si>
  <si>
    <t>22021312</t>
  </si>
  <si>
    <t>124R-111FC-BAG-00-00-00</t>
  </si>
  <si>
    <t>0002282294</t>
  </si>
  <si>
    <t>124R</t>
  </si>
  <si>
    <t>0002282320</t>
  </si>
  <si>
    <t>WNANEX002_PC52_008</t>
  </si>
  <si>
    <t>22025085</t>
  </si>
  <si>
    <t>XHT2141-GY8D046-BAG-00-00-00</t>
  </si>
  <si>
    <t>0/04:02:21</t>
  </si>
  <si>
    <t>XHT2141</t>
  </si>
  <si>
    <t>GY8D046</t>
  </si>
  <si>
    <t>22023833</t>
  </si>
  <si>
    <t>LUX2289-WH9G012-BAG-00-00-00</t>
  </si>
  <si>
    <t>LUX2289</t>
  </si>
  <si>
    <t>WH9G012</t>
  </si>
  <si>
    <t>22031555</t>
  </si>
  <si>
    <t>C2950-WH8G018-BAG-00-00-00</t>
  </si>
  <si>
    <t>WH8G018</t>
  </si>
  <si>
    <t>22025093</t>
  </si>
  <si>
    <t>XHT3141-GY8D046-BAG-00-00-00</t>
  </si>
  <si>
    <t>0/01:22:24</t>
  </si>
  <si>
    <t>0002449000</t>
  </si>
  <si>
    <t>XHT3141</t>
  </si>
  <si>
    <t>0002431704</t>
  </si>
  <si>
    <t>22045378</t>
  </si>
  <si>
    <t>CY6012-7M8D042-BAG-00-00-00</t>
  </si>
  <si>
    <t>0/15:18:31</t>
  </si>
  <si>
    <t>CY6012</t>
  </si>
  <si>
    <t>7M8D042</t>
  </si>
  <si>
    <t>22046215</t>
  </si>
  <si>
    <t>C2950-8T8D247-BAG-00-00-00</t>
  </si>
  <si>
    <t>8T8D247</t>
  </si>
  <si>
    <t>22031466</t>
  </si>
  <si>
    <t>945-8T7D087-BAG-00-00-00</t>
  </si>
  <si>
    <t>8T7D087</t>
  </si>
  <si>
    <t>0/12:38:34</t>
  </si>
  <si>
    <t>0002432031</t>
  </si>
  <si>
    <t>22032098</t>
  </si>
  <si>
    <t>CX7240U-7T7D246-BAG-00-00-00</t>
  </si>
  <si>
    <t>0002421198</t>
  </si>
  <si>
    <t>CX7240U</t>
  </si>
  <si>
    <t>7T7D246</t>
  </si>
  <si>
    <t>0002335789</t>
  </si>
  <si>
    <t>0002444892</t>
  </si>
  <si>
    <t>0/04:21:44</t>
  </si>
  <si>
    <t>0002447286</t>
  </si>
  <si>
    <t>22030084</t>
  </si>
  <si>
    <t>CX7240-8T7D033-BAG-00-00-00</t>
  </si>
  <si>
    <t>0002372256</t>
  </si>
  <si>
    <t>8T7D033</t>
  </si>
  <si>
    <t>299903618</t>
  </si>
  <si>
    <t>EXL9330-7T8A3287</t>
  </si>
  <si>
    <t>LEXXGLO</t>
  </si>
  <si>
    <t>0002460093</t>
  </si>
  <si>
    <t>EXL9330</t>
  </si>
  <si>
    <t>7T8A3287</t>
  </si>
  <si>
    <t>22083956</t>
  </si>
  <si>
    <t>EXL9330-GY6H029-BAG-00-00-00</t>
  </si>
  <si>
    <t>0002461394</t>
  </si>
  <si>
    <t>GY6H029</t>
  </si>
  <si>
    <t>299903102</t>
  </si>
  <si>
    <t>945U-7T8A2654</t>
  </si>
  <si>
    <t>0/07:47:04</t>
  </si>
  <si>
    <t>LEXFRGLO</t>
  </si>
  <si>
    <t>0002453778</t>
  </si>
  <si>
    <t>945U</t>
  </si>
  <si>
    <t>7T8A2654</t>
  </si>
  <si>
    <t>0002449227</t>
  </si>
  <si>
    <t>299903342</t>
  </si>
  <si>
    <t>EXL9134-7T5A3014</t>
  </si>
  <si>
    <t>0/04:42:21</t>
  </si>
  <si>
    <t>0002449059</t>
  </si>
  <si>
    <t>EXL9134</t>
  </si>
  <si>
    <t>7T5A3014</t>
  </si>
  <si>
    <t>299903524</t>
  </si>
  <si>
    <t>C6600-7T8A3144</t>
  </si>
  <si>
    <t>0002456946</t>
  </si>
  <si>
    <t>7T8A3144</t>
  </si>
  <si>
    <t>0002455492</t>
  </si>
  <si>
    <t>0002396739</t>
  </si>
  <si>
    <t>0002335791</t>
  </si>
  <si>
    <t>22029949</t>
  </si>
  <si>
    <t>C2950-GY7G186-BAG-00-00-00</t>
  </si>
  <si>
    <t>0002436424</t>
  </si>
  <si>
    <t>GY7G186</t>
  </si>
  <si>
    <t>22031082</t>
  </si>
  <si>
    <t>241R-YW8C033-BAG-00-00-00</t>
  </si>
  <si>
    <t>LEXFR4O</t>
  </si>
  <si>
    <t>0002420494</t>
  </si>
  <si>
    <t>YW8C033</t>
  </si>
  <si>
    <t>22030264</t>
  </si>
  <si>
    <t>CY6025-WH8G710-BAG-00-00-00</t>
  </si>
  <si>
    <t>0002422718</t>
  </si>
  <si>
    <t>CY6025</t>
  </si>
  <si>
    <t>WH8G710</t>
  </si>
  <si>
    <t>0002454795</t>
  </si>
  <si>
    <t>0/08:38:49</t>
  </si>
  <si>
    <t>0002363814</t>
  </si>
  <si>
    <t>22038464</t>
  </si>
  <si>
    <t>241R-WH9B307-BAG-00-00-00</t>
  </si>
  <si>
    <t>0002442851</t>
  </si>
  <si>
    <t>WH9B307</t>
  </si>
  <si>
    <t>22029950</t>
  </si>
  <si>
    <t>C2950-GY8E432-BAG-00-00-00</t>
  </si>
  <si>
    <t>0002440571</t>
  </si>
  <si>
    <t>GY8E432</t>
  </si>
  <si>
    <t>0/02:21:11</t>
  </si>
  <si>
    <t>0002440481</t>
  </si>
  <si>
    <t>22039398</t>
  </si>
  <si>
    <t>C1200HF-BL1D302-BAG-00-00-00</t>
  </si>
  <si>
    <t>COY2DO</t>
  </si>
  <si>
    <t>0002446548</t>
  </si>
  <si>
    <t>BL1D302</t>
  </si>
  <si>
    <t>0002335794</t>
  </si>
  <si>
    <t>22039533</t>
  </si>
  <si>
    <t>C2950-YW8001S-BAG-00-00-00</t>
  </si>
  <si>
    <t>0002437111</t>
  </si>
  <si>
    <t>YW8001S</t>
  </si>
  <si>
    <t>22039652</t>
  </si>
  <si>
    <t>C6600-2B2D008-BAG-00-00-00</t>
  </si>
  <si>
    <t>0002453700</t>
  </si>
  <si>
    <t>2B2D008</t>
  </si>
  <si>
    <t>0002422184</t>
  </si>
  <si>
    <t>0002335803</t>
  </si>
  <si>
    <t>22038639</t>
  </si>
  <si>
    <t>C1200HF-YW7B089-BAG-00-00-00</t>
  </si>
  <si>
    <t>COY4O</t>
  </si>
  <si>
    <t>0002442844</t>
  </si>
  <si>
    <t>YW7B089</t>
  </si>
  <si>
    <t>22034454</t>
  </si>
  <si>
    <t>C1200HF-GY3F031-BAG-00-00-00</t>
  </si>
  <si>
    <t>0002461666</t>
  </si>
  <si>
    <t>GY3F031</t>
  </si>
  <si>
    <t>0002461654</t>
  </si>
  <si>
    <t>0002335806</t>
  </si>
  <si>
    <t>22029397</t>
  </si>
  <si>
    <t>EXL9330-5T7D005-BAG-00-00-00</t>
  </si>
  <si>
    <t>0002415905</t>
  </si>
  <si>
    <t>5T7D005</t>
  </si>
  <si>
    <t>0002427452</t>
  </si>
  <si>
    <t>0002385485</t>
  </si>
  <si>
    <t>0002422725</t>
  </si>
  <si>
    <t>22025073</t>
  </si>
  <si>
    <t>XCY620S-100-BAG-00-00-00</t>
  </si>
  <si>
    <t>0/17:15:18</t>
  </si>
  <si>
    <t>COY1T</t>
  </si>
  <si>
    <t>0002336357</t>
  </si>
  <si>
    <t>XCY620S</t>
  </si>
  <si>
    <t>0002453707</t>
  </si>
  <si>
    <t>0002453498</t>
  </si>
  <si>
    <t>0002335811</t>
  </si>
  <si>
    <t>0002421906</t>
  </si>
  <si>
    <t>0002421904</t>
  </si>
  <si>
    <t>0002453711</t>
  </si>
  <si>
    <t>0002013654</t>
  </si>
  <si>
    <t>22044494</t>
  </si>
  <si>
    <t>XTPMFR10-BK1G005-BAG-00-00-00</t>
  </si>
  <si>
    <t>0002411829</t>
  </si>
  <si>
    <t>XTPMFR10</t>
  </si>
  <si>
    <t>BK1G005</t>
  </si>
  <si>
    <t>22041167</t>
  </si>
  <si>
    <t>XHT2141-GY5G190-BAG-00-00-00</t>
  </si>
  <si>
    <t>0002336390</t>
  </si>
  <si>
    <t>GY5G190</t>
  </si>
  <si>
    <t>0002335816</t>
  </si>
  <si>
    <t>0002425534</t>
  </si>
  <si>
    <t>0002461672</t>
  </si>
  <si>
    <t>22038171</t>
  </si>
  <si>
    <t>141R-80711-BAG-00-00-00</t>
  </si>
  <si>
    <t>0/07:03:32</t>
  </si>
  <si>
    <t>0002398175</t>
  </si>
  <si>
    <t>80711</t>
  </si>
  <si>
    <t>WNANEX003_PC52_008</t>
  </si>
  <si>
    <t>299903627</t>
  </si>
  <si>
    <t>HFD1830-7N1A3286</t>
  </si>
  <si>
    <t>HFD1830</t>
  </si>
  <si>
    <t>7N1A3286</t>
  </si>
  <si>
    <t>ML6411</t>
  </si>
  <si>
    <t>22065217</t>
  </si>
  <si>
    <t>CY6012-7M4D051-BAG-00-00-00</t>
  </si>
  <si>
    <t>0/08:22:53</t>
  </si>
  <si>
    <t>0002432571</t>
  </si>
  <si>
    <t>7M4D051</t>
  </si>
  <si>
    <t>22025061</t>
  </si>
  <si>
    <t>XCY620-BK1005-BAG-00-00-00</t>
  </si>
  <si>
    <t>0002381051</t>
  </si>
  <si>
    <t>XCY620</t>
  </si>
  <si>
    <t>22041153</t>
  </si>
  <si>
    <t>XCY620-BK1G372-BAG-00-00-00</t>
  </si>
  <si>
    <t>BK1G372</t>
  </si>
  <si>
    <t>CH6310</t>
  </si>
  <si>
    <t>22039413</t>
  </si>
  <si>
    <t>C1200HF-GY1460-BAG-00-00-00</t>
  </si>
  <si>
    <t>GY1460</t>
  </si>
  <si>
    <t>0002229120</t>
  </si>
  <si>
    <t>0/13:20:00</t>
  </si>
  <si>
    <t>LEXX6DT</t>
  </si>
  <si>
    <t>22044231</t>
  </si>
  <si>
    <t>CY6025-2B2D023-BAG-00-00-00</t>
  </si>
  <si>
    <t>0/11:45:53</t>
  </si>
  <si>
    <t>0002421495</t>
  </si>
  <si>
    <t>2B2D023</t>
  </si>
  <si>
    <t>22089280</t>
  </si>
  <si>
    <t>CY6012-7M1D238-BAG-00-00-00</t>
  </si>
  <si>
    <t>0002446738</t>
  </si>
  <si>
    <t>7M1D238</t>
  </si>
  <si>
    <t>299901899</t>
  </si>
  <si>
    <t>C6600-7A1A1745</t>
  </si>
  <si>
    <t>0/10:11:46</t>
  </si>
  <si>
    <t>0002445058</t>
  </si>
  <si>
    <t>7A1A1745</t>
  </si>
  <si>
    <t>22066416</t>
  </si>
  <si>
    <t>CY6012-6M4D043-BAG-00-00-00</t>
  </si>
  <si>
    <t>0/04:14:28</t>
  </si>
  <si>
    <t>0002418995</t>
  </si>
  <si>
    <t>6M4D043</t>
  </si>
  <si>
    <t>22022747</t>
  </si>
  <si>
    <t>CX7259-7A1D057-BAG-00-00-00</t>
  </si>
  <si>
    <t>0002464437</t>
  </si>
  <si>
    <t>CX7259</t>
  </si>
  <si>
    <t>7A1D057</t>
  </si>
  <si>
    <t>0002447007</t>
  </si>
  <si>
    <t>22035338</t>
  </si>
  <si>
    <t>CY6414-701-BAG-00-00-00</t>
  </si>
  <si>
    <t>CY6414</t>
  </si>
  <si>
    <t>22019703</t>
  </si>
  <si>
    <t>C2951-7T3D044-BAG-00-00-00</t>
  </si>
  <si>
    <t>0002453499</t>
  </si>
  <si>
    <t>C2951</t>
  </si>
  <si>
    <t>7T3D044</t>
  </si>
  <si>
    <t>22060626</t>
  </si>
  <si>
    <t>XCY620-76701-BAG-00-00-00</t>
  </si>
  <si>
    <t>76701</t>
  </si>
  <si>
    <t>22067457</t>
  </si>
  <si>
    <t>CY6012-7M2D124-BAG-00-00-00</t>
  </si>
  <si>
    <t>0/08:24:06</t>
  </si>
  <si>
    <t>0002436920</t>
  </si>
  <si>
    <t>7M2D124</t>
  </si>
  <si>
    <t>299903516</t>
  </si>
  <si>
    <t>945-7G1A3051</t>
  </si>
  <si>
    <t>0002443003</t>
  </si>
  <si>
    <t>7G1A3051</t>
  </si>
  <si>
    <t>22037308</t>
  </si>
  <si>
    <t>XCY620S-76701-BAG-00-00-00</t>
  </si>
  <si>
    <t>22098752</t>
  </si>
  <si>
    <t>123R-GY2G204-BBG-00-00-00</t>
  </si>
  <si>
    <t>0002356153</t>
  </si>
  <si>
    <t>GY2G204</t>
  </si>
  <si>
    <t>299900516</t>
  </si>
  <si>
    <t>CX7240-7T1A0602</t>
  </si>
  <si>
    <t>0/04:10:35</t>
  </si>
  <si>
    <t>0002425416</t>
  </si>
  <si>
    <t>7T1A0602</t>
  </si>
  <si>
    <t>0/08:18:49</t>
  </si>
  <si>
    <t>0002400973</t>
  </si>
  <si>
    <t>0092302275</t>
  </si>
  <si>
    <t>0004</t>
  </si>
  <si>
    <t>0/02:25:25</t>
  </si>
  <si>
    <t>0002463568</t>
  </si>
  <si>
    <t>22040092</t>
  </si>
  <si>
    <t>CX7241-701-BAG-00-00-00</t>
  </si>
  <si>
    <t>0002461960</t>
  </si>
  <si>
    <t>CX7241</t>
  </si>
  <si>
    <t>22031674</t>
  </si>
  <si>
    <t>C6600-BK1D834-BAG-00-00-00</t>
  </si>
  <si>
    <t>0002458085</t>
  </si>
  <si>
    <t>BK1D834</t>
  </si>
  <si>
    <t>0/04:50:49</t>
  </si>
  <si>
    <t>0002463406</t>
  </si>
  <si>
    <t>22017645</t>
  </si>
  <si>
    <t>945-7M1D058-BAG-00-00-00</t>
  </si>
  <si>
    <t>0002462912</t>
  </si>
  <si>
    <t>7M1D058</t>
  </si>
  <si>
    <t>22038829</t>
  </si>
  <si>
    <t>C6200-GY8A240-BAG-00-00-00</t>
  </si>
  <si>
    <t>0002462770</t>
  </si>
  <si>
    <t>GY8A240</t>
  </si>
  <si>
    <t>22039382</t>
  </si>
  <si>
    <t>C1200HF-701-SSS-00-00-00</t>
  </si>
  <si>
    <t>0002412783</t>
  </si>
  <si>
    <t>0002253222</t>
  </si>
  <si>
    <t>22021559</t>
  </si>
  <si>
    <t>241R-701-BAG-00-00-00</t>
  </si>
  <si>
    <t>0002453784</t>
  </si>
  <si>
    <t>22019694</t>
  </si>
  <si>
    <t>C2950HF-66615-BAG-00-00-00</t>
  </si>
  <si>
    <t>0002453595</t>
  </si>
  <si>
    <t>66615</t>
  </si>
  <si>
    <t>0002436873</t>
  </si>
  <si>
    <t>22039826</t>
  </si>
  <si>
    <t>C6600-GY9A016-BAG-00-00-00</t>
  </si>
  <si>
    <t>0002460037</t>
  </si>
  <si>
    <t>GY9A016</t>
  </si>
  <si>
    <t>299900857</t>
  </si>
  <si>
    <t>950-BK1334</t>
  </si>
  <si>
    <t>0002421923</t>
  </si>
  <si>
    <t>950</t>
  </si>
  <si>
    <t>BK1334</t>
  </si>
  <si>
    <t>22033846</t>
  </si>
  <si>
    <t>244RF-GY7G193F-BAG-00-00-00</t>
  </si>
  <si>
    <t>LEXHCGLO</t>
  </si>
  <si>
    <t>0002450320</t>
  </si>
  <si>
    <t>GY7G193F</t>
  </si>
  <si>
    <t>22039523</t>
  </si>
  <si>
    <t>C2950-GY8E438-BAG-00-00-00</t>
  </si>
  <si>
    <t>0002417197</t>
  </si>
  <si>
    <t>GY8E438</t>
  </si>
  <si>
    <t>22067443</t>
  </si>
  <si>
    <t>CX7240-7T1D434-BAG-00-00-00</t>
  </si>
  <si>
    <t>0002459801</t>
  </si>
  <si>
    <t>7T1D434</t>
  </si>
  <si>
    <t>22027944</t>
  </si>
  <si>
    <t>C6600-GY6A480-BAG-00-00-00</t>
  </si>
  <si>
    <t>0002448494</t>
  </si>
  <si>
    <t>GY6A480</t>
  </si>
  <si>
    <t>22030266</t>
  </si>
  <si>
    <t>CY6120-GY9A016-BAG-00-00-00</t>
  </si>
  <si>
    <t>0002442725</t>
  </si>
  <si>
    <t>CY6120</t>
  </si>
  <si>
    <t>22029811</t>
  </si>
  <si>
    <t>940-4B7D013-BAG-00-00-00</t>
  </si>
  <si>
    <t>LEX4O</t>
  </si>
  <si>
    <t>0002459798</t>
  </si>
  <si>
    <t>4B7D013</t>
  </si>
  <si>
    <t>0002423938</t>
  </si>
  <si>
    <t>22031670</t>
  </si>
  <si>
    <t>C6600-BK1740-BAG-00-00-00</t>
  </si>
  <si>
    <t>0002459686</t>
  </si>
  <si>
    <t>BK1740</t>
  </si>
  <si>
    <t>22033067</t>
  </si>
  <si>
    <t>123R-BK1G204-BAG-00-00-00</t>
  </si>
  <si>
    <t>0002439120</t>
  </si>
  <si>
    <t>BK1G204</t>
  </si>
  <si>
    <t>WNANEX004_PC52_008</t>
  </si>
  <si>
    <t>22022857</t>
  </si>
  <si>
    <t>EXL1414-BK1A068-BAG-00-00-00</t>
  </si>
  <si>
    <t>BK1A068</t>
  </si>
  <si>
    <t>22021048</t>
  </si>
  <si>
    <t>XHT4141-BK1C141-BAG-00-00-00</t>
  </si>
  <si>
    <t>BK1C141</t>
  </si>
  <si>
    <t>LEXXGDO</t>
  </si>
  <si>
    <t>22041018</t>
  </si>
  <si>
    <t>LS1-701-BAG-00-00-00</t>
  </si>
  <si>
    <t>0002290352</t>
  </si>
  <si>
    <t>LS1</t>
  </si>
  <si>
    <t>22018960</t>
  </si>
  <si>
    <t>SLX2271T-BK1E540-BAG-00-00-00</t>
  </si>
  <si>
    <t>22018508</t>
  </si>
  <si>
    <t>EXL9330-BK1A068-BAG-00-00-00</t>
  </si>
  <si>
    <t>22020017</t>
  </si>
  <si>
    <t>EXL9330-BK1A233-BAG-00-00-00</t>
  </si>
  <si>
    <t>0002391804</t>
  </si>
  <si>
    <t>BK1A233</t>
  </si>
  <si>
    <t>22072651</t>
  </si>
  <si>
    <t>BX7241-7A1D330-BAG-00-00-00</t>
  </si>
  <si>
    <t>0/03:13:53</t>
  </si>
  <si>
    <t>BX7241</t>
  </si>
  <si>
    <t>7A1D330</t>
  </si>
  <si>
    <t>0002446931</t>
  </si>
  <si>
    <t>22035048</t>
  </si>
  <si>
    <t>CH6410-701-BAG-00-00-00</t>
  </si>
  <si>
    <t>CH6410</t>
  </si>
  <si>
    <t>22021045</t>
  </si>
  <si>
    <t>XHT3141-BK1C141-BAG-00-00-00</t>
  </si>
  <si>
    <t>22039635</t>
  </si>
  <si>
    <t>EXL1414-BK1E636-BAG-00-00-00</t>
  </si>
  <si>
    <t>0002444638</t>
  </si>
  <si>
    <t>BK1E636</t>
  </si>
  <si>
    <t>22036321</t>
  </si>
  <si>
    <t>EXL9330-7T1D102-BAG-00-00-00</t>
  </si>
  <si>
    <t>0002400888</t>
  </si>
  <si>
    <t>7T1D102</t>
  </si>
  <si>
    <t>22086276</t>
  </si>
  <si>
    <t>EXL1132-BK2H002-BAG-00-00-00</t>
  </si>
  <si>
    <t>0002459868</t>
  </si>
  <si>
    <t>EXL1132</t>
  </si>
  <si>
    <t>BK2H002</t>
  </si>
  <si>
    <t>0002290323</t>
  </si>
  <si>
    <t>22025083</t>
  </si>
  <si>
    <t>XHT2141-BK1C141-BAG-00-00-00</t>
  </si>
  <si>
    <t>0002400874</t>
  </si>
  <si>
    <t>22020921</t>
  </si>
  <si>
    <t>SLX2271T-BK1G296-BAG-00-00-00</t>
  </si>
  <si>
    <t>0002345402</t>
  </si>
  <si>
    <t>SLX2271T</t>
  </si>
  <si>
    <t>BK1G296</t>
  </si>
  <si>
    <t>22030022</t>
  </si>
  <si>
    <t>C6600E-GY1C173-BAG-00-00-00</t>
  </si>
  <si>
    <t>0002442840</t>
  </si>
  <si>
    <t>GY1C173</t>
  </si>
  <si>
    <t>0002336237</t>
  </si>
  <si>
    <t>0002336253</t>
  </si>
  <si>
    <t>WNANEX005_PC52_008</t>
  </si>
  <si>
    <t>299904108</t>
  </si>
  <si>
    <t>EXL1414-2N2A3647</t>
  </si>
  <si>
    <t>0/01:45:00</t>
  </si>
  <si>
    <t>LEXX2DO</t>
  </si>
  <si>
    <t>2N2A3647</t>
  </si>
  <si>
    <t>22088981</t>
  </si>
  <si>
    <t>945-7A4D044-BAG-00-00-00</t>
  </si>
  <si>
    <t>0/03:10:48</t>
  </si>
  <si>
    <t>7A4D044</t>
  </si>
  <si>
    <t>0/02:39:00</t>
  </si>
  <si>
    <t>0/05:00:00</t>
  </si>
  <si>
    <t>925U</t>
  </si>
  <si>
    <t>22034857</t>
  </si>
  <si>
    <t>C1200HF-7N1D073-BAG-00-00-00</t>
  </si>
  <si>
    <t>0002457959</t>
  </si>
  <si>
    <t>7N1D073</t>
  </si>
  <si>
    <t>22034628</t>
  </si>
  <si>
    <t>C2950HF-6T2D025-BAG-00-00-00</t>
  </si>
  <si>
    <t>COYFR6DO</t>
  </si>
  <si>
    <t>6T2D025</t>
  </si>
  <si>
    <t>0/01:35:24</t>
  </si>
  <si>
    <t>0/01:30:00</t>
  </si>
  <si>
    <t>22034491</t>
  </si>
  <si>
    <t>C1200HF-WH8450-BAG-00-00-00</t>
  </si>
  <si>
    <t>0/01:37:30</t>
  </si>
  <si>
    <t>COY8O</t>
  </si>
  <si>
    <t>WH8450</t>
  </si>
  <si>
    <t>22066567</t>
  </si>
  <si>
    <t>EXL1810T-8T9D428-BAG-00-00-00</t>
  </si>
  <si>
    <t>0002453251</t>
  </si>
  <si>
    <t>EXL1810T</t>
  </si>
  <si>
    <t>8T9D428</t>
  </si>
  <si>
    <t>22088791</t>
  </si>
  <si>
    <t>141R-7A1D369-BAG-00-00-00</t>
  </si>
  <si>
    <t>0/05:18:00</t>
  </si>
  <si>
    <t>7A1D369</t>
  </si>
  <si>
    <t>22039730</t>
  </si>
  <si>
    <t>EXL1414T-7A1D194-BAG-00-00-00</t>
  </si>
  <si>
    <t>7A1D194</t>
  </si>
  <si>
    <t>22039732</t>
  </si>
  <si>
    <t>EXL1414T-7A7D048-BAG-00-00-00</t>
  </si>
  <si>
    <t>0/01:19:30</t>
  </si>
  <si>
    <t>7A7D048</t>
  </si>
  <si>
    <t>22044408</t>
  </si>
  <si>
    <t>945-8T6D109-BAG-00-00-00</t>
  </si>
  <si>
    <t>0002443736</t>
  </si>
  <si>
    <t>8T6D109</t>
  </si>
  <si>
    <t>0002443732</t>
  </si>
  <si>
    <t>22035448</t>
  </si>
  <si>
    <t>C7230P-701-BAG-00-00-00</t>
  </si>
  <si>
    <t>0002447129</t>
  </si>
  <si>
    <t>299903154</t>
  </si>
  <si>
    <t>121C-6A2A2784</t>
  </si>
  <si>
    <t>LEX6DO</t>
  </si>
  <si>
    <t>0002463229</t>
  </si>
  <si>
    <t>121C</t>
  </si>
  <si>
    <t>6A2A2784</t>
  </si>
  <si>
    <t>22022153</t>
  </si>
  <si>
    <t>920-GY1818-BAG-00-00-00</t>
  </si>
  <si>
    <t>0002400349</t>
  </si>
  <si>
    <t>GY1818</t>
  </si>
  <si>
    <t>22039549</t>
  </si>
  <si>
    <t>C2950HF-BL2082-BAG-00-00-00</t>
  </si>
  <si>
    <t>0/02:30:00</t>
  </si>
  <si>
    <t>0002402610</t>
  </si>
  <si>
    <t>BL2082</t>
  </si>
  <si>
    <t>22035221</t>
  </si>
  <si>
    <t>CX7240-7T1D010-BAG-00-00-00</t>
  </si>
  <si>
    <t>0/01:03:36</t>
  </si>
  <si>
    <t>0002445471</t>
  </si>
  <si>
    <t>7T1D010</t>
  </si>
  <si>
    <t>22045548</t>
  </si>
  <si>
    <t>EXL9330-7T8D784-BAG-00-00-00</t>
  </si>
  <si>
    <t>0/01:00:00</t>
  </si>
  <si>
    <t>0002453199</t>
  </si>
  <si>
    <t>7T8D784</t>
  </si>
  <si>
    <t>22018381</t>
  </si>
  <si>
    <t>CFR7431-NA8E061T-BAG-00-00-00</t>
  </si>
  <si>
    <t>CFR7431</t>
  </si>
  <si>
    <t>NA8E061T</t>
  </si>
  <si>
    <t>22030014</t>
  </si>
  <si>
    <t>9925A-7T1D132-BAG-00-00-00</t>
  </si>
  <si>
    <t>0002442841</t>
  </si>
  <si>
    <t>9925A</t>
  </si>
  <si>
    <t>7T1D132</t>
  </si>
  <si>
    <t>22035306</t>
  </si>
  <si>
    <t>C6600-GY1B132-BAG-00-00-00</t>
  </si>
  <si>
    <t>0002442931</t>
  </si>
  <si>
    <t>GY1B132</t>
  </si>
  <si>
    <t>22045504</t>
  </si>
  <si>
    <t>EXL1414A-8A9D090-BAG-00-00-00</t>
  </si>
  <si>
    <t>EXL1414A</t>
  </si>
  <si>
    <t>8A9D090</t>
  </si>
  <si>
    <t>FXD141R</t>
  </si>
  <si>
    <t>22040121</t>
  </si>
  <si>
    <t>CY6012-BK1066-BAG-00-00-00</t>
  </si>
  <si>
    <t>0002447175</t>
  </si>
  <si>
    <t>22089276</t>
  </si>
  <si>
    <t>CX7240U-7T1D441-BAG-00-00-00</t>
  </si>
  <si>
    <t>0002446623</t>
  </si>
  <si>
    <t>7T1D441</t>
  </si>
  <si>
    <t>22043816</t>
  </si>
  <si>
    <t>915R-GY5515-BAG-00-00-00</t>
  </si>
  <si>
    <t>915R</t>
  </si>
  <si>
    <t>GY5515</t>
  </si>
  <si>
    <t>22034804</t>
  </si>
  <si>
    <t>BY2710X-7N2D025-BAG-00-00-00</t>
  </si>
  <si>
    <t>0002446754</t>
  </si>
  <si>
    <t>BY2710X</t>
  </si>
  <si>
    <t>7N2D025</t>
  </si>
  <si>
    <t>22035325</t>
  </si>
  <si>
    <t>CY6025-GY4G273-BAG-00-00-00</t>
  </si>
  <si>
    <t>0002445240</t>
  </si>
  <si>
    <t>GY4G273</t>
  </si>
  <si>
    <t>22039126</t>
  </si>
  <si>
    <t>940-WH5185-BAG-00-00-00</t>
  </si>
  <si>
    <t>0002446762</t>
  </si>
  <si>
    <t>22030062</t>
  </si>
  <si>
    <t>CS9610-WH8E359-BAG-00-00-00</t>
  </si>
  <si>
    <t>0002448918</t>
  </si>
  <si>
    <t>CS9610</t>
  </si>
  <si>
    <t>WH8E359</t>
  </si>
  <si>
    <t>22028990</t>
  </si>
  <si>
    <t>FXE1414T-BK1A184T-BAG-00-00-00</t>
  </si>
  <si>
    <t>0002461593</t>
  </si>
  <si>
    <t>FXE1414T</t>
  </si>
  <si>
    <t>22032409</t>
  </si>
  <si>
    <t>EXL8454-WH9E561-BAG-00-00-00</t>
  </si>
  <si>
    <t>4503070389</t>
  </si>
  <si>
    <t>EXL8454</t>
  </si>
  <si>
    <t>WH9E561</t>
  </si>
  <si>
    <t>22083954</t>
  </si>
  <si>
    <t>EXL9330-8T7D131-BAG-00-00-00</t>
  </si>
  <si>
    <t>0/03:50:33</t>
  </si>
  <si>
    <t>8T7D131</t>
  </si>
  <si>
    <t>22034640</t>
  </si>
  <si>
    <t>C2950HF-BK2E043-BAG-00-00-00</t>
  </si>
  <si>
    <t>0002449244</t>
  </si>
  <si>
    <t>BK2E043</t>
  </si>
  <si>
    <t>22039271</t>
  </si>
  <si>
    <t>945U-NC-BAG-00-00-00</t>
  </si>
  <si>
    <t>0002448596</t>
  </si>
  <si>
    <t>22031568</t>
  </si>
  <si>
    <t>C2950HF-GY1291-BAG-00-00-00</t>
  </si>
  <si>
    <t>0002402573</t>
  </si>
  <si>
    <t>GY1291</t>
  </si>
  <si>
    <t>0002402647</t>
  </si>
  <si>
    <t>0002449345</t>
  </si>
  <si>
    <t>0/02:37:30</t>
  </si>
  <si>
    <t>EXL9112</t>
  </si>
  <si>
    <t>299903534</t>
  </si>
  <si>
    <t>EXL1414T-7N1A3204</t>
  </si>
  <si>
    <t>0002457915</t>
  </si>
  <si>
    <t>7N1A3204</t>
  </si>
  <si>
    <t>299903580</t>
  </si>
  <si>
    <t>EXL9330-7T1A3165</t>
  </si>
  <si>
    <t>0002458081</t>
  </si>
  <si>
    <t>7T1A3165</t>
  </si>
  <si>
    <t>299903631</t>
  </si>
  <si>
    <t>EXL9330-7T2A3171</t>
  </si>
  <si>
    <t>0002458082</t>
  </si>
  <si>
    <t>7T2A3171</t>
  </si>
  <si>
    <t>22085309</t>
  </si>
  <si>
    <t>C2950HF-7T2D326-BAG-00-00-00</t>
  </si>
  <si>
    <t>0002448517</t>
  </si>
  <si>
    <t>7T2D326</t>
  </si>
  <si>
    <t>22098674</t>
  </si>
  <si>
    <t>FXE1414T-6G8A1349-BAG-00-00-00</t>
  </si>
  <si>
    <t>0/01:43:21</t>
  </si>
  <si>
    <t>LEX6LO</t>
  </si>
  <si>
    <t>6G8A1349</t>
  </si>
  <si>
    <t>299904782</t>
  </si>
  <si>
    <t>EXL1414-3N7A4138</t>
  </si>
  <si>
    <t>LEXX3LO</t>
  </si>
  <si>
    <t>3N7A4138</t>
  </si>
  <si>
    <t>22022069</t>
  </si>
  <si>
    <t>945-BL1D017-BAG-00-00-00</t>
  </si>
  <si>
    <t>0002453858</t>
  </si>
  <si>
    <t>BL1D017</t>
  </si>
  <si>
    <t>22088965</t>
  </si>
  <si>
    <t>920-BL3H009-BAG-00-00-00</t>
  </si>
  <si>
    <t>0002453163</t>
  </si>
  <si>
    <t>BL3H009</t>
  </si>
  <si>
    <t>22045529</t>
  </si>
  <si>
    <t>EXL9134-8T8D241-BAG-00-00-00</t>
  </si>
  <si>
    <t>8T8D241</t>
  </si>
  <si>
    <t>22085413</t>
  </si>
  <si>
    <t>C6600-7T1D434-BAG-00-00-00</t>
  </si>
  <si>
    <t>0002438872</t>
  </si>
  <si>
    <t>0002422146</t>
  </si>
  <si>
    <t>22035115</t>
  </si>
  <si>
    <t>C6200-7T1D123-BAG-00-00-00</t>
  </si>
  <si>
    <t>0002455119</t>
  </si>
  <si>
    <t>7T1D123</t>
  </si>
  <si>
    <t>0002455029</t>
  </si>
  <si>
    <t>22034930</t>
  </si>
  <si>
    <t>C6600-GY8E463-BAG-00-00-00</t>
  </si>
  <si>
    <t>0002441048</t>
  </si>
  <si>
    <t>GY8E463</t>
  </si>
  <si>
    <t>4503062494</t>
  </si>
  <si>
    <t>0/03:22:30</t>
  </si>
  <si>
    <t>0002453209</t>
  </si>
  <si>
    <t>299901419</t>
  </si>
  <si>
    <t>EXL1132T-7G1A1299T</t>
  </si>
  <si>
    <t>0/03:34:39</t>
  </si>
  <si>
    <t>0002461438</t>
  </si>
  <si>
    <t>EXL1132T</t>
  </si>
  <si>
    <t>7G1A1299T</t>
  </si>
  <si>
    <t>22030095</t>
  </si>
  <si>
    <t>C6200-BL1634-BAG-00-00-00</t>
  </si>
  <si>
    <t>0/01:51:18</t>
  </si>
  <si>
    <t>0002456387</t>
  </si>
  <si>
    <t>BL1634</t>
  </si>
  <si>
    <t>22031459</t>
  </si>
  <si>
    <t>945-7T4D212-BAG-00-00-00</t>
  </si>
  <si>
    <t>LEXGLO</t>
  </si>
  <si>
    <t>0002457944</t>
  </si>
  <si>
    <t>7T4D212</t>
  </si>
  <si>
    <t>22030234</t>
  </si>
  <si>
    <t>EXL1414-GY2E408-BAG-00-00-00</t>
  </si>
  <si>
    <t>0002442644</t>
  </si>
  <si>
    <t>GY2E408</t>
  </si>
  <si>
    <t>0/01:15:00</t>
  </si>
  <si>
    <t>0002457921</t>
  </si>
  <si>
    <t>22067436</t>
  </si>
  <si>
    <t>CX7240-2M4D051-BAG-00-00-00</t>
  </si>
  <si>
    <t>0002457884</t>
  </si>
  <si>
    <t>2M4D051</t>
  </si>
  <si>
    <t>22031570</t>
  </si>
  <si>
    <t>C2950HF-GY6A021-BAG-00-00-00</t>
  </si>
  <si>
    <t>0002459720</t>
  </si>
  <si>
    <t>GY6A021</t>
  </si>
  <si>
    <t>22031940</t>
  </si>
  <si>
    <t>C7210A-BK1066-BAG-00-00-00</t>
  </si>
  <si>
    <t>0002459585</t>
  </si>
  <si>
    <t>C7210A</t>
  </si>
  <si>
    <t>0002402650</t>
  </si>
  <si>
    <t>22034644</t>
  </si>
  <si>
    <t>C2950HF-GY2A547-BAG-00-00-00</t>
  </si>
  <si>
    <t>0002461375</t>
  </si>
  <si>
    <t>GY2A547</t>
  </si>
  <si>
    <t>22022738</t>
  </si>
  <si>
    <t>CX7240U-7M1D051-BAG-00-00-00</t>
  </si>
  <si>
    <t>0002434601</t>
  </si>
  <si>
    <t>22038812</t>
  </si>
  <si>
    <t>C6200-GN7021RS-BAG-00-00-00</t>
  </si>
  <si>
    <t>COYFR3LO</t>
  </si>
  <si>
    <t>0002462854</t>
  </si>
  <si>
    <t>GN7021RS</t>
  </si>
  <si>
    <t>22039003</t>
  </si>
  <si>
    <t>920-70405-BAG-00-00-00</t>
  </si>
  <si>
    <t>0002454682</t>
  </si>
  <si>
    <t>70405</t>
  </si>
  <si>
    <t>22038927</t>
  </si>
  <si>
    <t>C6600-GN3058-BAG-00-00-00</t>
  </si>
  <si>
    <t>0002453636</t>
  </si>
  <si>
    <t>GN3058</t>
  </si>
  <si>
    <t>0002444669</t>
  </si>
  <si>
    <t>0002446972</t>
  </si>
  <si>
    <t>22044725</t>
  </si>
  <si>
    <t>101-GY6135-BAG-00-00-00</t>
  </si>
  <si>
    <t>0002448400</t>
  </si>
  <si>
    <t>101</t>
  </si>
  <si>
    <t>GY6135</t>
  </si>
  <si>
    <t>22102504</t>
  </si>
  <si>
    <t>221RC-BR6G037X-BAG-00-00-00</t>
  </si>
  <si>
    <t>0002444644</t>
  </si>
  <si>
    <t>221RC</t>
  </si>
  <si>
    <t>BR6G037X</t>
  </si>
  <si>
    <t>22039074</t>
  </si>
  <si>
    <t>CH6310-GY9C050-BAG-00-00-00</t>
  </si>
  <si>
    <t>0002444622</t>
  </si>
  <si>
    <t>GY9C050</t>
  </si>
  <si>
    <t>0002453268</t>
  </si>
  <si>
    <t>22037765</t>
  </si>
  <si>
    <t>223R-RD8G025-BAG-00-00-00</t>
  </si>
  <si>
    <t>LEXFR6LO</t>
  </si>
  <si>
    <t>0002423672</t>
  </si>
  <si>
    <t>RD8G025</t>
  </si>
  <si>
    <t>22085534</t>
  </si>
  <si>
    <t>CX7240-7T5D172-BAG-00-00-00</t>
  </si>
  <si>
    <t>0002379668</t>
  </si>
  <si>
    <t>7T5D172</t>
  </si>
  <si>
    <t>22018736</t>
  </si>
  <si>
    <t>LUX9616-WH8E491X-BAG-00-00-00</t>
  </si>
  <si>
    <t>LEXFRGDX</t>
  </si>
  <si>
    <t>LUX9616</t>
  </si>
  <si>
    <t>WH8E491X</t>
  </si>
  <si>
    <t>22033354</t>
  </si>
  <si>
    <t>161R-111-BAG-00-00-00</t>
  </si>
  <si>
    <t>0002461386</t>
  </si>
  <si>
    <t>161R</t>
  </si>
  <si>
    <t>0002448580</t>
  </si>
  <si>
    <t>0002459830</t>
  </si>
  <si>
    <t>22022075</t>
  </si>
  <si>
    <t>945U-701-BAG-00-00-00</t>
  </si>
  <si>
    <t>0002432400</t>
  </si>
  <si>
    <t>0/04:14:24</t>
  </si>
  <si>
    <t>4503078982</t>
  </si>
  <si>
    <t>22017334</t>
  </si>
  <si>
    <t>C2800-701-BAG-00-00-00</t>
  </si>
  <si>
    <t>0002360729</t>
  </si>
  <si>
    <t>0002461720</t>
  </si>
  <si>
    <t>0002455134</t>
  </si>
  <si>
    <t>22023994</t>
  </si>
  <si>
    <t>LG9000-100-BAG-00-00-00</t>
  </si>
  <si>
    <t>0002431740</t>
  </si>
  <si>
    <t>LG9000</t>
  </si>
  <si>
    <t>22029170</t>
  </si>
  <si>
    <t>920-GY2C239-BAG-00-00-00</t>
  </si>
  <si>
    <t>0002457059</t>
  </si>
  <si>
    <t>GY2C239</t>
  </si>
  <si>
    <t>22030166</t>
  </si>
  <si>
    <t>C6600-WH7E078-BAG-00-00-00</t>
  </si>
  <si>
    <t>0002461677</t>
  </si>
  <si>
    <t>WH7E078</t>
  </si>
  <si>
    <t>22030150</t>
  </si>
  <si>
    <t>C6600-GY5E348-BAG-00-00-00</t>
  </si>
  <si>
    <t>0002463307</t>
  </si>
  <si>
    <t>GY5E348</t>
  </si>
  <si>
    <t>22039530</t>
  </si>
  <si>
    <t>C2950-WH9C272-BAG-00-00-00</t>
  </si>
  <si>
    <t>0002442679</t>
  </si>
  <si>
    <t>WH9C272</t>
  </si>
  <si>
    <t>22045866</t>
  </si>
  <si>
    <t>XCY620-GY7G608-BAG-00-00-00</t>
  </si>
  <si>
    <t>0002403887</t>
  </si>
  <si>
    <t>GY7G608</t>
  </si>
  <si>
    <t>22017868</t>
  </si>
  <si>
    <t>LUX9616G-WH8A492X-BAG-00-00-00</t>
  </si>
  <si>
    <t>LEXGDX</t>
  </si>
  <si>
    <t>0002454199</t>
  </si>
  <si>
    <t>LUX9616G</t>
  </si>
  <si>
    <t>WH8A492X</t>
  </si>
  <si>
    <t>WNANEX006_PC52_008</t>
  </si>
  <si>
    <t>0/10:00:00</t>
  </si>
  <si>
    <t>22034874</t>
  </si>
  <si>
    <t>C1200HF-BK2G024-BAG-00-00-00</t>
  </si>
  <si>
    <t>BK2G024</t>
  </si>
  <si>
    <t>0002453703</t>
  </si>
  <si>
    <t>22019660</t>
  </si>
  <si>
    <t>C1200HF-100-BAG-00-00-00</t>
  </si>
  <si>
    <t>0002328449</t>
  </si>
  <si>
    <t>0/09:48:14</t>
  </si>
  <si>
    <t>0002436423</t>
  </si>
  <si>
    <t>0002316511</t>
  </si>
  <si>
    <t>0002389236</t>
  </si>
  <si>
    <t>COYFR1T</t>
  </si>
  <si>
    <t>22019663</t>
  </si>
  <si>
    <t>C1200HF-BK2E082-BAG-00-00-00</t>
  </si>
  <si>
    <t>0/02:27:04</t>
  </si>
  <si>
    <t>0002290261</t>
  </si>
  <si>
    <t>BK2E082</t>
  </si>
  <si>
    <t>0002417196</t>
  </si>
  <si>
    <t>22034851</t>
  </si>
  <si>
    <t>C1200HF-7001-BAG-00-00-00</t>
  </si>
  <si>
    <t>0/04:54:07</t>
  </si>
  <si>
    <t>0002415056</t>
  </si>
  <si>
    <t>0002282290</t>
  </si>
  <si>
    <t>0002434635</t>
  </si>
  <si>
    <t>22034902</t>
  </si>
  <si>
    <t>C6600-GY6D379-BAG-00-00-00</t>
  </si>
  <si>
    <t>0/02:56:28</t>
  </si>
  <si>
    <t>0002413391</t>
  </si>
  <si>
    <t>GY6D379</t>
  </si>
  <si>
    <t>0002463624</t>
  </si>
  <si>
    <t>22035246</t>
  </si>
  <si>
    <t>C6600-8B8D004-BAG-00-00-00</t>
  </si>
  <si>
    <t>0002345133</t>
  </si>
  <si>
    <t>8B8D004</t>
  </si>
  <si>
    <t>22039357</t>
  </si>
  <si>
    <t>C1100HF-701-BAG-00-00-00</t>
  </si>
  <si>
    <t>0002333465</t>
  </si>
  <si>
    <t>C1100HF</t>
  </si>
  <si>
    <t>0002400681</t>
  </si>
  <si>
    <t>0002389233</t>
  </si>
  <si>
    <t>22031613</t>
  </si>
  <si>
    <t>C1200HF-BK1G484U-BBG-00-00-00</t>
  </si>
  <si>
    <t>0002335589</t>
  </si>
  <si>
    <t>BK1G484U</t>
  </si>
  <si>
    <t>WNANEX007_PC52_008</t>
  </si>
  <si>
    <t>22088821</t>
  </si>
  <si>
    <t>945A-2T2D133X-BAG-00-00-00</t>
  </si>
  <si>
    <t>LEXFR2DX</t>
  </si>
  <si>
    <t>2T2D133X</t>
  </si>
  <si>
    <t>Yes</t>
  </si>
  <si>
    <t>0/02:35:39</t>
  </si>
  <si>
    <t>22098155</t>
  </si>
  <si>
    <t>IFX121RA-3A5A1577IB-BAG-00-00-00</t>
  </si>
  <si>
    <t>LEX3LT</t>
  </si>
  <si>
    <t>0002438585</t>
  </si>
  <si>
    <t>IFX121RA</t>
  </si>
  <si>
    <t>3A5A1577IB</t>
  </si>
  <si>
    <t>22066632</t>
  </si>
  <si>
    <t>FXD171R-BK1G676X-BAG-00-00-00</t>
  </si>
  <si>
    <t>0/12:21:11</t>
  </si>
  <si>
    <t>LEXX7X</t>
  </si>
  <si>
    <t>0002450336</t>
  </si>
  <si>
    <t>BK1G676X</t>
  </si>
  <si>
    <t>22029181</t>
  </si>
  <si>
    <t>925A-21051-BAG-00-00-00</t>
  </si>
  <si>
    <t>0/04:56:28</t>
  </si>
  <si>
    <t>LEX2DX</t>
  </si>
  <si>
    <t>925A</t>
  </si>
  <si>
    <t>21051</t>
  </si>
  <si>
    <t>22046457</t>
  </si>
  <si>
    <t>HF1130R-BK1A184T-BAG-00-00-00</t>
  </si>
  <si>
    <t>0002422124</t>
  </si>
  <si>
    <t>HF1130R</t>
  </si>
  <si>
    <t>22039298</t>
  </si>
  <si>
    <t>9925A-7T2D137T-BAG-00-00-00</t>
  </si>
  <si>
    <t>0/01:14:07</t>
  </si>
  <si>
    <t>LEXFR7T</t>
  </si>
  <si>
    <t>7T2D137T</t>
  </si>
  <si>
    <t>22031544</t>
  </si>
  <si>
    <t>C2950-BL6E121-BAG-00-00-00</t>
  </si>
  <si>
    <t>COYFR2LO</t>
  </si>
  <si>
    <t>BL6E121</t>
  </si>
  <si>
    <t>22028394</t>
  </si>
  <si>
    <t>121R-21092-BAG-00-00-00</t>
  </si>
  <si>
    <t>0/07:24:43</t>
  </si>
  <si>
    <t>0002420567</t>
  </si>
  <si>
    <t>21092</t>
  </si>
  <si>
    <t>0/07:24:42</t>
  </si>
  <si>
    <t>0002441042</t>
  </si>
  <si>
    <t>299901212</t>
  </si>
  <si>
    <t>945-2A5A1001</t>
  </si>
  <si>
    <t>0/02:28:15</t>
  </si>
  <si>
    <t>LEX2LO</t>
  </si>
  <si>
    <t>0002453197</t>
  </si>
  <si>
    <t>2A5A1001</t>
  </si>
  <si>
    <t>299903308</t>
  </si>
  <si>
    <t>HF1110C-6M1D013</t>
  </si>
  <si>
    <t>HF1110C</t>
  </si>
  <si>
    <t>6M1D013</t>
  </si>
  <si>
    <t>299901093</t>
  </si>
  <si>
    <t>945-3A5A0940</t>
  </si>
  <si>
    <t>LEX3LO</t>
  </si>
  <si>
    <t>3A5A0940</t>
  </si>
  <si>
    <t>22098534</t>
  </si>
  <si>
    <t>121R-7A1A1835IA-BAG-00-00-00</t>
  </si>
  <si>
    <t>0002456571</t>
  </si>
  <si>
    <t>7A1A1835IA</t>
  </si>
  <si>
    <t>299900944</t>
  </si>
  <si>
    <t>945-6A3A0860</t>
  </si>
  <si>
    <t>0/01:43:45</t>
  </si>
  <si>
    <t>6A3A0860</t>
  </si>
  <si>
    <t>LEX5DO</t>
  </si>
  <si>
    <t>22035137</t>
  </si>
  <si>
    <t>C6200-BL4A061-BAG-00-00-00</t>
  </si>
  <si>
    <t>0002447230</t>
  </si>
  <si>
    <t>BL4A061</t>
  </si>
  <si>
    <t>22039535</t>
  </si>
  <si>
    <t>C2950HF-2T2D070-BAG-00-00-00</t>
  </si>
  <si>
    <t>0/02:02:17</t>
  </si>
  <si>
    <t>0002446957</t>
  </si>
  <si>
    <t>2T2D070</t>
  </si>
  <si>
    <t>22045034</t>
  </si>
  <si>
    <t>925-7T1D418-BAG-00-00-00</t>
  </si>
  <si>
    <t>0002450311</t>
  </si>
  <si>
    <t>7T1D418</t>
  </si>
  <si>
    <t>LEXFROO</t>
  </si>
  <si>
    <t>923A</t>
  </si>
  <si>
    <t>22029319</t>
  </si>
  <si>
    <t>CS9610-GY2E103-BAG-00-00-00</t>
  </si>
  <si>
    <t>0/04:03:32</t>
  </si>
  <si>
    <t>4503063059</t>
  </si>
  <si>
    <t>GY2E103</t>
  </si>
  <si>
    <t>22065061</t>
  </si>
  <si>
    <t>CX7240-2M2D027-BAG-00-00-00</t>
  </si>
  <si>
    <t>0002436978</t>
  </si>
  <si>
    <t>2M2D027</t>
  </si>
  <si>
    <t>0/07:43:15</t>
  </si>
  <si>
    <t>0002436942</t>
  </si>
  <si>
    <t>22025100</t>
  </si>
  <si>
    <t>XHT4143-NA5D003T-BAG-00-00-00</t>
  </si>
  <si>
    <t>0002457943</t>
  </si>
  <si>
    <t>XHT4143</t>
  </si>
  <si>
    <t>NA5D003T</t>
  </si>
  <si>
    <t>22029974</t>
  </si>
  <si>
    <t>943-RD5G044-BAG-00-00-00</t>
  </si>
  <si>
    <t>RD5G044</t>
  </si>
  <si>
    <t>22086298</t>
  </si>
  <si>
    <t>EXL8414-7A1D363-BAG-00-00-00</t>
  </si>
  <si>
    <t>0/02:28:14</t>
  </si>
  <si>
    <t>0002461896</t>
  </si>
  <si>
    <t>EXL8414</t>
  </si>
  <si>
    <t>7A1D363</t>
  </si>
  <si>
    <t>299905666</t>
  </si>
  <si>
    <t>123X-2G2A4024</t>
  </si>
  <si>
    <t>0/03:31:46</t>
  </si>
  <si>
    <t>0002453643</t>
  </si>
  <si>
    <t>123X</t>
  </si>
  <si>
    <t>2G2A4024</t>
  </si>
  <si>
    <t>22045446</t>
  </si>
  <si>
    <t>EXL1112T-BK1A184T-BAG-00-00-00</t>
  </si>
  <si>
    <t>0/00:29:39</t>
  </si>
  <si>
    <t>0002461845</t>
  </si>
  <si>
    <t>EXL1112T</t>
  </si>
  <si>
    <t>299903367</t>
  </si>
  <si>
    <t>FXE121-4A5A2947</t>
  </si>
  <si>
    <t>0002461552</t>
  </si>
  <si>
    <t>FXE121</t>
  </si>
  <si>
    <t>4A5A2947</t>
  </si>
  <si>
    <t>22018729</t>
  </si>
  <si>
    <t>LS2-414-BAG-00-00-00</t>
  </si>
  <si>
    <t>0002396915</t>
  </si>
  <si>
    <t>414</t>
  </si>
  <si>
    <t>0002458305</t>
  </si>
  <si>
    <t>22067389</t>
  </si>
  <si>
    <t>C2950-3T4D021-BAG-00-00-00</t>
  </si>
  <si>
    <t>0002452024</t>
  </si>
  <si>
    <t>3T4D021</t>
  </si>
  <si>
    <t>0/03:42:21</t>
  </si>
  <si>
    <t>0002463340</t>
  </si>
  <si>
    <t>22032972</t>
  </si>
  <si>
    <t>121-2A2D007-BAG-00-00-00</t>
  </si>
  <si>
    <t>0/03:20:07</t>
  </si>
  <si>
    <t>0002463210</t>
  </si>
  <si>
    <t>2A2D007</t>
  </si>
  <si>
    <t>22018273</t>
  </si>
  <si>
    <t>925A-GY2D053T-BAG-00-00-00</t>
  </si>
  <si>
    <t>0002454752</t>
  </si>
  <si>
    <t>GY2D053T</t>
  </si>
  <si>
    <t>22067402</t>
  </si>
  <si>
    <t>C6200-BL11040-BAG-00-00-00</t>
  </si>
  <si>
    <t>0002396440</t>
  </si>
  <si>
    <t>BL11040</t>
  </si>
  <si>
    <t>22032188</t>
  </si>
  <si>
    <t>EXL9330-GY2G045-BAG-00-00-00</t>
  </si>
  <si>
    <t>0002446729</t>
  </si>
  <si>
    <t>GY2G045</t>
  </si>
  <si>
    <t>22038456</t>
  </si>
  <si>
    <t>241R-OR8B007-BAG-00-00-00</t>
  </si>
  <si>
    <t>0002422603</t>
  </si>
  <si>
    <t>OR8B007</t>
  </si>
  <si>
    <t>0002410963</t>
  </si>
  <si>
    <t>22029553</t>
  </si>
  <si>
    <t>123R-BL8D016-BAG-00-00-00</t>
  </si>
  <si>
    <t>0002436737</t>
  </si>
  <si>
    <t>BL8D016</t>
  </si>
  <si>
    <t>22029048</t>
  </si>
  <si>
    <t>C1200HF-BL1D183-BAG-00-00-00</t>
  </si>
  <si>
    <t>0002405466</t>
  </si>
  <si>
    <t>BL1D183</t>
  </si>
  <si>
    <t>22038367</t>
  </si>
  <si>
    <t>945-2T1D043-BAG-00-00-00</t>
  </si>
  <si>
    <t>0002436432</t>
  </si>
  <si>
    <t>2T1D043</t>
  </si>
  <si>
    <t>22030393</t>
  </si>
  <si>
    <t>EXL9330-4T7D017-BAG-00-00-00</t>
  </si>
  <si>
    <t>LEXX4O</t>
  </si>
  <si>
    <t>0002442807</t>
  </si>
  <si>
    <t>4T7D017</t>
  </si>
  <si>
    <t>0002431841</t>
  </si>
  <si>
    <t>22030573</t>
  </si>
  <si>
    <t>ML6411-96536-BAG-00-00-00</t>
  </si>
  <si>
    <t>0002426037</t>
  </si>
  <si>
    <t>96536</t>
  </si>
  <si>
    <t>22040926</t>
  </si>
  <si>
    <t>RCY6214-BK1E714-BAG-00-00-00</t>
  </si>
  <si>
    <t>0002459670</t>
  </si>
  <si>
    <t>RCY6214</t>
  </si>
  <si>
    <t>BK1E714</t>
  </si>
  <si>
    <t>22093031</t>
  </si>
  <si>
    <t>SLX2471T-RD1H002-BAG-00-00-00</t>
  </si>
  <si>
    <t>0/23:31:46</t>
  </si>
  <si>
    <t>LEXX6DO</t>
  </si>
  <si>
    <t>0002403739</t>
  </si>
  <si>
    <t>SLX2471T</t>
  </si>
  <si>
    <t>RD1H002</t>
  </si>
  <si>
    <t>22039063</t>
  </si>
  <si>
    <t>CFR7431-7T1D297T-BAG-00-00-00</t>
  </si>
  <si>
    <t>0/01:10:35</t>
  </si>
  <si>
    <t>COYGDT</t>
  </si>
  <si>
    <t>0002448549</t>
  </si>
  <si>
    <t>7T1D297T</t>
  </si>
  <si>
    <t>22046310</t>
  </si>
  <si>
    <t>CX7240-7T1D231-BAG-00-00-00</t>
  </si>
  <si>
    <t>0/04:45:21</t>
  </si>
  <si>
    <t>0002463259</t>
  </si>
  <si>
    <t>7T1D231</t>
  </si>
  <si>
    <t>22040094</t>
  </si>
  <si>
    <t>CX7720-BK1066-BAG-00-00-00</t>
  </si>
  <si>
    <t>0002456482</t>
  </si>
  <si>
    <t>CX7720</t>
  </si>
  <si>
    <t>0002453350</t>
  </si>
  <si>
    <t>22046504</t>
  </si>
  <si>
    <t>RF0057E-OR6G101-SBG-00-00-00</t>
  </si>
  <si>
    <t>0002458512</t>
  </si>
  <si>
    <t>RF0057E</t>
  </si>
  <si>
    <t>OR6G101</t>
  </si>
  <si>
    <t>22029762</t>
  </si>
  <si>
    <t>241R-BR8153-BAG-00-00-00</t>
  </si>
  <si>
    <t>LEXFR5LO</t>
  </si>
  <si>
    <t>0002440766</t>
  </si>
  <si>
    <t>BR8153</t>
  </si>
  <si>
    <t>0002444649</t>
  </si>
  <si>
    <t>0002441186</t>
  </si>
  <si>
    <t>22036303</t>
  </si>
  <si>
    <t>EXL9330-2T2D063-BAG-00-00-00</t>
  </si>
  <si>
    <t>0002456491</t>
  </si>
  <si>
    <t>2T2D063</t>
  </si>
  <si>
    <t>22035891</t>
  </si>
  <si>
    <t>EXL9112-BK1A068-BAG-00-00-00</t>
  </si>
  <si>
    <t>4502995671</t>
  </si>
  <si>
    <t>22033298</t>
  </si>
  <si>
    <t>121R-VT6A015T-BAG-00-00-00</t>
  </si>
  <si>
    <t>LEX9LT</t>
  </si>
  <si>
    <t>0002308747</t>
  </si>
  <si>
    <t>VT6A015T</t>
  </si>
  <si>
    <t>0002400172</t>
  </si>
  <si>
    <t>0002463402</t>
  </si>
  <si>
    <t>22023858</t>
  </si>
  <si>
    <t>MC1300-701-BAG-00-00-00</t>
  </si>
  <si>
    <t>0002438738</t>
  </si>
  <si>
    <t>MC1300</t>
  </si>
  <si>
    <t>0002461714</t>
  </si>
  <si>
    <t>0002454235</t>
  </si>
  <si>
    <t>0002441203</t>
  </si>
  <si>
    <t>22039705</t>
  </si>
  <si>
    <t>C6600-7T4D208-BAG-00-00-00</t>
  </si>
  <si>
    <t>0002450307</t>
  </si>
  <si>
    <t>7T4D208</t>
  </si>
  <si>
    <t>290032027</t>
  </si>
  <si>
    <t>XHT4143-RD3D213T</t>
  </si>
  <si>
    <t>0002448817</t>
  </si>
  <si>
    <t>RD3D213T</t>
  </si>
  <si>
    <t>0002462904</t>
  </si>
  <si>
    <t>0/00:28:14</t>
  </si>
  <si>
    <t>0002448622</t>
  </si>
  <si>
    <t>WNANEX008_PC52_008</t>
  </si>
  <si>
    <t>22043983</t>
  </si>
  <si>
    <t>121-7A7D088-BAG-00-00-00</t>
  </si>
  <si>
    <t>7A7D088</t>
  </si>
  <si>
    <t>22040593</t>
  </si>
  <si>
    <t>EXL9330-7T7D185-BAG-00-00-00</t>
  </si>
  <si>
    <t>7T7D185</t>
  </si>
  <si>
    <t>22034271</t>
  </si>
  <si>
    <t>945-WH9D687-BAG-00-00-00</t>
  </si>
  <si>
    <t>0002439129</t>
  </si>
  <si>
    <t>WH9D687</t>
  </si>
  <si>
    <t>22089245</t>
  </si>
  <si>
    <t>945-7T7D303-BAG-00-00-00</t>
  </si>
  <si>
    <t>0/00:45:53</t>
  </si>
  <si>
    <t>7T7D303</t>
  </si>
  <si>
    <t>0002362462</t>
  </si>
  <si>
    <t>22045438</t>
  </si>
  <si>
    <t>EXL1112-BR6G177-BAG-00-00-00</t>
  </si>
  <si>
    <t>0/00:31:46</t>
  </si>
  <si>
    <t>EXL1112</t>
  </si>
  <si>
    <t>BR6G177</t>
  </si>
  <si>
    <t>22044860</t>
  </si>
  <si>
    <t>945-8T9D296-BAG-00-00-00</t>
  </si>
  <si>
    <t>8T9D296</t>
  </si>
  <si>
    <t>22067315</t>
  </si>
  <si>
    <t>945-8A9D185-BAG-00-00-00</t>
  </si>
  <si>
    <t>0002453198</t>
  </si>
  <si>
    <t>8A9D185</t>
  </si>
  <si>
    <t>22039933</t>
  </si>
  <si>
    <t>EXL9330-WH6B060-BAG-00-00-00</t>
  </si>
  <si>
    <t>0/02:24:32</t>
  </si>
  <si>
    <t>WH6B060</t>
  </si>
  <si>
    <t>22023123</t>
  </si>
  <si>
    <t>EXL9330-795143-BAG-00-00-00</t>
  </si>
  <si>
    <t>795143</t>
  </si>
  <si>
    <t>22032976</t>
  </si>
  <si>
    <t>121-8A9D142-BAG-00-00-00</t>
  </si>
  <si>
    <t>0/06:55:04</t>
  </si>
  <si>
    <t>8A9D142</t>
  </si>
  <si>
    <t>22031792</t>
  </si>
  <si>
    <t>C6600-7M9D004-BAG-00-00-00</t>
  </si>
  <si>
    <t>0002444711</t>
  </si>
  <si>
    <t>7M9D004</t>
  </si>
  <si>
    <t>22066418</t>
  </si>
  <si>
    <t>CY6012-7M6D036-BAG-00-00-00</t>
  </si>
  <si>
    <t>0002436904</t>
  </si>
  <si>
    <t>7M6D036</t>
  </si>
  <si>
    <t>22036805</t>
  </si>
  <si>
    <t>ML6411-GY5D520-BAG-00-00-00</t>
  </si>
  <si>
    <t>0002448844</t>
  </si>
  <si>
    <t>GY5D520</t>
  </si>
  <si>
    <t>22031290</t>
  </si>
  <si>
    <t>925-7T5D134-BAG-00-00-00</t>
  </si>
  <si>
    <t>0002455518</t>
  </si>
  <si>
    <t>7T5D134</t>
  </si>
  <si>
    <t>299900631</t>
  </si>
  <si>
    <t>945-8A9A0669</t>
  </si>
  <si>
    <t>8A9A0669</t>
  </si>
  <si>
    <t>22033838</t>
  </si>
  <si>
    <t>243R-WH9A238-BAG-00-00-00</t>
  </si>
  <si>
    <t>0002386403</t>
  </si>
  <si>
    <t>WH9A238</t>
  </si>
  <si>
    <t>0002455376</t>
  </si>
  <si>
    <t>0/04:04:35</t>
  </si>
  <si>
    <t>0002461829</t>
  </si>
  <si>
    <t>0002454818</t>
  </si>
  <si>
    <t>22035904</t>
  </si>
  <si>
    <t>EXL9134-7A7D083-BAG-00-00-00</t>
  </si>
  <si>
    <t>0002459748</t>
  </si>
  <si>
    <t>7A7D083</t>
  </si>
  <si>
    <t>22032386</t>
  </si>
  <si>
    <t>EXL1434-WH8D407-BAG-00-00-00</t>
  </si>
  <si>
    <t>0002459886</t>
  </si>
  <si>
    <t>WH8D407</t>
  </si>
  <si>
    <t>22019653</t>
  </si>
  <si>
    <t>BFL2000-WH3150-BAG-00-00-00</t>
  </si>
  <si>
    <t>1/00:38:39</t>
  </si>
  <si>
    <t>0002455215</t>
  </si>
  <si>
    <t>BFL2000</t>
  </si>
  <si>
    <t>22034225</t>
  </si>
  <si>
    <t>945-7T8D574-BAG-00-00-00</t>
  </si>
  <si>
    <t>0002448977</t>
  </si>
  <si>
    <t>7T8D574</t>
  </si>
  <si>
    <t>0002362466</t>
  </si>
  <si>
    <t>22028706</t>
  </si>
  <si>
    <t>CH6410-GY7E543-BAG-00-00-00</t>
  </si>
  <si>
    <t>0/04:08:18</t>
  </si>
  <si>
    <t>0002453326</t>
  </si>
  <si>
    <t>GY7E543</t>
  </si>
  <si>
    <t>22034863</t>
  </si>
  <si>
    <t>C1200HF-96622-BAG-00-00-00</t>
  </si>
  <si>
    <t>0/09:24:42</t>
  </si>
  <si>
    <t>0002405516</t>
  </si>
  <si>
    <t>96622</t>
  </si>
  <si>
    <t>22029290</t>
  </si>
  <si>
    <t>C6600-GY7A125-BAG-00-00-00</t>
  </si>
  <si>
    <t>0/01:38:49</t>
  </si>
  <si>
    <t>0002456410</t>
  </si>
  <si>
    <t>GY7A125</t>
  </si>
  <si>
    <t>22039281</t>
  </si>
  <si>
    <t>950-GY7704-BAG-00-00-00</t>
  </si>
  <si>
    <t>0/00:59:18</t>
  </si>
  <si>
    <t>0002457892</t>
  </si>
  <si>
    <t>GY7704</t>
  </si>
  <si>
    <t>22031533</t>
  </si>
  <si>
    <t>C2950-7T5D113-BAG-00-00-00</t>
  </si>
  <si>
    <t>0002436428</t>
  </si>
  <si>
    <t>7T5D113</t>
  </si>
  <si>
    <t>22029291</t>
  </si>
  <si>
    <t>C6600-GY7C059-BAG-00-00-00</t>
  </si>
  <si>
    <t>0002339338</t>
  </si>
  <si>
    <t>GY7C059</t>
  </si>
  <si>
    <t>22035970</t>
  </si>
  <si>
    <t>EXL9330-GY6D482-BAG-00-00-00</t>
  </si>
  <si>
    <t>0/03:46:04</t>
  </si>
  <si>
    <t>0002436545</t>
  </si>
  <si>
    <t>GY6D482</t>
  </si>
  <si>
    <t>22045042</t>
  </si>
  <si>
    <t>925U-7T8D779-BAG-00-00-00</t>
  </si>
  <si>
    <t>0002448383</t>
  </si>
  <si>
    <t>7T8D779</t>
  </si>
  <si>
    <t>22038397</t>
  </si>
  <si>
    <t>945-8T9D148-BAG-00-00-00</t>
  </si>
  <si>
    <t>0002461310</t>
  </si>
  <si>
    <t>22039934</t>
  </si>
  <si>
    <t>EXL9330-WH6E276-BAG-00-00-00</t>
  </si>
  <si>
    <t>0002382323</t>
  </si>
  <si>
    <t>WH6E276</t>
  </si>
  <si>
    <t>0002463130</t>
  </si>
  <si>
    <t>22030034</t>
  </si>
  <si>
    <t>C7210A-WH6G129-BAG-00-00-00</t>
  </si>
  <si>
    <t>0002463236</t>
  </si>
  <si>
    <t>WH6G129</t>
  </si>
  <si>
    <t>22034763</t>
  </si>
  <si>
    <t>C6600-7B7D024-BAG-00-00-00</t>
  </si>
  <si>
    <t>0002456984</t>
  </si>
  <si>
    <t>7B7D024</t>
  </si>
  <si>
    <t>22083423</t>
  </si>
  <si>
    <t>121-6A8D007-BAG-00-00-00</t>
  </si>
  <si>
    <t>LEX6DX</t>
  </si>
  <si>
    <t>0002453662</t>
  </si>
  <si>
    <t>6A8D007</t>
  </si>
  <si>
    <t>22029292</t>
  </si>
  <si>
    <t>C6600-GY8977-BAG-00-00-00</t>
  </si>
  <si>
    <t>0002448945</t>
  </si>
  <si>
    <t>GY8977</t>
  </si>
  <si>
    <t>0002440490</t>
  </si>
  <si>
    <t>0002440477</t>
  </si>
  <si>
    <t>0002423544</t>
  </si>
  <si>
    <t>0002455184</t>
  </si>
  <si>
    <t>22023110</t>
  </si>
  <si>
    <t>EXL9134-7A8D006-BAG-00-00-00</t>
  </si>
  <si>
    <t>0002425699</t>
  </si>
  <si>
    <t>7A8D006</t>
  </si>
  <si>
    <t>0002418039</t>
  </si>
  <si>
    <t>22032208</t>
  </si>
  <si>
    <t>EXL9330-YW8D008-BAG-00-00-00</t>
  </si>
  <si>
    <t>0002422550</t>
  </si>
  <si>
    <t>YW8D008</t>
  </si>
  <si>
    <t>22028976</t>
  </si>
  <si>
    <t>EXL9330-GY8D578-BAG-00-00-00</t>
  </si>
  <si>
    <t>0/14:49:25</t>
  </si>
  <si>
    <t>0002458370</t>
  </si>
  <si>
    <t>GY8D578</t>
  </si>
  <si>
    <t>22041058</t>
  </si>
  <si>
    <t>LUX7169-WH8G733-BAG-00-00-00</t>
  </si>
  <si>
    <t>4503022178</t>
  </si>
  <si>
    <t>LUX7169</t>
  </si>
  <si>
    <t>WH8G733</t>
  </si>
  <si>
    <t>22044544</t>
  </si>
  <si>
    <t>123R-WH5G107-BAG-00-00-00</t>
  </si>
  <si>
    <t>0002290274</t>
  </si>
  <si>
    <t>WH5G107</t>
  </si>
  <si>
    <t>0002450390</t>
  </si>
  <si>
    <t>22022414</t>
  </si>
  <si>
    <t>C6600-WH7222-BAG-00-00-00</t>
  </si>
  <si>
    <t>0002450305</t>
  </si>
  <si>
    <t>WH7222</t>
  </si>
  <si>
    <t>22038458</t>
  </si>
  <si>
    <t>241R-WH2C006-BAG-00-00-00</t>
  </si>
  <si>
    <t>0002442745</t>
  </si>
  <si>
    <t>WH2C006</t>
  </si>
  <si>
    <t>0002442676</t>
  </si>
  <si>
    <t>22037050</t>
  </si>
  <si>
    <t>ML6411-WH8D293-BAG-00-00-00</t>
  </si>
  <si>
    <t>0002442672</t>
  </si>
  <si>
    <t>WH8D293</t>
  </si>
  <si>
    <t>22022537</t>
  </si>
  <si>
    <t>C6200-GY7C059-BAG-00-00-00</t>
  </si>
  <si>
    <t>0002405785</t>
  </si>
  <si>
    <t>22028869</t>
  </si>
  <si>
    <t>945-8T9D140-BAG-00-00-00</t>
  </si>
  <si>
    <t>0002446761</t>
  </si>
  <si>
    <t>8T9D140</t>
  </si>
  <si>
    <t>22040671</t>
  </si>
  <si>
    <t>ML6411-7M8D024-BAG-00-00-00</t>
  </si>
  <si>
    <t>0002420542</t>
  </si>
  <si>
    <t>7M8D024</t>
  </si>
  <si>
    <t>0002335818</t>
  </si>
  <si>
    <t>WNANEX009_PC52_008</t>
  </si>
  <si>
    <t>22035828</t>
  </si>
  <si>
    <t>DFL349EF-GY00404-BAG-00-00-00</t>
  </si>
  <si>
    <t>0/03:43:56</t>
  </si>
  <si>
    <t>PCGDO</t>
  </si>
  <si>
    <t>0002448583</t>
  </si>
  <si>
    <t>DFL349EF</t>
  </si>
  <si>
    <t>GY00404</t>
  </si>
  <si>
    <t>22035817</t>
  </si>
  <si>
    <t>DF006ER-BK1A625-SBG-00-00-00</t>
  </si>
  <si>
    <t>0/03:55:43</t>
  </si>
  <si>
    <t>DF006ER</t>
  </si>
  <si>
    <t>BK1A625</t>
  </si>
  <si>
    <t>22102550</t>
  </si>
  <si>
    <t>UF0067W-BK1B661-SBG-00-00-00</t>
  </si>
  <si>
    <t>PPA7O</t>
  </si>
  <si>
    <t>UF0067W</t>
  </si>
  <si>
    <t>BK1B661</t>
  </si>
  <si>
    <t>22029213</t>
  </si>
  <si>
    <t>DFP34-BK8115-BAG-00-00-00</t>
  </si>
  <si>
    <t>0/07:51:26</t>
  </si>
  <si>
    <t>0002453446</t>
  </si>
  <si>
    <t>DFP34</t>
  </si>
  <si>
    <t>22029210</t>
  </si>
  <si>
    <t>DE0021E-BKNAT-SBG-00-00-00</t>
  </si>
  <si>
    <t>0/01:34:17</t>
  </si>
  <si>
    <t>0002443471</t>
  </si>
  <si>
    <t>DE0021E</t>
  </si>
  <si>
    <t>BKNAT</t>
  </si>
  <si>
    <t>PCABS7O</t>
  </si>
  <si>
    <t>22041327</t>
  </si>
  <si>
    <t>R2000-GYMDNAT-SBG-00-00-00</t>
  </si>
  <si>
    <t>0/07:37:17</t>
  </si>
  <si>
    <t>PA61X</t>
  </si>
  <si>
    <t>0002337840</t>
  </si>
  <si>
    <t>R2000</t>
  </si>
  <si>
    <t>GYMDNAT</t>
  </si>
  <si>
    <t>22037043</t>
  </si>
  <si>
    <t>RL004-GYMDNAT-SBG-00-00-00</t>
  </si>
  <si>
    <t>PA661X</t>
  </si>
  <si>
    <t>0002379181</t>
  </si>
  <si>
    <t>RL004</t>
  </si>
  <si>
    <t>22037039</t>
  </si>
  <si>
    <t>RFL36XXZ-GYMDNAT-SBG-00-00-00</t>
  </si>
  <si>
    <t>0/05:34:43</t>
  </si>
  <si>
    <t>0002435037</t>
  </si>
  <si>
    <t>RFL36XXZ</t>
  </si>
  <si>
    <t>299905676</t>
  </si>
  <si>
    <t>ER007485-2G2A4425</t>
  </si>
  <si>
    <t>ER007485</t>
  </si>
  <si>
    <t>2G2A4425</t>
  </si>
  <si>
    <t>22032513</t>
  </si>
  <si>
    <t>KL004-BK1A735-BAG-00-00-00</t>
  </si>
  <si>
    <t>0/01:10:43</t>
  </si>
  <si>
    <t>POM7O</t>
  </si>
  <si>
    <t>KL004</t>
  </si>
  <si>
    <t>BK1A735</t>
  </si>
  <si>
    <t>22036555</t>
  </si>
  <si>
    <t>KL004A-BK1A733-BAG-00-00-00</t>
  </si>
  <si>
    <t>0/01:57:51</t>
  </si>
  <si>
    <t>KL004A</t>
  </si>
  <si>
    <t>BK1A733</t>
  </si>
  <si>
    <t>22036583</t>
  </si>
  <si>
    <t>LGK3020-GY4B738-SBG-00-00-00</t>
  </si>
  <si>
    <t>0/01:53:09</t>
  </si>
  <si>
    <t>LGK3020</t>
  </si>
  <si>
    <t>GY4B738</t>
  </si>
  <si>
    <t>0002446886</t>
  </si>
  <si>
    <t>22039803</t>
  </si>
  <si>
    <t>EXL4419-WH9D245-BAG-00-00-00</t>
  </si>
  <si>
    <t>0/01:09:39</t>
  </si>
  <si>
    <t>0002448641</t>
  </si>
  <si>
    <t>EXL4419</t>
  </si>
  <si>
    <t>WH9D245</t>
  </si>
  <si>
    <t>22018189</t>
  </si>
  <si>
    <t>420SE0-8244-BAG-00-00-00</t>
  </si>
  <si>
    <t>0/01:47:09</t>
  </si>
  <si>
    <t>VALFGLO</t>
  </si>
  <si>
    <t>0002455325</t>
  </si>
  <si>
    <t>420SE0</t>
  </si>
  <si>
    <t>0/06:17:09</t>
  </si>
  <si>
    <t>7G1A4725</t>
  </si>
  <si>
    <t>22040199</t>
  </si>
  <si>
    <t>DFP36-BK1A672-SBG-00-00-00</t>
  </si>
  <si>
    <t>0/05:48:52</t>
  </si>
  <si>
    <t>0002350869</t>
  </si>
  <si>
    <t>DFP36</t>
  </si>
  <si>
    <t>BK1A672</t>
  </si>
  <si>
    <t>22034318</t>
  </si>
  <si>
    <t>A3000-BK8115-BAG-00-00-00</t>
  </si>
  <si>
    <t>ABS7O</t>
  </si>
  <si>
    <t>0002457926</t>
  </si>
  <si>
    <t>A3000</t>
  </si>
  <si>
    <t>22036698</t>
  </si>
  <si>
    <t>MFB82I-BK1B459-BAG-00-00-00</t>
  </si>
  <si>
    <t>PP7O</t>
  </si>
  <si>
    <t>MFB82I</t>
  </si>
  <si>
    <t>BK1B459</t>
  </si>
  <si>
    <t>22036840</t>
  </si>
  <si>
    <t>K2000-GYMDNAT-BAG-00-00-00</t>
  </si>
  <si>
    <t>0/19:38:34</t>
  </si>
  <si>
    <t>POM1X</t>
  </si>
  <si>
    <t>0002342301</t>
  </si>
  <si>
    <t>K2000</t>
  </si>
  <si>
    <t>22033663</t>
  </si>
  <si>
    <t>420HP-1001-BAG-00-00-00</t>
  </si>
  <si>
    <t>0002413199</t>
  </si>
  <si>
    <t>420HP</t>
  </si>
  <si>
    <t>22028172</t>
  </si>
  <si>
    <t>KL004A-WHNAT-BAG-00-00-00</t>
  </si>
  <si>
    <t>POM8T</t>
  </si>
  <si>
    <t>0002453215</t>
  </si>
  <si>
    <t>WHNAT</t>
  </si>
  <si>
    <t>22029458</t>
  </si>
  <si>
    <t>RFL36XXY-BK1A843-SBG-00-00-00</t>
  </si>
  <si>
    <t>0002453169</t>
  </si>
  <si>
    <t>RFL36XXY</t>
  </si>
  <si>
    <t>BK1A843</t>
  </si>
  <si>
    <t>22038734</t>
  </si>
  <si>
    <t>500R-GY3G080-BAG-00-00-00</t>
  </si>
  <si>
    <t>0002345172</t>
  </si>
  <si>
    <t>GY3G080</t>
  </si>
  <si>
    <t>22029708</t>
  </si>
  <si>
    <t>420SE0-GY4G305-BAG-00-00-00</t>
  </si>
  <si>
    <t>0002457946</t>
  </si>
  <si>
    <t>GY4G305</t>
  </si>
  <si>
    <t>22082338</t>
  </si>
  <si>
    <t>NX11302-WH9E641-FBG-00-00-00</t>
  </si>
  <si>
    <t>PCABS8O</t>
  </si>
  <si>
    <t>0002453641</t>
  </si>
  <si>
    <t>NX11302</t>
  </si>
  <si>
    <t>WH9E641</t>
  </si>
  <si>
    <t>FBG</t>
  </si>
  <si>
    <t>22040524</t>
  </si>
  <si>
    <t>LGN2000-73007-BAG-00-00-00</t>
  </si>
  <si>
    <t>0002455082</t>
  </si>
  <si>
    <t>LGN2000</t>
  </si>
  <si>
    <t>73007</t>
  </si>
  <si>
    <t>22018899</t>
  </si>
  <si>
    <t>RB008-NC-FBG-00-00-00</t>
  </si>
  <si>
    <t>PA661T</t>
  </si>
  <si>
    <t>0002448578</t>
  </si>
  <si>
    <t>RB008</t>
  </si>
  <si>
    <t>22036843</t>
  </si>
  <si>
    <t>KD000-BKNAT-BAG-00-00-00</t>
  </si>
  <si>
    <t>2/23:25:43</t>
  </si>
  <si>
    <t>0002443656</t>
  </si>
  <si>
    <t>KD000</t>
  </si>
  <si>
    <t>0002421035</t>
  </si>
  <si>
    <t>22084188</t>
  </si>
  <si>
    <t>DC0041PR-7M1D145-BAG-00-00-00</t>
  </si>
  <si>
    <t>1/09:20:00</t>
  </si>
  <si>
    <t>DC0041PR</t>
  </si>
  <si>
    <t>7M1D145</t>
  </si>
  <si>
    <t>299901855</t>
  </si>
  <si>
    <t>D151-2M2A1666</t>
  </si>
  <si>
    <t>PC2DO</t>
  </si>
  <si>
    <t>0002442826</t>
  </si>
  <si>
    <t>D151</t>
  </si>
  <si>
    <t>2M2A1666</t>
  </si>
  <si>
    <t>22064645</t>
  </si>
  <si>
    <t>V4760-100-BAG-00-00-00</t>
  </si>
  <si>
    <t>VAL1T</t>
  </si>
  <si>
    <t>4503042443</t>
  </si>
  <si>
    <t>V4760</t>
  </si>
  <si>
    <t>299901852</t>
  </si>
  <si>
    <t>D151-7M1A1663</t>
  </si>
  <si>
    <t>0002442823</t>
  </si>
  <si>
    <t>7M1A1663</t>
  </si>
  <si>
    <t>0/03:45:00</t>
  </si>
  <si>
    <t>22035880</t>
  </si>
  <si>
    <t>EXL5689-GY8B430-BAG-00-00-00</t>
  </si>
  <si>
    <t>EXL5689</t>
  </si>
  <si>
    <t>GY8B430</t>
  </si>
  <si>
    <t>0002445320</t>
  </si>
  <si>
    <t>22021649</t>
  </si>
  <si>
    <t>420SE0-1001-BAG-00-00-00</t>
  </si>
  <si>
    <t>3/06:34:17</t>
  </si>
  <si>
    <t>22029457</t>
  </si>
  <si>
    <t>RFL36-BK1B602-SBG-00-00-00</t>
  </si>
  <si>
    <t>0002434725</t>
  </si>
  <si>
    <t>RFL36</t>
  </si>
  <si>
    <t>BK1B602</t>
  </si>
  <si>
    <t>0002422406</t>
  </si>
  <si>
    <t>0002463095</t>
  </si>
  <si>
    <t>22021332</t>
  </si>
  <si>
    <t>141-701-BAG-00-00-00</t>
  </si>
  <si>
    <t>0/17:51:26</t>
  </si>
  <si>
    <t>0002420569</t>
  </si>
  <si>
    <t>141</t>
  </si>
  <si>
    <t>0/10:42:51</t>
  </si>
  <si>
    <t>0002372479</t>
  </si>
  <si>
    <t>22106794</t>
  </si>
  <si>
    <t>ER007485-7G1A4725-SBG-00-00-00</t>
  </si>
  <si>
    <t>0002449489</t>
  </si>
  <si>
    <t>22040532</t>
  </si>
  <si>
    <t>EXL5689-YW7E087-BAG-00-00-00</t>
  </si>
  <si>
    <t>0002455186</t>
  </si>
  <si>
    <t>YW7E087</t>
  </si>
  <si>
    <t>22035829</t>
  </si>
  <si>
    <t>DFL36-BK1A661-SBG-00-00-00</t>
  </si>
  <si>
    <t>0002455095</t>
  </si>
  <si>
    <t>DFL36</t>
  </si>
  <si>
    <t>BK1A661</t>
  </si>
  <si>
    <t>0002453449</t>
  </si>
  <si>
    <t>22041363</t>
  </si>
  <si>
    <t>UFL36S-BKNAT-SBG-00-00-00</t>
  </si>
  <si>
    <t>UFL36S</t>
  </si>
  <si>
    <t>22032147</t>
  </si>
  <si>
    <t>D351-701-SBG-00-00-00</t>
  </si>
  <si>
    <t>0002433987</t>
  </si>
  <si>
    <t>D351</t>
  </si>
  <si>
    <t>22029497</t>
  </si>
  <si>
    <t>MD000ISC-BKNAT-SBG-00-00-00</t>
  </si>
  <si>
    <t>0002439320</t>
  </si>
  <si>
    <t>MD000ISC</t>
  </si>
  <si>
    <t>22106886</t>
  </si>
  <si>
    <t>ER007485-6G7A4244-SBG-00-00-00</t>
  </si>
  <si>
    <t>0002456362</t>
  </si>
  <si>
    <t>6G7A4244</t>
  </si>
  <si>
    <t>0/01:04:17</t>
  </si>
  <si>
    <t>0002456597</t>
  </si>
  <si>
    <t>22021688</t>
  </si>
  <si>
    <t>500-131-BAG-00-00-00</t>
  </si>
  <si>
    <t>0002424115</t>
  </si>
  <si>
    <t>0/02:51:26</t>
  </si>
  <si>
    <t>0002456356</t>
  </si>
  <si>
    <t>22040194</t>
  </si>
  <si>
    <t>DFL22-NC-BAG-00-00-00</t>
  </si>
  <si>
    <t>PC1T</t>
  </si>
  <si>
    <t>0002459632</t>
  </si>
  <si>
    <t>DFL22</t>
  </si>
  <si>
    <t>0002450326</t>
  </si>
  <si>
    <t>0002462886</t>
  </si>
  <si>
    <t>0002445254</t>
  </si>
  <si>
    <t>0002448855</t>
  </si>
  <si>
    <t>0002350637</t>
  </si>
  <si>
    <t>0002462851</t>
  </si>
  <si>
    <t>0/08:55:43</t>
  </si>
  <si>
    <t>0002412764</t>
  </si>
  <si>
    <t>22031872</t>
  </si>
  <si>
    <t>DE0029E-GY3A643-SBG-00-00-00</t>
  </si>
  <si>
    <t>DE0029E</t>
  </si>
  <si>
    <t>GY3A643</t>
  </si>
  <si>
    <t>0002411576</t>
  </si>
  <si>
    <t>22035801</t>
  </si>
  <si>
    <t>DD0009PC-BKNAT-BAG-00-00-00</t>
  </si>
  <si>
    <t>0002427854</t>
  </si>
  <si>
    <t>DD0009PC</t>
  </si>
  <si>
    <t>0002461559</t>
  </si>
  <si>
    <t>0002461539</t>
  </si>
  <si>
    <t>0002456378</t>
  </si>
  <si>
    <t>22035924</t>
  </si>
  <si>
    <t>DX10311-701-SBG-00-00-00</t>
  </si>
  <si>
    <t>0002445461</t>
  </si>
  <si>
    <t>DX10311</t>
  </si>
  <si>
    <t>0002458053</t>
  </si>
  <si>
    <t>22031126</t>
  </si>
  <si>
    <t>3412ECR-GN7D101-BAG-00-00-00</t>
  </si>
  <si>
    <t>LEXF3LO</t>
  </si>
  <si>
    <t>0002462908</t>
  </si>
  <si>
    <t>GN7D101</t>
  </si>
  <si>
    <t>22029141</t>
  </si>
  <si>
    <t>500ECR-BK1D152-BAG-00-00-00</t>
  </si>
  <si>
    <t>0002460104</t>
  </si>
  <si>
    <t>500ECR</t>
  </si>
  <si>
    <t>BK1D152</t>
  </si>
  <si>
    <t>0/09:25:43</t>
  </si>
  <si>
    <t>0002450434</t>
  </si>
  <si>
    <t>22040935</t>
  </si>
  <si>
    <t>RFP36-BK1A856-SBG-00-00-00</t>
  </si>
  <si>
    <t>0002440686</t>
  </si>
  <si>
    <t>RFP36</t>
  </si>
  <si>
    <t>BK1A856</t>
  </si>
  <si>
    <t>4503014604</t>
  </si>
  <si>
    <t>0/16:04:17</t>
  </si>
  <si>
    <t>0002429537</t>
  </si>
  <si>
    <t>0002347212</t>
  </si>
  <si>
    <t>22020798</t>
  </si>
  <si>
    <t>RB004-GYMDNAT-FBG-00-00-00</t>
  </si>
  <si>
    <t>0002430165</t>
  </si>
  <si>
    <t>RB004</t>
  </si>
  <si>
    <t>0002429717</t>
  </si>
  <si>
    <t>0002456899</t>
  </si>
  <si>
    <t>WNANEX010_PC52_008</t>
  </si>
  <si>
    <t>22035937</t>
  </si>
  <si>
    <t>DX11328-NC-BPK-00-00-00</t>
  </si>
  <si>
    <t>1/22:09:14</t>
  </si>
  <si>
    <t>0002330563</t>
  </si>
  <si>
    <t>DX11328</t>
  </si>
  <si>
    <t>BPK</t>
  </si>
  <si>
    <t>1/21:13:51</t>
  </si>
  <si>
    <t>0002330560</t>
  </si>
  <si>
    <t>22039467</t>
  </si>
  <si>
    <t>DX89406-BKNAT-BPK-00-00-00</t>
  </si>
  <si>
    <t>DX89406</t>
  </si>
  <si>
    <t>22082251</t>
  </si>
  <si>
    <t>DX03550-BKNAT-BAG-00-00-00</t>
  </si>
  <si>
    <t>0/01:36:55</t>
  </si>
  <si>
    <t>4503060253</t>
  </si>
  <si>
    <t>DX03550</t>
  </si>
  <si>
    <t>1/06:46:09</t>
  </si>
  <si>
    <t>22035518</t>
  </si>
  <si>
    <t>DX02437-NC-BAG-00-00-00</t>
  </si>
  <si>
    <t>0/22:36:55</t>
  </si>
  <si>
    <t>0002463321</t>
  </si>
  <si>
    <t>DX02437</t>
  </si>
  <si>
    <t>0002330556</t>
  </si>
  <si>
    <t>WNANEX011_PC52_008</t>
  </si>
  <si>
    <t>22082385</t>
  </si>
  <si>
    <t>DX11355-BKNAT-FBG-00-00-00</t>
  </si>
  <si>
    <t>DX11355</t>
  </si>
  <si>
    <t>0/20:23:32</t>
  </si>
  <si>
    <t>22021723</t>
  </si>
  <si>
    <t>3412ECR-131-BAG-00-00-00</t>
  </si>
  <si>
    <t>0/07:08:14</t>
  </si>
  <si>
    <t>22037885</t>
  </si>
  <si>
    <t>3413R-131-SBG-00-00-00</t>
  </si>
  <si>
    <t>0/10:10:14</t>
  </si>
  <si>
    <t>0/20:35:18</t>
  </si>
  <si>
    <t>0002454982</t>
  </si>
  <si>
    <t>0/19:36:28</t>
  </si>
  <si>
    <t>0/10:17:39</t>
  </si>
  <si>
    <t>0002448523</t>
  </si>
  <si>
    <t>0002448481</t>
  </si>
  <si>
    <t>0002448452</t>
  </si>
  <si>
    <t>22082480</t>
  </si>
  <si>
    <t>NX10302-BKNAT-FBG-00-00-00</t>
  </si>
  <si>
    <t>0/01:57:39</t>
  </si>
  <si>
    <t>NX10302</t>
  </si>
  <si>
    <t>0002453204</t>
  </si>
  <si>
    <t>0002417845</t>
  </si>
  <si>
    <t>22029389</t>
  </si>
  <si>
    <t>EXL5689-WH7B221-BAG-00-00-00</t>
  </si>
  <si>
    <t>0002463414</t>
  </si>
  <si>
    <t>WH7B221</t>
  </si>
  <si>
    <t>22038645</t>
  </si>
  <si>
    <t>C2100-96235-BAG-00-00-00</t>
  </si>
  <si>
    <t>0002456831</t>
  </si>
  <si>
    <t>C2100</t>
  </si>
  <si>
    <t>96235</t>
  </si>
  <si>
    <t>0002345051</t>
  </si>
  <si>
    <t>0002436499</t>
  </si>
  <si>
    <t>22030854</t>
  </si>
  <si>
    <t>223R-WH9G354-BAG-00-00-00</t>
  </si>
  <si>
    <t>0/05:05:53</t>
  </si>
  <si>
    <t>0002458265</t>
  </si>
  <si>
    <t>WH9G354</t>
  </si>
  <si>
    <t>0002443913</t>
  </si>
  <si>
    <t>0002448429</t>
  </si>
  <si>
    <t>WNANEX012_PC52_008</t>
  </si>
  <si>
    <t>299905015</t>
  </si>
  <si>
    <t>DF002PSI-BK1066</t>
  </si>
  <si>
    <t>DF002PSI</t>
  </si>
  <si>
    <t>22017374</t>
  </si>
  <si>
    <t>EXL4419-739-BAG-00-00-00</t>
  </si>
  <si>
    <t>22102086</t>
  </si>
  <si>
    <t>ER007527-7G1A1794-BAG-00-00-00</t>
  </si>
  <si>
    <t>ER007527</t>
  </si>
  <si>
    <t>7G1A1794</t>
  </si>
  <si>
    <t>22019379</t>
  </si>
  <si>
    <t>420SE0-BK1066-BAG-00-00-00</t>
  </si>
  <si>
    <t>22019996</t>
  </si>
  <si>
    <t>EXL5689-7T1D069-BAG-00-00-00</t>
  </si>
  <si>
    <t>7T1D069</t>
  </si>
  <si>
    <t>0002448525</t>
  </si>
  <si>
    <t>22033632</t>
  </si>
  <si>
    <t>3413R-739-SBG-00-00-00</t>
  </si>
  <si>
    <t>0002448412</t>
  </si>
  <si>
    <t>22031201</t>
  </si>
  <si>
    <t>420SE0J-7001-BAG-00-00-00</t>
  </si>
  <si>
    <t>0002418968</t>
  </si>
  <si>
    <t>420SE0J</t>
  </si>
  <si>
    <t>0002454957</t>
  </si>
  <si>
    <t>22035701</t>
  </si>
  <si>
    <t>CY6012-7M1D064-BAG-00-00-00</t>
  </si>
  <si>
    <t>0002446751</t>
  </si>
  <si>
    <t>7M1D064</t>
  </si>
  <si>
    <t>0002448814</t>
  </si>
  <si>
    <t>22029018</t>
  </si>
  <si>
    <t>945-7P1D052-BAG-00-00-00</t>
  </si>
  <si>
    <t>0002453226</t>
  </si>
  <si>
    <t>7P1D052</t>
  </si>
  <si>
    <t>0002332431</t>
  </si>
  <si>
    <t>0002271586</t>
  </si>
  <si>
    <t>0002449087</t>
  </si>
  <si>
    <t>0/03:03:32</t>
  </si>
  <si>
    <t>0002461316</t>
  </si>
  <si>
    <t>0002375535</t>
  </si>
  <si>
    <t>22031880</t>
  </si>
  <si>
    <t>DF004ER-GY1A569-BAG-00-00-00</t>
  </si>
  <si>
    <t>0002461645</t>
  </si>
  <si>
    <t>DF004ER</t>
  </si>
  <si>
    <t>GY1A569</t>
  </si>
  <si>
    <t>0002461546</t>
  </si>
  <si>
    <t>WNANEX013_PC52_008</t>
  </si>
  <si>
    <t>22036814</t>
  </si>
  <si>
    <t>ML9696-701-SSS-00-00-00</t>
  </si>
  <si>
    <t>0/17:10:00</t>
  </si>
  <si>
    <t>ML9696</t>
  </si>
  <si>
    <t>0/20:11:46</t>
  </si>
  <si>
    <t>22038237</t>
  </si>
  <si>
    <t>923-BK1261-BAG-00-00-00</t>
  </si>
  <si>
    <t>923</t>
  </si>
  <si>
    <t>BK1261</t>
  </si>
  <si>
    <t>0002459627</t>
  </si>
  <si>
    <t>22037399</t>
  </si>
  <si>
    <t>RCM6134-BK1G004-BAG-00-00-00</t>
  </si>
  <si>
    <t>0/05:02:56</t>
  </si>
  <si>
    <t>RCM6134</t>
  </si>
  <si>
    <t>BK1G004</t>
  </si>
  <si>
    <t>0002442352</t>
  </si>
  <si>
    <t>22084110</t>
  </si>
  <si>
    <t>RCM6224-7M1D181-BAG-00-00-00</t>
  </si>
  <si>
    <t>0/10:05:53</t>
  </si>
  <si>
    <t>4503076265</t>
  </si>
  <si>
    <t>RCM6224</t>
  </si>
  <si>
    <t>7M1D181</t>
  </si>
  <si>
    <t>0002453253</t>
  </si>
  <si>
    <t>4503076382</t>
  </si>
  <si>
    <t>0/16:40:00</t>
  </si>
  <si>
    <t>0/02:16:19</t>
  </si>
  <si>
    <t>22036290</t>
  </si>
  <si>
    <t>EXL9134-7T3D020-BAG-00-00-00</t>
  </si>
  <si>
    <t>0002456935</t>
  </si>
  <si>
    <t>7T3D020</t>
  </si>
  <si>
    <t>22039700</t>
  </si>
  <si>
    <t>C6600-7T1D193-BAG-00-00-00</t>
  </si>
  <si>
    <t>0002453850</t>
  </si>
  <si>
    <t>22034807</t>
  </si>
  <si>
    <t>BY2710X-BK1A068-BAG-00-00-00</t>
  </si>
  <si>
    <t>0002443081</t>
  </si>
  <si>
    <t>22033024</t>
  </si>
  <si>
    <t>XCM830-76701-BAG-00-00-00</t>
  </si>
  <si>
    <t>0002336317</t>
  </si>
  <si>
    <t>XCM830</t>
  </si>
  <si>
    <t>0002430127</t>
  </si>
  <si>
    <t>0002456441</t>
  </si>
  <si>
    <t>0002362136</t>
  </si>
  <si>
    <t>0002340237</t>
  </si>
  <si>
    <t>0002255398</t>
  </si>
  <si>
    <t>0002336323</t>
  </si>
  <si>
    <t>22040062</t>
  </si>
  <si>
    <t>CX7240-BK2E064-BAG-00-00-00</t>
  </si>
  <si>
    <t>0002458799</t>
  </si>
  <si>
    <t>BK2E064</t>
  </si>
  <si>
    <t>0002362142</t>
  </si>
  <si>
    <t>22056197</t>
  </si>
  <si>
    <t>CP8320-76701-BAG-00-00-00</t>
  </si>
  <si>
    <t>0002350847</t>
  </si>
  <si>
    <t>CP8320</t>
  </si>
  <si>
    <t>0002336329</t>
  </si>
  <si>
    <t>0002336340</t>
  </si>
  <si>
    <t>WNANEX014_PC52_008</t>
  </si>
  <si>
    <t>ML0992</t>
  </si>
  <si>
    <t>22022095</t>
  </si>
  <si>
    <t>955-701-BAG-00-00-00</t>
  </si>
  <si>
    <t>955</t>
  </si>
  <si>
    <t>0002229117</t>
  </si>
  <si>
    <t>0/15:08:49</t>
  </si>
  <si>
    <t>0/04:56:53</t>
  </si>
  <si>
    <t>22039249</t>
  </si>
  <si>
    <t>CX7240-BK1C340-BAG-00-00-00</t>
  </si>
  <si>
    <t>0/13:53:05</t>
  </si>
  <si>
    <t>0002444738</t>
  </si>
  <si>
    <t>0002446690</t>
  </si>
  <si>
    <t>22036889</t>
  </si>
  <si>
    <t>NX03583-BK8229-BAG-00-00-00</t>
  </si>
  <si>
    <t>0002422193</t>
  </si>
  <si>
    <t>NX03583</t>
  </si>
  <si>
    <t>BK8229</t>
  </si>
  <si>
    <t>22028013</t>
  </si>
  <si>
    <t>C6600-BK1B088-BAG-00-00-00</t>
  </si>
  <si>
    <t>0/04:51:11</t>
  </si>
  <si>
    <t>0002436348</t>
  </si>
  <si>
    <t>BK1B088</t>
  </si>
  <si>
    <t>22040925</t>
  </si>
  <si>
    <t>RCY6214-7M1D182-BAG-00-00-00</t>
  </si>
  <si>
    <t>0002337758</t>
  </si>
  <si>
    <t>7M1D182</t>
  </si>
  <si>
    <t>0002314467</t>
  </si>
  <si>
    <t>22029411</t>
  </si>
  <si>
    <t>EXL9330S-GY2G328-BAG-00-00-00</t>
  </si>
  <si>
    <t>0/02:01:11</t>
  </si>
  <si>
    <t>0002459270</t>
  </si>
  <si>
    <t>EXL9330S</t>
  </si>
  <si>
    <t>GY2G328</t>
  </si>
  <si>
    <t>22035127</t>
  </si>
  <si>
    <t>C6200-BK1B088-BAG-00-00-00</t>
  </si>
  <si>
    <t>0002458227</t>
  </si>
  <si>
    <t>0002453489</t>
  </si>
  <si>
    <t>0002459660</t>
  </si>
  <si>
    <t>0002253294</t>
  </si>
  <si>
    <t>0002400509</t>
  </si>
  <si>
    <t>22029986</t>
  </si>
  <si>
    <t>945-7T2D216-BAG-00-00-00</t>
  </si>
  <si>
    <t>0/06:51:46</t>
  </si>
  <si>
    <t>0002402922</t>
  </si>
  <si>
    <t>0002462838</t>
  </si>
  <si>
    <t>0002434093</t>
  </si>
  <si>
    <t>0002253309</t>
  </si>
  <si>
    <t>0002402818</t>
  </si>
  <si>
    <t>0002253286</t>
  </si>
  <si>
    <t>0002253377</t>
  </si>
  <si>
    <t>0002409825</t>
  </si>
  <si>
    <t>0002402920</t>
  </si>
  <si>
    <t>0002253384</t>
  </si>
  <si>
    <t>WNANEX015_PC52_008</t>
  </si>
  <si>
    <t>NA8A005T</t>
  </si>
  <si>
    <t>22065367</t>
  </si>
  <si>
    <t>925U-7T6D243-BAG-00-00-00</t>
  </si>
  <si>
    <t>0002440787</t>
  </si>
  <si>
    <t>7T6D243</t>
  </si>
  <si>
    <t>0/20:04:11</t>
  </si>
  <si>
    <t>0002420862</t>
  </si>
  <si>
    <t>22098535</t>
  </si>
  <si>
    <t>945-7T9A0590-BAG-00-00-00</t>
  </si>
  <si>
    <t>0002440572</t>
  </si>
  <si>
    <t>7T9A0590</t>
  </si>
  <si>
    <t>22088360</t>
  </si>
  <si>
    <t>357TF-1001-SSS-00-00-00</t>
  </si>
  <si>
    <t>357TF</t>
  </si>
  <si>
    <t>0002440577</t>
  </si>
  <si>
    <t>22072623</t>
  </si>
  <si>
    <t>923X-8T9D443-BAG-00-00-00</t>
  </si>
  <si>
    <t>0002456797</t>
  </si>
  <si>
    <t>923X</t>
  </si>
  <si>
    <t>8T9D443</t>
  </si>
  <si>
    <t>4/20:11:45</t>
  </si>
  <si>
    <t>22029924</t>
  </si>
  <si>
    <t>C2100-86159-BAG-00-00-00</t>
  </si>
  <si>
    <t>0002386404</t>
  </si>
  <si>
    <t>86159</t>
  </si>
  <si>
    <t>22018287</t>
  </si>
  <si>
    <t>943-NC-BAG-00-00-00</t>
  </si>
  <si>
    <t>0002456857</t>
  </si>
  <si>
    <t>22067604</t>
  </si>
  <si>
    <t>EXL9330S-WH9G198-BAG-00-00-00</t>
  </si>
  <si>
    <t>0002459272</t>
  </si>
  <si>
    <t>WH9G198</t>
  </si>
  <si>
    <t>0002440685</t>
  </si>
  <si>
    <t>0002</t>
  </si>
  <si>
    <t>0002436434</t>
  </si>
  <si>
    <t>0002445104</t>
  </si>
  <si>
    <t>0002384089</t>
  </si>
  <si>
    <t>0002459701</t>
  </si>
  <si>
    <t>0/09:59:49</t>
  </si>
  <si>
    <t>0002338349</t>
  </si>
  <si>
    <t>0002449040</t>
  </si>
  <si>
    <t>299901533</t>
  </si>
  <si>
    <t>945-8T8A1183</t>
  </si>
  <si>
    <t>0002245411</t>
  </si>
  <si>
    <t>8T8A1183</t>
  </si>
  <si>
    <t>22034381</t>
  </si>
  <si>
    <t>923-WH8168-BAG-00-00-00</t>
  </si>
  <si>
    <t>0002459957</t>
  </si>
  <si>
    <t>WH8168</t>
  </si>
  <si>
    <t>0002459211</t>
  </si>
  <si>
    <t>0002459971</t>
  </si>
  <si>
    <t>0002458031</t>
  </si>
  <si>
    <t>WNANEX016_PC52_008</t>
  </si>
  <si>
    <t>22040805</t>
  </si>
  <si>
    <t>ML9696-NC-BPK-00-00-00</t>
  </si>
  <si>
    <t>LEXF1T</t>
  </si>
  <si>
    <t>0002430198</t>
  </si>
  <si>
    <t>22019972</t>
  </si>
  <si>
    <t>EXL1132T-NA8A005T-BAG-00-00-00</t>
  </si>
  <si>
    <t>0002450364</t>
  </si>
  <si>
    <t>22035040</t>
  </si>
  <si>
    <t>CFR9111-GY2G414T-BAG-00-00-00</t>
  </si>
  <si>
    <t>0002443450</t>
  </si>
  <si>
    <t>CFR9111</t>
  </si>
  <si>
    <t>GY2G414T</t>
  </si>
  <si>
    <t>22020027</t>
  </si>
  <si>
    <t>EXL9414T-7A1D064S-BAG-00-00-00</t>
  </si>
  <si>
    <t>0/08:49:25</t>
  </si>
  <si>
    <t>0002443691</t>
  </si>
  <si>
    <t>7A1D064S</t>
  </si>
  <si>
    <t>0002390620</t>
  </si>
  <si>
    <t>22021303</t>
  </si>
  <si>
    <t>123R-WH7D277X-BAG-00-00-00</t>
  </si>
  <si>
    <t>0002396018</t>
  </si>
  <si>
    <t>WH7D277X</t>
  </si>
  <si>
    <t>22028049</t>
  </si>
  <si>
    <t>LS2-4135-BAG-00-00-00</t>
  </si>
  <si>
    <t>0002390637</t>
  </si>
  <si>
    <t>4135</t>
  </si>
  <si>
    <t>22039735</t>
  </si>
  <si>
    <t>EXL1414T-7R1D165T-BAG-00-00-00</t>
  </si>
  <si>
    <t>0002452093</t>
  </si>
  <si>
    <t>7R1D165T</t>
  </si>
  <si>
    <t>22067599</t>
  </si>
  <si>
    <t>EXL9330-7T3D226-BAG-00-00-00</t>
  </si>
  <si>
    <t>0002457997</t>
  </si>
  <si>
    <t>7T3D226</t>
  </si>
  <si>
    <t>22067691</t>
  </si>
  <si>
    <t>GLX143-GN4G119T-BAG-00-00-00</t>
  </si>
  <si>
    <t>0002335619</t>
  </si>
  <si>
    <t>GLX143</t>
  </si>
  <si>
    <t>GN4G119T</t>
  </si>
  <si>
    <t>299901071</t>
  </si>
  <si>
    <t>HF1110-7G7A0963T</t>
  </si>
  <si>
    <t>0002342196</t>
  </si>
  <si>
    <t>7G7A0963T</t>
  </si>
  <si>
    <t>22035041</t>
  </si>
  <si>
    <t>CFR9111-NA8G001T-BAG-00-00-00</t>
  </si>
  <si>
    <t>0002461359</t>
  </si>
  <si>
    <t>NA8G001T</t>
  </si>
  <si>
    <t>22089053</t>
  </si>
  <si>
    <t>EXL9330-8T7D129-BAG-00-00-00</t>
  </si>
  <si>
    <t>0002461333</t>
  </si>
  <si>
    <t>8T7D129</t>
  </si>
  <si>
    <t>299903954</t>
  </si>
  <si>
    <t>CFR9111-7M6A3544T</t>
  </si>
  <si>
    <t>LEX9DT</t>
  </si>
  <si>
    <t>0002463529</t>
  </si>
  <si>
    <t>7M6A3544T</t>
  </si>
  <si>
    <t>22098978</t>
  </si>
  <si>
    <t>EXL9414TRC-7A1A0805IA-BAG-00-00-00</t>
  </si>
  <si>
    <t>0002453277</t>
  </si>
  <si>
    <t>EXL9414TRC</t>
  </si>
  <si>
    <t>7A1A0805IA</t>
  </si>
  <si>
    <t>22039817</t>
  </si>
  <si>
    <t>C6600-GY8889-BAG-00-00-00</t>
  </si>
  <si>
    <t>0002442831</t>
  </si>
  <si>
    <t>GY8889</t>
  </si>
  <si>
    <t>22038291</t>
  </si>
  <si>
    <t>925U-WH9G195-BAG-00-00-00</t>
  </si>
  <si>
    <t>0/05:01:26</t>
  </si>
  <si>
    <t>0002447361</t>
  </si>
  <si>
    <t>WH9G195</t>
  </si>
  <si>
    <t>22044918</t>
  </si>
  <si>
    <t>241R-WH8F021-BAG-00-00-00</t>
  </si>
  <si>
    <t>0002440791</t>
  </si>
  <si>
    <t>WH8F021</t>
  </si>
  <si>
    <t>22030867</t>
  </si>
  <si>
    <t>241R-GN8B014T-BAG-00-00-00</t>
  </si>
  <si>
    <t>LEXFR3LT</t>
  </si>
  <si>
    <t>0002422656</t>
  </si>
  <si>
    <t>GN8B014T</t>
  </si>
  <si>
    <t>22039640</t>
  </si>
  <si>
    <t>C6200-WH8A231-BAG-00-00-00</t>
  </si>
  <si>
    <t>0002462776</t>
  </si>
  <si>
    <t>WH8A231</t>
  </si>
  <si>
    <t>0002335623</t>
  </si>
  <si>
    <t>0002459606</t>
  </si>
  <si>
    <t>0002335624</t>
  </si>
  <si>
    <t>22033566</t>
  </si>
  <si>
    <t>143R-GY7B246-BAG-00-00-00</t>
  </si>
  <si>
    <t>0002461334</t>
  </si>
  <si>
    <t>GY7B246</t>
  </si>
  <si>
    <t>0002335625</t>
  </si>
  <si>
    <t>0002335627</t>
  </si>
  <si>
    <t>22040304</t>
  </si>
  <si>
    <t>HFD1034-NA9E109T-BAG-00-00-00</t>
  </si>
  <si>
    <t>0002422932</t>
  </si>
  <si>
    <t>HFD1034</t>
  </si>
  <si>
    <t>0002422929</t>
  </si>
  <si>
    <t>WNANEX021_PC52_008</t>
  </si>
  <si>
    <t>22030544</t>
  </si>
  <si>
    <t>LUX2114G-WH4G039X-BAG-00-00-00</t>
  </si>
  <si>
    <t>LUX2114G</t>
  </si>
  <si>
    <t>WH4G039X</t>
  </si>
  <si>
    <t>22036948</t>
  </si>
  <si>
    <t>MC1300-100-SSS-00-00-00</t>
  </si>
  <si>
    <t>0/19:11:11</t>
  </si>
  <si>
    <t>0002335851</t>
  </si>
  <si>
    <t>0/09:03:46</t>
  </si>
  <si>
    <t>0002450316</t>
  </si>
  <si>
    <t>22018739</t>
  </si>
  <si>
    <t>MC1300-100-BAG-00-00-00</t>
  </si>
  <si>
    <t>0002316776</t>
  </si>
  <si>
    <t>0002286832</t>
  </si>
  <si>
    <t>0002370602</t>
  </si>
  <si>
    <t>0/14:42:21</t>
  </si>
  <si>
    <t>0002382380</t>
  </si>
  <si>
    <t>22020466</t>
  </si>
  <si>
    <t>LUX2114G-WH8B508X-BAG-00-00-00</t>
  </si>
  <si>
    <t>0002382382</t>
  </si>
  <si>
    <t>WH8B508X</t>
  </si>
  <si>
    <t>22023831</t>
  </si>
  <si>
    <t>LUX2114G-WH5B140X-BAG-00-00-00</t>
  </si>
  <si>
    <t>0002382378</t>
  </si>
  <si>
    <t>WH5B140X</t>
  </si>
  <si>
    <t>0002398170</t>
  </si>
  <si>
    <t>0002335634</t>
  </si>
  <si>
    <t>0002433925</t>
  </si>
  <si>
    <t>0002335860</t>
  </si>
  <si>
    <t>0/00:58:49</t>
  </si>
  <si>
    <t>0002444633</t>
  </si>
  <si>
    <t>0002442730</t>
  </si>
  <si>
    <t>22086468</t>
  </si>
  <si>
    <t>LG9000-GY8H022-BAG-00-00-00</t>
  </si>
  <si>
    <t>0002449037</t>
  </si>
  <si>
    <t>GY8H022</t>
  </si>
  <si>
    <t>22032676</t>
  </si>
  <si>
    <t>LUX2114G-WH8G625X-BAG-00-00-00</t>
  </si>
  <si>
    <t>0002424349</t>
  </si>
  <si>
    <t>WH8G625X</t>
  </si>
  <si>
    <t>22103046</t>
  </si>
  <si>
    <t>EXL1414T-1A8A3284T-BAG-00-00-00</t>
  </si>
  <si>
    <t>1A8A3284T</t>
  </si>
  <si>
    <t>22032674</t>
  </si>
  <si>
    <t>LUX2114-WH8E508X-BAG-00-00-00</t>
  </si>
  <si>
    <t>LEXOQGDX</t>
  </si>
  <si>
    <t>0002462910</t>
  </si>
  <si>
    <t>LUX2114</t>
  </si>
  <si>
    <t>WH8E508X</t>
  </si>
  <si>
    <t>0002424352</t>
  </si>
  <si>
    <t>0002335635</t>
  </si>
  <si>
    <t>0002216878</t>
  </si>
  <si>
    <t>0002253111</t>
  </si>
  <si>
    <t>0002458046</t>
  </si>
  <si>
    <t>0002343955</t>
  </si>
  <si>
    <t>WNANEX022_PC52_008</t>
  </si>
  <si>
    <t>22065959</t>
  </si>
  <si>
    <t>ML9696-7A8D075-SSS-00-00-00</t>
  </si>
  <si>
    <t>7A8D075</t>
  </si>
  <si>
    <t>0/03:32:04</t>
  </si>
  <si>
    <t>0002232006</t>
  </si>
  <si>
    <t>22023847</t>
  </si>
  <si>
    <t>LUX9616G-WH8A491X-BAG-00-00-00</t>
  </si>
  <si>
    <t>0/10:47:04</t>
  </si>
  <si>
    <t>WH8A491X</t>
  </si>
  <si>
    <t>C3650</t>
  </si>
  <si>
    <t>0/18:10:35</t>
  </si>
  <si>
    <t>0002448403</t>
  </si>
  <si>
    <t>22038198</t>
  </si>
  <si>
    <t>141R-GY6A427-SSS-00-00-00</t>
  </si>
  <si>
    <t>0002356286</t>
  </si>
  <si>
    <t>22038463</t>
  </si>
  <si>
    <t>241R-WH8E494-BAG-00-00-00</t>
  </si>
  <si>
    <t>0002342257</t>
  </si>
  <si>
    <t>WH8E494</t>
  </si>
  <si>
    <t>0002380971</t>
  </si>
  <si>
    <t>0/09:05:18</t>
  </si>
  <si>
    <t>0002305459</t>
  </si>
  <si>
    <t>22030876</t>
  </si>
  <si>
    <t>241R-WH6D069-BAG-00-00-00</t>
  </si>
  <si>
    <t>0002406066</t>
  </si>
  <si>
    <t>WH6D069</t>
  </si>
  <si>
    <t>22033469</t>
  </si>
  <si>
    <t>241R-BR7D001-BAG-00-00-00</t>
  </si>
  <si>
    <t>0002406093</t>
  </si>
  <si>
    <t>BR7D001</t>
  </si>
  <si>
    <t>22104091</t>
  </si>
  <si>
    <t>EXL1414A-8A9D090-BAG-00-01-00</t>
  </si>
  <si>
    <t>0002436812</t>
  </si>
  <si>
    <t>0002437119</t>
  </si>
  <si>
    <t>22037463</t>
  </si>
  <si>
    <t>121R-7R7D031-SSS-00-00-00</t>
  </si>
  <si>
    <t>0002345354</t>
  </si>
  <si>
    <t>7R7D031</t>
  </si>
  <si>
    <t>22033484</t>
  </si>
  <si>
    <t>241R-GY8C122-BAG-00-00-00</t>
  </si>
  <si>
    <t>0002420487</t>
  </si>
  <si>
    <t>GY8C122</t>
  </si>
  <si>
    <t>0002348700</t>
  </si>
  <si>
    <t>22040924</t>
  </si>
  <si>
    <t>RCY6113-GY7G039-BAG-00-00-00</t>
  </si>
  <si>
    <t>4503058642</t>
  </si>
  <si>
    <t>RCY6113</t>
  </si>
  <si>
    <t>GY7G039</t>
  </si>
  <si>
    <t>0002420492</t>
  </si>
  <si>
    <t>0002392394</t>
  </si>
  <si>
    <t>0002425861</t>
  </si>
  <si>
    <t>0002439166</t>
  </si>
  <si>
    <t>0002290272</t>
  </si>
  <si>
    <t>0002253118</t>
  </si>
  <si>
    <t>0002345059</t>
  </si>
  <si>
    <t>0002459704</t>
  </si>
  <si>
    <t>22028312</t>
  </si>
  <si>
    <t>HF1130R-111-BAG-00-00-00</t>
  </si>
  <si>
    <t>0002444776</t>
  </si>
  <si>
    <t>0002462953</t>
  </si>
  <si>
    <t>0002386427</t>
  </si>
  <si>
    <t>0002353882</t>
  </si>
  <si>
    <t>0002432083</t>
  </si>
  <si>
    <t>0002446940</t>
  </si>
  <si>
    <t>0002385201</t>
  </si>
  <si>
    <t>22039937</t>
  </si>
  <si>
    <t>EXL9330-WH9B454-BAG-00-00-00</t>
  </si>
  <si>
    <t>0/06:03:32</t>
  </si>
  <si>
    <t>0002463108</t>
  </si>
  <si>
    <t>WH9B454</t>
  </si>
  <si>
    <t>22023838</t>
  </si>
  <si>
    <t>LUX7630C-NAT-BAG-00-00-00</t>
  </si>
  <si>
    <t>0/03:01:46</t>
  </si>
  <si>
    <t>0002459681</t>
  </si>
  <si>
    <t>LUX7630C</t>
  </si>
  <si>
    <t>NAT</t>
  </si>
  <si>
    <t>WNANEX023_PC52_008</t>
  </si>
  <si>
    <t>0/17:54:47</t>
  </si>
  <si>
    <t>0/15:15:33</t>
  </si>
  <si>
    <t>0/17:23:29</t>
  </si>
  <si>
    <t>22037798</t>
  </si>
  <si>
    <t>XP4034-BK1E598-BAG-00-00-00</t>
  </si>
  <si>
    <t>0/04:20:52</t>
  </si>
  <si>
    <t>GELBL7O</t>
  </si>
  <si>
    <t>0002407531</t>
  </si>
  <si>
    <t>XP4034</t>
  </si>
  <si>
    <t>BK1E598</t>
  </si>
  <si>
    <t>0002335861</t>
  </si>
  <si>
    <t>0002253115</t>
  </si>
  <si>
    <t>0002340225</t>
  </si>
  <si>
    <t>0002156258</t>
  </si>
  <si>
    <t>0002287029</t>
  </si>
  <si>
    <t>22022157</t>
  </si>
  <si>
    <t>920-NC-BAG-00-00-00</t>
  </si>
  <si>
    <t>0/08:41:44</t>
  </si>
  <si>
    <t>0002445180</t>
  </si>
  <si>
    <t>0002335853</t>
  </si>
  <si>
    <t>0002345367</t>
  </si>
  <si>
    <t>0002288289</t>
  </si>
  <si>
    <t>0002253312</t>
  </si>
  <si>
    <t>0002443180</t>
  </si>
  <si>
    <t>22032854</t>
  </si>
  <si>
    <t>XP4034-BK1E477-BAG-00-00-00</t>
  </si>
  <si>
    <t>0/01:47:29</t>
  </si>
  <si>
    <t>0002459601</t>
  </si>
  <si>
    <t>BK1E477</t>
  </si>
  <si>
    <t>0002335873</t>
  </si>
  <si>
    <t>0002335854</t>
  </si>
  <si>
    <t>0002255401</t>
  </si>
  <si>
    <t>0002253343</t>
  </si>
  <si>
    <t>4503059091</t>
  </si>
  <si>
    <t>22039117</t>
  </si>
  <si>
    <t>940-GY7B246-BAG-00-00-00</t>
  </si>
  <si>
    <t>0/04:28:42</t>
  </si>
  <si>
    <t>0002459794</t>
  </si>
  <si>
    <t>0002370606</t>
  </si>
  <si>
    <t>WNANEX024_PC52_008</t>
  </si>
  <si>
    <t>22019027</t>
  </si>
  <si>
    <t>XP4034-BK1041-BAG-00-00-00</t>
  </si>
  <si>
    <t>0/13:02:37</t>
  </si>
  <si>
    <t>0/08:57:23</t>
  </si>
  <si>
    <t>0002275830</t>
  </si>
  <si>
    <t>22030766</t>
  </si>
  <si>
    <t>143-BK1111-BAG-00-00-00</t>
  </si>
  <si>
    <t>0/08:53:22</t>
  </si>
  <si>
    <t>0002398125</t>
  </si>
  <si>
    <t>143</t>
  </si>
  <si>
    <t>BK1111</t>
  </si>
  <si>
    <t>22017215</t>
  </si>
  <si>
    <t>LG9000-701-BAG-00-00-00</t>
  </si>
  <si>
    <t>0002374072</t>
  </si>
  <si>
    <t>0002335840</t>
  </si>
  <si>
    <t>22021277</t>
  </si>
  <si>
    <t>123-701-BAG-00-00-00</t>
  </si>
  <si>
    <t>0002414900</t>
  </si>
  <si>
    <t>0002275815</t>
  </si>
  <si>
    <t>0002420509</t>
  </si>
  <si>
    <t>22021257</t>
  </si>
  <si>
    <t>121R-701-BAG-00-00-00</t>
  </si>
  <si>
    <t>0001983543</t>
  </si>
  <si>
    <t>0002439249</t>
  </si>
  <si>
    <t>22018724</t>
  </si>
  <si>
    <t>LG9000-BK1044-BAG-00-00-00</t>
  </si>
  <si>
    <t>0002344296</t>
  </si>
  <si>
    <t>BK1044</t>
  </si>
  <si>
    <t>22019030</t>
  </si>
  <si>
    <t>XP4034-GY1E811-BAG-00-00-00</t>
  </si>
  <si>
    <t>0002409544</t>
  </si>
  <si>
    <t>GY1E811</t>
  </si>
  <si>
    <t>0002422219</t>
  </si>
  <si>
    <t>0002431730</t>
  </si>
  <si>
    <t>0002446749</t>
  </si>
  <si>
    <t>0002410081</t>
  </si>
  <si>
    <t>0002367149</t>
  </si>
  <si>
    <t>22036575</t>
  </si>
  <si>
    <t>LG9000-BK1044MX-BAG-00-00-00</t>
  </si>
  <si>
    <t>COY7X</t>
  </si>
  <si>
    <t>0002334026</t>
  </si>
  <si>
    <t>BK1044MX</t>
  </si>
  <si>
    <t>0002422230</t>
  </si>
  <si>
    <t>22028879</t>
  </si>
  <si>
    <t>C1200HF-7001-BBG-00-00-00</t>
  </si>
  <si>
    <t>0/13:26:05</t>
  </si>
  <si>
    <t>0002290547</t>
  </si>
  <si>
    <t>0002431863</t>
  </si>
  <si>
    <t>0/10:26:05</t>
  </si>
  <si>
    <t>0002444628</t>
  </si>
  <si>
    <t>0002445493</t>
  </si>
  <si>
    <t>0002353897</t>
  </si>
  <si>
    <t>0002400961</t>
  </si>
  <si>
    <t>22044899</t>
  </si>
  <si>
    <t>C1200HF-GY1G005-BAG-00-00-00</t>
  </si>
  <si>
    <t>0/05:13:03</t>
  </si>
  <si>
    <t>0002433914</t>
  </si>
  <si>
    <t>GY1G005</t>
  </si>
  <si>
    <t>0002448486</t>
  </si>
  <si>
    <t>0002416401</t>
  </si>
  <si>
    <t>0002424332</t>
  </si>
  <si>
    <t>0002375553</t>
  </si>
  <si>
    <t>0002427373</t>
  </si>
  <si>
    <t>22041179</t>
  </si>
  <si>
    <t>XP4034-GY1E349-BAG-00-00-00</t>
  </si>
  <si>
    <t>0002350887</t>
  </si>
  <si>
    <t>GY1E349</t>
  </si>
  <si>
    <t>0002427371</t>
  </si>
  <si>
    <t>0002424335</t>
  </si>
  <si>
    <t>0002456660</t>
  </si>
  <si>
    <t>0002424337</t>
  </si>
  <si>
    <t>0/07:09:55</t>
  </si>
  <si>
    <t>0002453330</t>
  </si>
  <si>
    <t>0/13:54:47</t>
  </si>
  <si>
    <t>0002336452</t>
  </si>
  <si>
    <t>0002440826</t>
  </si>
  <si>
    <t>0002441158</t>
  </si>
  <si>
    <t>0002424339</t>
  </si>
  <si>
    <t>0002427374</t>
  </si>
  <si>
    <t>0002453681</t>
  </si>
  <si>
    <t>0002424343</t>
  </si>
  <si>
    <t>299901337</t>
  </si>
  <si>
    <t>XP4034-7G1A1101</t>
  </si>
  <si>
    <t>0002440776</t>
  </si>
  <si>
    <t>7G1A1101</t>
  </si>
  <si>
    <t>22041176</t>
  </si>
  <si>
    <t>XP4034-BK1B374-BAG-00-00-00</t>
  </si>
  <si>
    <t>0002354451</t>
  </si>
  <si>
    <t>BK1B374</t>
  </si>
  <si>
    <t>0002427376</t>
  </si>
  <si>
    <t>0002424345</t>
  </si>
  <si>
    <t>0002453696</t>
  </si>
  <si>
    <t>22018726</t>
  </si>
  <si>
    <t>LG9000-GY1C306-BAG-00-00-00</t>
  </si>
  <si>
    <t>0/11:18:16</t>
  </si>
  <si>
    <t>0002407603</t>
  </si>
  <si>
    <t>GY1C306</t>
  </si>
  <si>
    <t>0002441323</t>
  </si>
  <si>
    <t>0/05:22:26</t>
  </si>
  <si>
    <t>0002460183</t>
  </si>
  <si>
    <t>0002453733</t>
  </si>
  <si>
    <t>0002406207</t>
  </si>
  <si>
    <t>22036896</t>
  </si>
  <si>
    <t>NXCY620-BKNAT-BAG-00-00-00</t>
  </si>
  <si>
    <t>0002405760</t>
  </si>
  <si>
    <t>NXCY620</t>
  </si>
  <si>
    <t>0002441224</t>
  </si>
  <si>
    <t>0002453337</t>
  </si>
  <si>
    <t>0002403651</t>
  </si>
  <si>
    <t>0002399172</t>
  </si>
  <si>
    <t>0002441335</t>
  </si>
  <si>
    <t>0002441329</t>
  </si>
  <si>
    <t>0002350915</t>
  </si>
  <si>
    <t>0002403652</t>
  </si>
  <si>
    <t>WNANEX025_PC52_008</t>
  </si>
  <si>
    <t>22030318</t>
  </si>
  <si>
    <t>FXD141R-NA1D001X-BAG-00-00-00</t>
  </si>
  <si>
    <t>0/03:15:00</t>
  </si>
  <si>
    <t>LEX1X</t>
  </si>
  <si>
    <t>0002350608</t>
  </si>
  <si>
    <t>NA1D001X</t>
  </si>
  <si>
    <t>22036130</t>
  </si>
  <si>
    <t>FXD121R-WH6E008X-BAG-00-00-00</t>
  </si>
  <si>
    <t>0002335610</t>
  </si>
  <si>
    <t>WH6E008X</t>
  </si>
  <si>
    <t>22032499</t>
  </si>
  <si>
    <t>FXD123R-WH3C015X-BAG-00-00-00</t>
  </si>
  <si>
    <t>0/04:52:30</t>
  </si>
  <si>
    <t>0002441342</t>
  </si>
  <si>
    <t>FXD123R</t>
  </si>
  <si>
    <t>WH3C015X</t>
  </si>
  <si>
    <t>0/09:45:00</t>
  </si>
  <si>
    <t>0002419700</t>
  </si>
  <si>
    <t>0002409725</t>
  </si>
  <si>
    <t>0002409703</t>
  </si>
  <si>
    <t>0002335611</t>
  </si>
  <si>
    <t>0002409709</t>
  </si>
  <si>
    <t>22023584</t>
  </si>
  <si>
    <t>HFD1810-NA9E108T-BAG-00-00-00</t>
  </si>
  <si>
    <t>HFD1810</t>
  </si>
  <si>
    <t>NA9E108T</t>
  </si>
  <si>
    <t>0/16:15:00</t>
  </si>
  <si>
    <t>22034701</t>
  </si>
  <si>
    <t>9925A-NA1A0036-BAG-00-00-00</t>
  </si>
  <si>
    <t>NA1A0036</t>
  </si>
  <si>
    <t>0/01:30:11</t>
  </si>
  <si>
    <t>0002396931</t>
  </si>
  <si>
    <t>22036943</t>
  </si>
  <si>
    <t>LUX9610-NA9G155T-BAG-00-00-00</t>
  </si>
  <si>
    <t>0002448402</t>
  </si>
  <si>
    <t>LUX9610</t>
  </si>
  <si>
    <t>NA9G155T</t>
  </si>
  <si>
    <t>22097825</t>
  </si>
  <si>
    <t>FXD171R-7T7A1935X-BAG-00-00-00</t>
  </si>
  <si>
    <t>0/00:48:46</t>
  </si>
  <si>
    <t>0002453247</t>
  </si>
  <si>
    <t>7T7A1935X</t>
  </si>
  <si>
    <t>0002389848</t>
  </si>
  <si>
    <t>22036120</t>
  </si>
  <si>
    <t>FXD121R-8A8D016X-BAG-00-00-00</t>
  </si>
  <si>
    <t>0/01:08:16</t>
  </si>
  <si>
    <t>0002443771</t>
  </si>
  <si>
    <t>8A8D016X</t>
  </si>
  <si>
    <t>0/08:07:30</t>
  </si>
  <si>
    <t>0002398060</t>
  </si>
  <si>
    <t>22037448</t>
  </si>
  <si>
    <t>121R-1A9D007T-BAG-00-00-00</t>
  </si>
  <si>
    <t>1A9D007T</t>
  </si>
  <si>
    <t>22030856</t>
  </si>
  <si>
    <t>223S-WH4113-BAG-00-00-00</t>
  </si>
  <si>
    <t>0/00:18:45</t>
  </si>
  <si>
    <t>223S</t>
  </si>
  <si>
    <t>WH4113</t>
  </si>
  <si>
    <t>22060075</t>
  </si>
  <si>
    <t>SLX2471T-NA9E172T-BAG-00-00-00</t>
  </si>
  <si>
    <t>0/01:15:33</t>
  </si>
  <si>
    <t>0002442861</t>
  </si>
  <si>
    <t>NA9E172T</t>
  </si>
  <si>
    <t>0002424325</t>
  </si>
  <si>
    <t>22040730</t>
  </si>
  <si>
    <t>FXD171R-WH7D264X-BAG-00-00-00</t>
  </si>
  <si>
    <t>0/00:31:41</t>
  </si>
  <si>
    <t>WH7D264X</t>
  </si>
  <si>
    <t>22036940</t>
  </si>
  <si>
    <t>LUX9130T-NAT-BAG-00-00-00</t>
  </si>
  <si>
    <t>LUX9130T</t>
  </si>
  <si>
    <t>22017394</t>
  </si>
  <si>
    <t>FXD171R-WH7E306X-BAG-00-00-00</t>
  </si>
  <si>
    <t>0/03:12:33</t>
  </si>
  <si>
    <t>0002457961</t>
  </si>
  <si>
    <t>WH7E306X</t>
  </si>
  <si>
    <t>0002352869</t>
  </si>
  <si>
    <t>22017275</t>
  </si>
  <si>
    <t>143R-WH7D381X-BAG-00-00-00</t>
  </si>
  <si>
    <t>0002385215</t>
  </si>
  <si>
    <t>WH7D381X</t>
  </si>
  <si>
    <t>22038436</t>
  </si>
  <si>
    <t>241R-111N-BAG-00-00-00</t>
  </si>
  <si>
    <t>0002413428</t>
  </si>
  <si>
    <t>22018296</t>
  </si>
  <si>
    <t>950A-116-BAG-00-00-00</t>
  </si>
  <si>
    <t>0/01:33:45</t>
  </si>
  <si>
    <t>0002402552</t>
  </si>
  <si>
    <t>950A</t>
  </si>
  <si>
    <t>22022883</t>
  </si>
  <si>
    <t>EXL1434T-NA8A005T-BAG-00-00-00</t>
  </si>
  <si>
    <t>EXL1434T</t>
  </si>
  <si>
    <t>0/00:29:15</t>
  </si>
  <si>
    <t>0002461930</t>
  </si>
  <si>
    <t>0/01:20:26</t>
  </si>
  <si>
    <t>0002404350</t>
  </si>
  <si>
    <t>0/01:52:30</t>
  </si>
  <si>
    <t>0002414462</t>
  </si>
  <si>
    <t>22023132</t>
  </si>
  <si>
    <t>EXL9330-8T9D111-BAG-00-00-00</t>
  </si>
  <si>
    <t>0/00:46:53</t>
  </si>
  <si>
    <t>0002461690</t>
  </si>
  <si>
    <t>8T9D111</t>
  </si>
  <si>
    <t>0002398294</t>
  </si>
  <si>
    <t>1/07:15:00</t>
  </si>
  <si>
    <t>0002253221</t>
  </si>
  <si>
    <t>22027982</t>
  </si>
  <si>
    <t>141-111-BAG-00-00-00</t>
  </si>
  <si>
    <t>0002430333</t>
  </si>
  <si>
    <t>22024953</t>
  </si>
  <si>
    <t>SLX2471T-NA9E166T-BAG-00-00-00</t>
  </si>
  <si>
    <t>0/02:26:15</t>
  </si>
  <si>
    <t>0002461329</t>
  </si>
  <si>
    <t>NA9E166T</t>
  </si>
  <si>
    <t>22028718</t>
  </si>
  <si>
    <t>CX7240-7T8D710-BAG-00-00-00</t>
  </si>
  <si>
    <t>0002453314</t>
  </si>
  <si>
    <t>7T8D710</t>
  </si>
  <si>
    <t>0002434775</t>
  </si>
  <si>
    <t>22041065</t>
  </si>
  <si>
    <t>LUX9610-111N-BAG-00-00-00</t>
  </si>
  <si>
    <t>0/02:37:02</t>
  </si>
  <si>
    <t>0002422800</t>
  </si>
  <si>
    <t>22017108</t>
  </si>
  <si>
    <t>LUX9612-WH8E508X-BAG-00-00-00</t>
  </si>
  <si>
    <t>0/02:16:30</t>
  </si>
  <si>
    <t>4503020550</t>
  </si>
  <si>
    <t>LUX9612</t>
  </si>
  <si>
    <t>299900761</t>
  </si>
  <si>
    <t>EXL9330-7B8D030</t>
  </si>
  <si>
    <t>0002461866</t>
  </si>
  <si>
    <t>7B8D030</t>
  </si>
  <si>
    <t>0002446880</t>
  </si>
  <si>
    <t>0002427642</t>
  </si>
  <si>
    <t>22040718</t>
  </si>
  <si>
    <t>FXD171R-8A7D022X-BAG-00-00-00</t>
  </si>
  <si>
    <t>0002462868</t>
  </si>
  <si>
    <t>8A7D022X</t>
  </si>
  <si>
    <t>22020473</t>
  </si>
  <si>
    <t>LUX9616G-WH5A140X-BAG-00-00-00</t>
  </si>
  <si>
    <t>0/00:32:49</t>
  </si>
  <si>
    <t>0002456465</t>
  </si>
  <si>
    <t>WH5A140X</t>
  </si>
  <si>
    <t>22028578</t>
  </si>
  <si>
    <t>103-111-BAG-00-00-00</t>
  </si>
  <si>
    <t>0/07:48:45</t>
  </si>
  <si>
    <t>0002375631</t>
  </si>
  <si>
    <t>103</t>
  </si>
  <si>
    <t>22022505</t>
  </si>
  <si>
    <t>C2951-111-BAG-00-00-00</t>
  </si>
  <si>
    <t>0/00:48:45</t>
  </si>
  <si>
    <t>0002459649</t>
  </si>
  <si>
    <t>0/15:37:30</t>
  </si>
  <si>
    <t>0002434959</t>
  </si>
  <si>
    <t>0002198214</t>
  </si>
  <si>
    <t>0/03:07:30</t>
  </si>
  <si>
    <t>0002423664</t>
  </si>
  <si>
    <t>22043871</t>
  </si>
  <si>
    <t>CS9610-WH9G775-BAG-00-00-00</t>
  </si>
  <si>
    <t>0002464394</t>
  </si>
  <si>
    <t>WH9G775</t>
  </si>
  <si>
    <t>22036929</t>
  </si>
  <si>
    <t>LUX2114G-WH4G020X-BAG-00-00-00</t>
  </si>
  <si>
    <t>0/04:41:15</t>
  </si>
  <si>
    <t>0002209340</t>
  </si>
  <si>
    <t>WH4G020X</t>
  </si>
  <si>
    <t>0002389851</t>
  </si>
  <si>
    <t>22023832</t>
  </si>
  <si>
    <t>LUX2114G-WH8B491X-BAG-00-00-00</t>
  </si>
  <si>
    <t>0002457869</t>
  </si>
  <si>
    <t>WH8B491X</t>
  </si>
  <si>
    <t>LEX7X</t>
  </si>
  <si>
    <t>0002459609</t>
  </si>
  <si>
    <t>0002289354</t>
  </si>
  <si>
    <t>22036914</t>
  </si>
  <si>
    <t>LS2-BL8B041T-BAG-00-00-00</t>
  </si>
  <si>
    <t>0/00:19:30</t>
  </si>
  <si>
    <t>LEX2LT</t>
  </si>
  <si>
    <t>0002461424</t>
  </si>
  <si>
    <t>BL8B041T</t>
  </si>
  <si>
    <t>22022183</t>
  </si>
  <si>
    <t>923A-116-BAG-00-00-00</t>
  </si>
  <si>
    <t>0002446772</t>
  </si>
  <si>
    <t>0002458387</t>
  </si>
  <si>
    <t>0002198202</t>
  </si>
  <si>
    <t>0002442925</t>
  </si>
  <si>
    <t>22028318</t>
  </si>
  <si>
    <t>LUX7636C-WH5E143X-BAG-00-00-00</t>
  </si>
  <si>
    <t>LEXXGLX</t>
  </si>
  <si>
    <t>0002443583</t>
  </si>
  <si>
    <t>LUX7636C</t>
  </si>
  <si>
    <t>WH5E143X</t>
  </si>
  <si>
    <t>22031018</t>
  </si>
  <si>
    <t>164H-111FC-BAG-00-00-00</t>
  </si>
  <si>
    <t>0002335565</t>
  </si>
  <si>
    <t>164H</t>
  </si>
  <si>
    <t>0002459928</t>
  </si>
  <si>
    <t>0002459810</t>
  </si>
  <si>
    <t>0/02:45:45</t>
  </si>
  <si>
    <t>0002463165</t>
  </si>
  <si>
    <t>22023837</t>
  </si>
  <si>
    <t>LUX7430C-NA8E061T-BAG-00-00-00</t>
  </si>
  <si>
    <t>0002462808</t>
  </si>
  <si>
    <t>LUX7430C</t>
  </si>
  <si>
    <t>WNANEX026_PC52_008</t>
  </si>
  <si>
    <t>22040516</t>
  </si>
  <si>
    <t>LG9000-BK1G449-BAG-00-00-00</t>
  </si>
  <si>
    <t>BK1G449</t>
  </si>
  <si>
    <t>22020016</t>
  </si>
  <si>
    <t>EXL9330-BK1334-BAG-00-00-00</t>
  </si>
  <si>
    <t>0/05:26:38</t>
  </si>
  <si>
    <t>0/08:22:08</t>
  </si>
  <si>
    <t>0/01:42:23</t>
  </si>
  <si>
    <t>22027937</t>
  </si>
  <si>
    <t>D2000P-BK1A644-BAG-00-00-00</t>
  </si>
  <si>
    <t>0002442829</t>
  </si>
  <si>
    <t>D2000P</t>
  </si>
  <si>
    <t>BK1A644</t>
  </si>
  <si>
    <t>22030472</t>
  </si>
  <si>
    <t>HF1110R-7M1D104-BAG-00-00-00</t>
  </si>
  <si>
    <t>0002430053</t>
  </si>
  <si>
    <t>HF1110R</t>
  </si>
  <si>
    <t>7M1D104</t>
  </si>
  <si>
    <t>22032772</t>
  </si>
  <si>
    <t>ML7682-BK1E214-BAG-00-00-00</t>
  </si>
  <si>
    <t>0/04:03:46</t>
  </si>
  <si>
    <t>ML7682</t>
  </si>
  <si>
    <t>BK1E214</t>
  </si>
  <si>
    <t>22032974</t>
  </si>
  <si>
    <t>121-7A1D052-BAG-00-00-00</t>
  </si>
  <si>
    <t>7A1D052</t>
  </si>
  <si>
    <t>22039766</t>
  </si>
  <si>
    <t>EXL1434-BK1A068-BAG-00-00-00</t>
  </si>
  <si>
    <t>0002420493</t>
  </si>
  <si>
    <t>22043938</t>
  </si>
  <si>
    <t>HF1110-7A1D291-BAG-00-00-00</t>
  </si>
  <si>
    <t>0002446768</t>
  </si>
  <si>
    <t>7A1D291</t>
  </si>
  <si>
    <t>22022511</t>
  </si>
  <si>
    <t>C3650-701-BAG-00-00-00</t>
  </si>
  <si>
    <t>0/03:44:16</t>
  </si>
  <si>
    <t>0002438588</t>
  </si>
  <si>
    <t>0/11:46:52</t>
  </si>
  <si>
    <t>0002434374</t>
  </si>
  <si>
    <t>0002394183</t>
  </si>
  <si>
    <t>0/02:26:16</t>
  </si>
  <si>
    <t>0002422128</t>
  </si>
  <si>
    <t>22022855</t>
  </si>
  <si>
    <t>EXL1414-7A1D157-BAG-00-00-00</t>
  </si>
  <si>
    <t>0002444749</t>
  </si>
  <si>
    <t>7A1D157</t>
  </si>
  <si>
    <t>22084251</t>
  </si>
  <si>
    <t>ENH2901RC-7A1D332-BAG-00-00-00</t>
  </si>
  <si>
    <t>0/00:30:28</t>
  </si>
  <si>
    <t>0002443671</t>
  </si>
  <si>
    <t>ENH2901RC</t>
  </si>
  <si>
    <t>7A1D332</t>
  </si>
  <si>
    <t>22019391</t>
  </si>
  <si>
    <t>4701R-700001-BAG-00-00-00</t>
  </si>
  <si>
    <t>4701R</t>
  </si>
  <si>
    <t>700001</t>
  </si>
  <si>
    <t>0002372626</t>
  </si>
  <si>
    <t>22037469</t>
  </si>
  <si>
    <t>121R-BK1G122-BAG-00-00-00</t>
  </si>
  <si>
    <t>BK1G122</t>
  </si>
  <si>
    <t>0002442781</t>
  </si>
  <si>
    <t>22039385</t>
  </si>
  <si>
    <t>C1200HF-7T1D193-BAG-00-00-00</t>
  </si>
  <si>
    <t>0002461372</t>
  </si>
  <si>
    <t>22033695</t>
  </si>
  <si>
    <t>201R-701-BAG-00-00-00</t>
  </si>
  <si>
    <t>22034780</t>
  </si>
  <si>
    <t>C6600-7T1D319-BAG-00-00-00</t>
  </si>
  <si>
    <t>0002442798</t>
  </si>
  <si>
    <t>7T1D319</t>
  </si>
  <si>
    <t>22040537</t>
  </si>
  <si>
    <t>EXL8483-7A1D262-BAG-00-00-00</t>
  </si>
  <si>
    <t>0002420467</t>
  </si>
  <si>
    <t>EXL8483</t>
  </si>
  <si>
    <t>7A1D262</t>
  </si>
  <si>
    <t>0002423421</t>
  </si>
  <si>
    <t>0002367352</t>
  </si>
  <si>
    <t>0002449238</t>
  </si>
  <si>
    <t>22036796</t>
  </si>
  <si>
    <t>ML6411-7T1D043-BAG-00-00-00</t>
  </si>
  <si>
    <t>0002420703</t>
  </si>
  <si>
    <t>7T1D043</t>
  </si>
  <si>
    <t>0002440537</t>
  </si>
  <si>
    <t>0002445033</t>
  </si>
  <si>
    <t>22039416</t>
  </si>
  <si>
    <t>C1200HF-GY1D473-BAG-00-00-00</t>
  </si>
  <si>
    <t>0002409084</t>
  </si>
  <si>
    <t>GY1D473</t>
  </si>
  <si>
    <t>0002461745</t>
  </si>
  <si>
    <t>0002443209</t>
  </si>
  <si>
    <t>22029971</t>
  </si>
  <si>
    <t>943-GY1B340-BAG-00-00-00</t>
  </si>
  <si>
    <t>0002423831</t>
  </si>
  <si>
    <t>GY1B340</t>
  </si>
  <si>
    <t>22030407</t>
  </si>
  <si>
    <t>EXL9330-GY2E289-BAG-00-00-00</t>
  </si>
  <si>
    <t>0/02:39:23</t>
  </si>
  <si>
    <t>0002456895</t>
  </si>
  <si>
    <t>GY2E289</t>
  </si>
  <si>
    <t>0002433913</t>
  </si>
  <si>
    <t>0002420466</t>
  </si>
  <si>
    <t>22035116</t>
  </si>
  <si>
    <t>C6200-7T1D306-BAG-00-00-00</t>
  </si>
  <si>
    <t>0002422670</t>
  </si>
  <si>
    <t>7T1D306</t>
  </si>
  <si>
    <t>22036348</t>
  </si>
  <si>
    <t>EXL9330-BK2E002-BAG-00-00-00</t>
  </si>
  <si>
    <t>0002432149</t>
  </si>
  <si>
    <t>BK2E002</t>
  </si>
  <si>
    <t>0/06:15:00</t>
  </si>
  <si>
    <t>0002438591</t>
  </si>
  <si>
    <t>0002446949</t>
  </si>
  <si>
    <t>0002455172</t>
  </si>
  <si>
    <t>0002456718</t>
  </si>
  <si>
    <t>0002459696</t>
  </si>
  <si>
    <t>0002352828</t>
  </si>
  <si>
    <t>0/02:48:45</t>
  </si>
  <si>
    <t>0002456924</t>
  </si>
  <si>
    <t>0002454696</t>
  </si>
  <si>
    <t>22030648</t>
  </si>
  <si>
    <t>RCY6214-7A1D133-BAG-00-00-00</t>
  </si>
  <si>
    <t>0002463496</t>
  </si>
  <si>
    <t>7A1D133</t>
  </si>
  <si>
    <t>0002461810</t>
  </si>
  <si>
    <t>0002461673</t>
  </si>
  <si>
    <t>0/00:28:08</t>
  </si>
  <si>
    <t>0002458067</t>
  </si>
  <si>
    <t>0002449170</t>
  </si>
  <si>
    <t>0002434956</t>
  </si>
  <si>
    <t>22072855</t>
  </si>
  <si>
    <t>CX7241-7R1D180-BAG-00-00-00</t>
  </si>
  <si>
    <t>0002394396</t>
  </si>
  <si>
    <t>7R1D180</t>
  </si>
  <si>
    <t>0/07:28:30</t>
  </si>
  <si>
    <t>0002462890</t>
  </si>
  <si>
    <t>22034107</t>
  </si>
  <si>
    <t>925U-BK1B205-BAG-00-00-00</t>
  </si>
  <si>
    <t>0002423815</t>
  </si>
  <si>
    <t>BK1B205</t>
  </si>
  <si>
    <t>0/03:10:08</t>
  </si>
  <si>
    <t>0002444670</t>
  </si>
  <si>
    <t>0002438596</t>
  </si>
  <si>
    <t>22028141</t>
  </si>
  <si>
    <t>C1200HF-76701-BAG-00-00-00</t>
  </si>
  <si>
    <t>299902726</t>
  </si>
  <si>
    <t>945-7A1A2480</t>
  </si>
  <si>
    <t>0002414465</t>
  </si>
  <si>
    <t>7A1A2480</t>
  </si>
  <si>
    <t>22019709</t>
  </si>
  <si>
    <t>C6200-71722-BAG-00-00-00</t>
  </si>
  <si>
    <t>0002459689</t>
  </si>
  <si>
    <t>71722</t>
  </si>
  <si>
    <t>0002463220</t>
  </si>
  <si>
    <t>0002461533</t>
  </si>
  <si>
    <t>0/03:19:53</t>
  </si>
  <si>
    <t>0002461332</t>
  </si>
  <si>
    <t>22039248</t>
  </si>
  <si>
    <t>CX7240-BK1A382-BAG-00-00-00</t>
  </si>
  <si>
    <t>0002463016</t>
  </si>
  <si>
    <t>BK1A382</t>
  </si>
  <si>
    <t>22031691</t>
  </si>
  <si>
    <t>C6600-GY3395-BAG-00-00-00</t>
  </si>
  <si>
    <t>0002462992</t>
  </si>
  <si>
    <t>0002462892</t>
  </si>
  <si>
    <t>0002453416</t>
  </si>
  <si>
    <t>0/00:56:15</t>
  </si>
  <si>
    <t>0002458752</t>
  </si>
  <si>
    <t>0/12:01:53</t>
  </si>
  <si>
    <t>0002446739</t>
  </si>
  <si>
    <t>22024710</t>
  </si>
  <si>
    <t>RCX7233-7A1D142-BAG-00-00-00</t>
  </si>
  <si>
    <t>0002458057</t>
  </si>
  <si>
    <t>RCX7233</t>
  </si>
  <si>
    <t>7A1D142</t>
  </si>
  <si>
    <t>0002444932</t>
  </si>
  <si>
    <t>0002448569</t>
  </si>
  <si>
    <t>22029393</t>
  </si>
  <si>
    <t>EXL9134-7T2D205-BAG-00-00-00</t>
  </si>
  <si>
    <t>0002427805</t>
  </si>
  <si>
    <t>7T2D205</t>
  </si>
  <si>
    <t>0002455847</t>
  </si>
  <si>
    <t>0002455855</t>
  </si>
  <si>
    <t>22022189</t>
  </si>
  <si>
    <t>925-701-BAG-00-00-00</t>
  </si>
  <si>
    <t>0002436493</t>
  </si>
  <si>
    <t>0002458504</t>
  </si>
  <si>
    <t>1/08:30:00</t>
  </si>
  <si>
    <t>0002462903</t>
  </si>
  <si>
    <t>0002455869</t>
  </si>
  <si>
    <t>0002444928</t>
  </si>
  <si>
    <t>22031630</t>
  </si>
  <si>
    <t>C1200HF-GY2E337-BAG-00-00-00</t>
  </si>
  <si>
    <t>0002441349</t>
  </si>
  <si>
    <t>GY2E337</t>
  </si>
  <si>
    <t>0002404112</t>
  </si>
  <si>
    <t>22019593</t>
  </si>
  <si>
    <t>953-701-BAG-00-00-00</t>
  </si>
  <si>
    <t>0002386384</t>
  </si>
  <si>
    <t>953</t>
  </si>
  <si>
    <t>0002390010</t>
  </si>
  <si>
    <t>0002455878</t>
  </si>
  <si>
    <t>0002454679</t>
  </si>
  <si>
    <t>22036357</t>
  </si>
  <si>
    <t>EXL9330-GY1D675-BAG-00-00-00</t>
  </si>
  <si>
    <t>0002461346</t>
  </si>
  <si>
    <t>GY1D675</t>
  </si>
  <si>
    <t>22045182</t>
  </si>
  <si>
    <t>C1200HF-BK1G372-BAG-00-00-00</t>
  </si>
  <si>
    <t>0002459415</t>
  </si>
  <si>
    <t>0002455885</t>
  </si>
  <si>
    <t>22043570</t>
  </si>
  <si>
    <t>CFR7630-7T1D227-BAG-00-00-00</t>
  </si>
  <si>
    <t>CFR7630</t>
  </si>
  <si>
    <t>7T1D227</t>
  </si>
  <si>
    <t>0002455892</t>
  </si>
  <si>
    <t>0002306897</t>
  </si>
  <si>
    <t>22023557</t>
  </si>
  <si>
    <t>HF1110R-701-BAG-00-00-00</t>
  </si>
  <si>
    <t>0002444889</t>
  </si>
  <si>
    <t>0002464471</t>
  </si>
  <si>
    <t>WNANEX027_PC52_008</t>
  </si>
  <si>
    <t>0/11:00:58</t>
  </si>
  <si>
    <t>22086246</t>
  </si>
  <si>
    <t>D551RC-701-SBG-00-00-00</t>
  </si>
  <si>
    <t>0/22:01:56</t>
  </si>
  <si>
    <t>D551RC</t>
  </si>
  <si>
    <t>22098412</t>
  </si>
  <si>
    <t>WF006N-7A1A0666-SBG-00-00-00</t>
  </si>
  <si>
    <t>PCGLO</t>
  </si>
  <si>
    <t>WF006N</t>
  </si>
  <si>
    <t>7A1A0666</t>
  </si>
  <si>
    <t>0/01:07:23</t>
  </si>
  <si>
    <t>0/01:30:58</t>
  </si>
  <si>
    <t>22097758</t>
  </si>
  <si>
    <t>D251RC-7A1D379-BAG-00-00-00</t>
  </si>
  <si>
    <t>0/18:08:56</t>
  </si>
  <si>
    <t>D251RC</t>
  </si>
  <si>
    <t>7A1D379</t>
  </si>
  <si>
    <t>0/10:06:25</t>
  </si>
  <si>
    <t>0/05:20:51</t>
  </si>
  <si>
    <t>HFD4271</t>
  </si>
  <si>
    <t>22097757</t>
  </si>
  <si>
    <t>D151RC-7A1D378-BAG-00-00-00</t>
  </si>
  <si>
    <t>0/12:17:58</t>
  </si>
  <si>
    <t>0002439721</t>
  </si>
  <si>
    <t>D151RC</t>
  </si>
  <si>
    <t>7A1D378</t>
  </si>
  <si>
    <t>0/02:12:12</t>
  </si>
  <si>
    <t>0002454695</t>
  </si>
  <si>
    <t>0/02:14:46</t>
  </si>
  <si>
    <t>0/01:06:06</t>
  </si>
  <si>
    <t>0002454758</t>
  </si>
  <si>
    <t>0/16:01:42</t>
  </si>
  <si>
    <t>0002453191</t>
  </si>
  <si>
    <t>0002456355</t>
  </si>
  <si>
    <t>0002440612</t>
  </si>
  <si>
    <t>0/10:41:43</t>
  </si>
  <si>
    <t>0002453193</t>
  </si>
  <si>
    <t>0/20:51:20</t>
  </si>
  <si>
    <t>0002453175</t>
  </si>
  <si>
    <t>22085416</t>
  </si>
  <si>
    <t>CX7240-7M1D235-BAG-00-00-00</t>
  </si>
  <si>
    <t>0002444908</t>
  </si>
  <si>
    <t>7M1D235</t>
  </si>
  <si>
    <t>0/02:08:21</t>
  </si>
  <si>
    <t>0002455024</t>
  </si>
  <si>
    <t>0002456843</t>
  </si>
  <si>
    <t>0/21:23:25</t>
  </si>
  <si>
    <t>22045050</t>
  </si>
  <si>
    <t>D251-7A1D310-BAG-00-00-00</t>
  </si>
  <si>
    <t>0/06:51:27</t>
  </si>
  <si>
    <t>0002460203</t>
  </si>
  <si>
    <t>D251</t>
  </si>
  <si>
    <t>7A1D310</t>
  </si>
  <si>
    <t>0/04:24:23</t>
  </si>
  <si>
    <t>0002460131</t>
  </si>
  <si>
    <t>0002459743</t>
  </si>
  <si>
    <t>0002456373</t>
  </si>
  <si>
    <t>0/03:22:08</t>
  </si>
  <si>
    <t>0002461891</t>
  </si>
  <si>
    <t>22046329</t>
  </si>
  <si>
    <t>D151-7A1D317-BAG-00-00-00</t>
  </si>
  <si>
    <t>0002464363</t>
  </si>
  <si>
    <t>7A1D317</t>
  </si>
  <si>
    <t>0/16:29:47</t>
  </si>
  <si>
    <t>0002461323</t>
  </si>
  <si>
    <t>0/19:49:44</t>
  </si>
  <si>
    <t>0002461554</t>
  </si>
  <si>
    <t>0002461747</t>
  </si>
  <si>
    <t>22035991</t>
  </si>
  <si>
    <t>EXL9330P-BK1E649-BAG-00-00-00</t>
  </si>
  <si>
    <t>0002054108</t>
  </si>
  <si>
    <t>EXL9330P</t>
  </si>
  <si>
    <t>BK1E649</t>
  </si>
  <si>
    <t>0002053917</t>
  </si>
  <si>
    <t>0002054106</t>
  </si>
  <si>
    <t>22030087</t>
  </si>
  <si>
    <t>C4220-76701-BAG-00-00-00</t>
  </si>
  <si>
    <t>0002420596</t>
  </si>
  <si>
    <t>C4220</t>
  </si>
  <si>
    <t>WNANEX028_PC52_008</t>
  </si>
  <si>
    <t>0/15:26:28</t>
  </si>
  <si>
    <t>22032152</t>
  </si>
  <si>
    <t>D551-701-SBG-00-00-00</t>
  </si>
  <si>
    <t>D551</t>
  </si>
  <si>
    <t>1/06:52:56</t>
  </si>
  <si>
    <t>HFD4472</t>
  </si>
  <si>
    <t>0002450319</t>
  </si>
  <si>
    <t>22043702</t>
  </si>
  <si>
    <t>D351-7M1D200-SBG-00-00-00</t>
  </si>
  <si>
    <t>0/01:32:39</t>
  </si>
  <si>
    <t>7M1D200</t>
  </si>
  <si>
    <t>22106553</t>
  </si>
  <si>
    <t>WF006N-7A7A4183-SBG-00-00-00</t>
  </si>
  <si>
    <t>7A7A4183</t>
  </si>
  <si>
    <t>PA667O</t>
  </si>
  <si>
    <t>22040918</t>
  </si>
  <si>
    <t>RCP36-BK1A862-SBG-00-00-00</t>
  </si>
  <si>
    <t>4503020554</t>
  </si>
  <si>
    <t>RCP36</t>
  </si>
  <si>
    <t>BK1A862</t>
  </si>
  <si>
    <t>22106620</t>
  </si>
  <si>
    <t>D551RC-7A1D347-SBG-00-00-00</t>
  </si>
  <si>
    <t>0/07:21:11</t>
  </si>
  <si>
    <t>0002455787</t>
  </si>
  <si>
    <t>7A1D347</t>
  </si>
  <si>
    <t>0/02:09:42</t>
  </si>
  <si>
    <t>1/05:24:42</t>
  </si>
  <si>
    <t>0002321577</t>
  </si>
  <si>
    <t>22097827</t>
  </si>
  <si>
    <t>D451RC-7A1D376-SBG-00-00-00</t>
  </si>
  <si>
    <t>0/07:43:14</t>
  </si>
  <si>
    <t>0002463569</t>
  </si>
  <si>
    <t>D451RC</t>
  </si>
  <si>
    <t>7A1D376</t>
  </si>
  <si>
    <t>0/09:33:32</t>
  </si>
  <si>
    <t>0002440452</t>
  </si>
  <si>
    <t>0002462794</t>
  </si>
  <si>
    <t>4503020556</t>
  </si>
  <si>
    <t>22029221</t>
  </si>
  <si>
    <t>DX10311-7B1D125-SBG-00-00-00</t>
  </si>
  <si>
    <t>0/08:29:34</t>
  </si>
  <si>
    <t>0002425868</t>
  </si>
  <si>
    <t>7B1D125</t>
  </si>
  <si>
    <t>0/17:08:23</t>
  </si>
  <si>
    <t>0002448858</t>
  </si>
  <si>
    <t>WNANEX029_PC52_008</t>
  </si>
  <si>
    <t>22103041</t>
  </si>
  <si>
    <t>6370C-7A1A3113-BAG-00-00-00</t>
  </si>
  <si>
    <t>6370C</t>
  </si>
  <si>
    <t>7A1A3113</t>
  </si>
  <si>
    <t>0/02:45:47</t>
  </si>
  <si>
    <t>0/13:48:57</t>
  </si>
  <si>
    <t>22039459</t>
  </si>
  <si>
    <t>DX10313-701-SBG-00-00-00</t>
  </si>
  <si>
    <t>DX10313</t>
  </si>
  <si>
    <t>22065320</t>
  </si>
  <si>
    <t>RL003-BK8115-FBG-00-00-00</t>
  </si>
  <si>
    <t>0/05:31:35</t>
  </si>
  <si>
    <t>0002431912</t>
  </si>
  <si>
    <t>RL003</t>
  </si>
  <si>
    <t>299905854</t>
  </si>
  <si>
    <t>WF008N-2N1A4633</t>
  </si>
  <si>
    <t>0/01:19:35</t>
  </si>
  <si>
    <t>0002454805</t>
  </si>
  <si>
    <t>WF008N</t>
  </si>
  <si>
    <t>2N1A4633</t>
  </si>
  <si>
    <t>ML7672</t>
  </si>
  <si>
    <t>0/05:15:47</t>
  </si>
  <si>
    <t>0002446582</t>
  </si>
  <si>
    <t>22040674</t>
  </si>
  <si>
    <t>ML6411-BK1A382-BAG-00-00-00</t>
  </si>
  <si>
    <t>0/01:50:32</t>
  </si>
  <si>
    <t>0/01:39:28</t>
  </si>
  <si>
    <t>22038709</t>
  </si>
  <si>
    <t>500ECR-73198-BAG-00-00-00</t>
  </si>
  <si>
    <t>0/06:04:44</t>
  </si>
  <si>
    <t>0002442847</t>
  </si>
  <si>
    <t>73198</t>
  </si>
  <si>
    <t>22037884</t>
  </si>
  <si>
    <t>3412R-YW7C055-BAG-00-00-00</t>
  </si>
  <si>
    <t>0002438614</t>
  </si>
  <si>
    <t>YW7C055</t>
  </si>
  <si>
    <t>22044245</t>
  </si>
  <si>
    <t>D251-701-BAG-00-00-00</t>
  </si>
  <si>
    <t>0/05:15:00</t>
  </si>
  <si>
    <t>0/11:03:09</t>
  </si>
  <si>
    <t>0/02:37:54</t>
  </si>
  <si>
    <t>22034993</t>
  </si>
  <si>
    <t>C2800-BK2E016-BAG-00-00-00</t>
  </si>
  <si>
    <t>0002453670</t>
  </si>
  <si>
    <t>BK2E016</t>
  </si>
  <si>
    <t>299905932</t>
  </si>
  <si>
    <t>HFD4472-2G1A4818</t>
  </si>
  <si>
    <t>2G1A4818</t>
  </si>
  <si>
    <t>DX14354X</t>
  </si>
  <si>
    <t>22031457</t>
  </si>
  <si>
    <t>945-7T1D298-BAG-00-00-00</t>
  </si>
  <si>
    <t>0/10:31:35</t>
  </si>
  <si>
    <t>0002453564</t>
  </si>
  <si>
    <t>7T1D298</t>
  </si>
  <si>
    <t>299903077</t>
  </si>
  <si>
    <t>EXL9330-2T2A2658</t>
  </si>
  <si>
    <t>0/01:34:44</t>
  </si>
  <si>
    <t>0002461422</t>
  </si>
  <si>
    <t>2T2A2658</t>
  </si>
  <si>
    <t>299904430</t>
  </si>
  <si>
    <t>WF006N-4A6A3914</t>
  </si>
  <si>
    <t>PC4O</t>
  </si>
  <si>
    <t>0002459793</t>
  </si>
  <si>
    <t>4A6A3914</t>
  </si>
  <si>
    <t>22030554</t>
  </si>
  <si>
    <t>MC5220-7001-BAG-00-00-00</t>
  </si>
  <si>
    <t>0002463499</t>
  </si>
  <si>
    <t>MC5220</t>
  </si>
  <si>
    <t>0002442946</t>
  </si>
  <si>
    <t>0002462792</t>
  </si>
  <si>
    <t>22106792</t>
  </si>
  <si>
    <t>ER007485-2G2A4425-SBG-00-00-00</t>
  </si>
  <si>
    <t>0002449452</t>
  </si>
  <si>
    <t>0002423540</t>
  </si>
  <si>
    <t>22034871</t>
  </si>
  <si>
    <t>C1200HF-BK1E685-BAG-00-00-00</t>
  </si>
  <si>
    <t>1/03:37:54</t>
  </si>
  <si>
    <t>0002450607</t>
  </si>
  <si>
    <t>BK1E685</t>
  </si>
  <si>
    <t>22037756</t>
  </si>
  <si>
    <t>223R-BK1E283-BAG-00-00-00</t>
  </si>
  <si>
    <t>0002458157</t>
  </si>
  <si>
    <t>BK1E283</t>
  </si>
  <si>
    <t>0002448639</t>
  </si>
  <si>
    <t>0/01:03:09</t>
  </si>
  <si>
    <t>0002456361</t>
  </si>
  <si>
    <t>0002461712</t>
  </si>
  <si>
    <t>22035659</t>
  </si>
  <si>
    <t>CX7240U-7T1D359-BAG-00-00-00</t>
  </si>
  <si>
    <t>4/09:15:47</t>
  </si>
  <si>
    <t>0002442717</t>
  </si>
  <si>
    <t>7T1D359</t>
  </si>
  <si>
    <t>1/10:47:22</t>
  </si>
  <si>
    <t>22031882</t>
  </si>
  <si>
    <t>DF006ER-NC-SBG-00-00-00</t>
  </si>
  <si>
    <t>0002456421</t>
  </si>
  <si>
    <t>22028388</t>
  </si>
  <si>
    <t>RFL36S-BK1A842-SBG-00-00-00</t>
  </si>
  <si>
    <t>2/03:37:54</t>
  </si>
  <si>
    <t>0002367140</t>
  </si>
  <si>
    <t>RFL36S</t>
  </si>
  <si>
    <t>BK1A842</t>
  </si>
  <si>
    <t>0002463325</t>
  </si>
  <si>
    <t>22039344</t>
  </si>
  <si>
    <t>DEP23FXC-BK8167-SBG-00-00-00</t>
  </si>
  <si>
    <t>0002453842</t>
  </si>
  <si>
    <t>DEP23FXC</t>
  </si>
  <si>
    <t>BK8167</t>
  </si>
  <si>
    <t>0002448647</t>
  </si>
  <si>
    <t>0002421921</t>
  </si>
  <si>
    <t>22022079</t>
  </si>
  <si>
    <t>950-701-BAG-00-00-00</t>
  </si>
  <si>
    <t>0002411119</t>
  </si>
  <si>
    <t>WNANEX030_PC52_008</t>
  </si>
  <si>
    <t>0/01:56:44</t>
  </si>
  <si>
    <t>0/00:46:41</t>
  </si>
  <si>
    <t>4502940034</t>
  </si>
  <si>
    <t>WNANEX031_PC52_008</t>
  </si>
  <si>
    <t>22045404</t>
  </si>
  <si>
    <t>HFD4271-BR6G154-BAG-00-00-00</t>
  </si>
  <si>
    <t>BR6G154</t>
  </si>
  <si>
    <t>299905737</t>
  </si>
  <si>
    <t>D151-8G8A4572</t>
  </si>
  <si>
    <t>0/03:53:27</t>
  </si>
  <si>
    <t>0002454950</t>
  </si>
  <si>
    <t>8G8A4572</t>
  </si>
  <si>
    <t>22103296</t>
  </si>
  <si>
    <t>6370C-7A7A3379-BAG-00-00-00</t>
  </si>
  <si>
    <t>7A7A3379</t>
  </si>
  <si>
    <t>0/09:43:38</t>
  </si>
  <si>
    <t>0/00:58:22</t>
  </si>
  <si>
    <t>22102201</t>
  </si>
  <si>
    <t>BFL2010-8A5A2508-BAG-00-00-00</t>
  </si>
  <si>
    <t>0002440607</t>
  </si>
  <si>
    <t>BFL2010</t>
  </si>
  <si>
    <t>8A5A2508</t>
  </si>
  <si>
    <t>22039324</t>
  </si>
  <si>
    <t>D351-GY8G224-SBG-00-00-00</t>
  </si>
  <si>
    <t>0/01:21:43</t>
  </si>
  <si>
    <t>0002461513</t>
  </si>
  <si>
    <t>GY8G224</t>
  </si>
  <si>
    <t>0002448514</t>
  </si>
  <si>
    <t>22035932</t>
  </si>
  <si>
    <t>DX10311-WH6F023-SBG-00-00-00</t>
  </si>
  <si>
    <t>PC8O</t>
  </si>
  <si>
    <t>0002457920</t>
  </si>
  <si>
    <t>WH6F023</t>
  </si>
  <si>
    <t>0002453144</t>
  </si>
  <si>
    <t>22038711</t>
  </si>
  <si>
    <t>500ECR-7T7D100-BAG-00-00-00</t>
  </si>
  <si>
    <t>0/09:05:27</t>
  </si>
  <si>
    <t>0002447340</t>
  </si>
  <si>
    <t>7T7D100</t>
  </si>
  <si>
    <t>22046330</t>
  </si>
  <si>
    <t>D151-7M4D046-BAG-00-00-00</t>
  </si>
  <si>
    <t>0/01:53:49</t>
  </si>
  <si>
    <t>0002456583</t>
  </si>
  <si>
    <t>7M4D046</t>
  </si>
  <si>
    <t>299903056</t>
  </si>
  <si>
    <t>D251-7A8A2874</t>
  </si>
  <si>
    <t>0/07:43:59</t>
  </si>
  <si>
    <t>0002442674</t>
  </si>
  <si>
    <t>7A8A2874</t>
  </si>
  <si>
    <t>22037570</t>
  </si>
  <si>
    <t>UFL36AS-YWLTNAT-SBG-00-00-00</t>
  </si>
  <si>
    <t>0/03:38:11</t>
  </si>
  <si>
    <t>PPA4T</t>
  </si>
  <si>
    <t>4503038001</t>
  </si>
  <si>
    <t>UFL36AS</t>
  </si>
  <si>
    <t>YWLTNAT</t>
  </si>
  <si>
    <t>299902403</t>
  </si>
  <si>
    <t>3412ECR-7G6A2073</t>
  </si>
  <si>
    <t>0/02:46:20</t>
  </si>
  <si>
    <t>0002455732</t>
  </si>
  <si>
    <t>7G6A2073</t>
  </si>
  <si>
    <t>22038986</t>
  </si>
  <si>
    <t>915R-GY5G115-BAG-00-00-00</t>
  </si>
  <si>
    <t>0/01:49:05</t>
  </si>
  <si>
    <t>0002414437</t>
  </si>
  <si>
    <t>GY5G115</t>
  </si>
  <si>
    <t>0002464413</t>
  </si>
  <si>
    <t>0/02:31:45</t>
  </si>
  <si>
    <t>0002461434</t>
  </si>
  <si>
    <t>22072870</t>
  </si>
  <si>
    <t>CY6012-6M1D009-BAG-00-00-00</t>
  </si>
  <si>
    <t>0/05:30:00</t>
  </si>
  <si>
    <t>0002446740</t>
  </si>
  <si>
    <t>6M1D009</t>
  </si>
  <si>
    <t>0/00:54:33</t>
  </si>
  <si>
    <t>0002445183</t>
  </si>
  <si>
    <t>22104379</t>
  </si>
  <si>
    <t>WF006N-8A8A1122-SBG-00-00-00</t>
  </si>
  <si>
    <t>0002464391</t>
  </si>
  <si>
    <t>8A8A1122</t>
  </si>
  <si>
    <t>1/13:35:45</t>
  </si>
  <si>
    <t>0002456830</t>
  </si>
  <si>
    <t>22040673</t>
  </si>
  <si>
    <t>ML6411-7T8D707-BAG-00-00-00</t>
  </si>
  <si>
    <t>0002436429</t>
  </si>
  <si>
    <t>7T8D707</t>
  </si>
  <si>
    <t>22104377</t>
  </si>
  <si>
    <t>WF006N-6A4A3348-SBG-00-00-00</t>
  </si>
  <si>
    <t>0/02:34:05</t>
  </si>
  <si>
    <t>PC6DO</t>
  </si>
  <si>
    <t>0002459713</t>
  </si>
  <si>
    <t>6A4A3348</t>
  </si>
  <si>
    <t>0002444810</t>
  </si>
  <si>
    <t>22032258</t>
  </si>
  <si>
    <t>EXCY0325-NA9G167T-BAG-00-00-00</t>
  </si>
  <si>
    <t>0002385265</t>
  </si>
  <si>
    <t>EXCY0325</t>
  </si>
  <si>
    <t>NA9G167T</t>
  </si>
  <si>
    <t>0002453166</t>
  </si>
  <si>
    <t>0002440454</t>
  </si>
  <si>
    <t>22038531</t>
  </si>
  <si>
    <t>BPL1000-GY6E054-BAG-00-00-00</t>
  </si>
  <si>
    <t>4503013617</t>
  </si>
  <si>
    <t>GY6E054</t>
  </si>
  <si>
    <t>0002461570</t>
  </si>
  <si>
    <t>4503067724</t>
  </si>
  <si>
    <t>22032089</t>
  </si>
  <si>
    <t>CX7240-GY8D348-BAG-00-00-00</t>
  </si>
  <si>
    <t>0002442816</t>
  </si>
  <si>
    <t>GY8D348</t>
  </si>
  <si>
    <t>22033760</t>
  </si>
  <si>
    <t>500R-WH5F014-BAG-00-00-00</t>
  </si>
  <si>
    <t>0002461367</t>
  </si>
  <si>
    <t>WH5F014</t>
  </si>
  <si>
    <t>4503038002</t>
  </si>
  <si>
    <t>WNANEX032_PC52_008</t>
  </si>
  <si>
    <t>2/08:00:00</t>
  </si>
  <si>
    <t>1/04:00:00</t>
  </si>
  <si>
    <t>2/05:20:00</t>
  </si>
  <si>
    <t>0002367154</t>
  </si>
  <si>
    <t>0/10:40:00</t>
  </si>
  <si>
    <t>0002455505</t>
  </si>
  <si>
    <t>0002367157</t>
  </si>
  <si>
    <t>1/02:40:00</t>
  </si>
  <si>
    <t>0002367156</t>
  </si>
  <si>
    <t>WNANEX051_PC52_008</t>
  </si>
  <si>
    <t>22082436</t>
  </si>
  <si>
    <t>MB_LEX_F4520S-11204-SBG-00-00-00</t>
  </si>
  <si>
    <t>0/14:00:00</t>
  </si>
  <si>
    <t>22036504</t>
  </si>
  <si>
    <t>FXD171R-8A9D013X-BAG-00-00-00</t>
  </si>
  <si>
    <t>0/01:24:00</t>
  </si>
  <si>
    <t>0002458467</t>
  </si>
  <si>
    <t>8A9D013X</t>
  </si>
  <si>
    <t>22083871</t>
  </si>
  <si>
    <t>CFR9111-7M1D228T-BAG-00-00-00</t>
  </si>
  <si>
    <t>0/11:12:00</t>
  </si>
  <si>
    <t>7M1D228T</t>
  </si>
  <si>
    <t>22045972</t>
  </si>
  <si>
    <t>CFR9111-7M1D204T-BAG-00-00-00</t>
  </si>
  <si>
    <t>0/08:00:00</t>
  </si>
  <si>
    <t>7M1D204T</t>
  </si>
  <si>
    <t>0/16:48:00</t>
  </si>
  <si>
    <t>22034276</t>
  </si>
  <si>
    <t>945A-21051-BAG-00-00-00</t>
  </si>
  <si>
    <t>0/05:36:00</t>
  </si>
  <si>
    <t>22036933</t>
  </si>
  <si>
    <t>LUX2614-WH6G048X-BAG-00-00-00</t>
  </si>
  <si>
    <t>0/07:00:00</t>
  </si>
  <si>
    <t>LEXOQGLX</t>
  </si>
  <si>
    <t>LUX2614</t>
  </si>
  <si>
    <t>WH6G048X</t>
  </si>
  <si>
    <t>0/04:00:00</t>
  </si>
  <si>
    <t>LEXX6LO</t>
  </si>
  <si>
    <t>290006454</t>
  </si>
  <si>
    <t>EXL1414T-7A1D166</t>
  </si>
  <si>
    <t>7A1D166</t>
  </si>
  <si>
    <t>22022427</t>
  </si>
  <si>
    <t>CFR7630-NA8E061T-BAG-00-00-00</t>
  </si>
  <si>
    <t>0/02:48:00</t>
  </si>
  <si>
    <t>299905871</t>
  </si>
  <si>
    <t>EXL1414-2G2A4760</t>
  </si>
  <si>
    <t>2G2A4760</t>
  </si>
  <si>
    <t>22031789</t>
  </si>
  <si>
    <t>C6600-7B2D025-BAG-00-00-00</t>
  </si>
  <si>
    <t>7B2D025</t>
  </si>
  <si>
    <t>299903861</t>
  </si>
  <si>
    <t>C1200HFC-4T7D060</t>
  </si>
  <si>
    <t>C1200HFC</t>
  </si>
  <si>
    <t>4T7D060</t>
  </si>
  <si>
    <t>0/09:48:00</t>
  </si>
  <si>
    <t>22022181</t>
  </si>
  <si>
    <t>923-NC-BAG-00-00-00</t>
  </si>
  <si>
    <t>0/02:00:00</t>
  </si>
  <si>
    <t>22046023</t>
  </si>
  <si>
    <t>241R-BR6G173-BAG-00-00-00</t>
  </si>
  <si>
    <t>0/03:00:00</t>
  </si>
  <si>
    <t>BR6G173</t>
  </si>
  <si>
    <t>22034421</t>
  </si>
  <si>
    <t>C1200HF-BL2G043-BAG-00-00-00</t>
  </si>
  <si>
    <t>BL2G043</t>
  </si>
  <si>
    <t>22024011</t>
  </si>
  <si>
    <t>MG47-NA1000-BAG-00-00-00</t>
  </si>
  <si>
    <t>CAC1X</t>
  </si>
  <si>
    <t>0002414685</t>
  </si>
  <si>
    <t>MG47</t>
  </si>
  <si>
    <t>NA1000</t>
  </si>
  <si>
    <t>0/08:24:00</t>
  </si>
  <si>
    <t>22022870</t>
  </si>
  <si>
    <t>EXL1414T-8A9D138-BAG-00-00-00</t>
  </si>
  <si>
    <t>8A9D138</t>
  </si>
  <si>
    <t>ER007515</t>
  </si>
  <si>
    <t>22036188</t>
  </si>
  <si>
    <t>EXL1414T-7A7D082-BAG-00-00-00</t>
  </si>
  <si>
    <t>7A7D082</t>
  </si>
  <si>
    <t>22040041</t>
  </si>
  <si>
    <t>FXD1414T-8N7D004X-BAG-00-00-00</t>
  </si>
  <si>
    <t>0002453147</t>
  </si>
  <si>
    <t>FXD1414T</t>
  </si>
  <si>
    <t>8N7D004X</t>
  </si>
  <si>
    <t>22031399</t>
  </si>
  <si>
    <t>9925A-NA9E163T-BAG-00-00-00</t>
  </si>
  <si>
    <t>NA9E163T</t>
  </si>
  <si>
    <t>0002448592</t>
  </si>
  <si>
    <t>22088352</t>
  </si>
  <si>
    <t>201R-WH8E512-BAG-00-00-00</t>
  </si>
  <si>
    <t>WH8E512</t>
  </si>
  <si>
    <t>22045258</t>
  </si>
  <si>
    <t>FXD123R-WH6E008X-BAG-00-00-00</t>
  </si>
  <si>
    <t>0002453475</t>
  </si>
  <si>
    <t>22028982</t>
  </si>
  <si>
    <t>FXD121R-NA1057X-BAG-00-00-00</t>
  </si>
  <si>
    <t>0002455344</t>
  </si>
  <si>
    <t>NA1057X</t>
  </si>
  <si>
    <t>22106903</t>
  </si>
  <si>
    <t>ML0992-2N2A3647-BAG-00-00-00</t>
  </si>
  <si>
    <t>0002464475</t>
  </si>
  <si>
    <t>22044243</t>
  </si>
  <si>
    <t>D20001-3M6D018-BAG-00-00-00</t>
  </si>
  <si>
    <t>0002454704</t>
  </si>
  <si>
    <t>3M6D018</t>
  </si>
  <si>
    <t>299900626</t>
  </si>
  <si>
    <t>121-7A8D020</t>
  </si>
  <si>
    <t>LEXGLT</t>
  </si>
  <si>
    <t>0002459576</t>
  </si>
  <si>
    <t>7A8D020</t>
  </si>
  <si>
    <t>22023845</t>
  </si>
  <si>
    <t>LUX9616-WH5E140X-BAG-00-00-00</t>
  </si>
  <si>
    <t>LEXFRGLX</t>
  </si>
  <si>
    <t>WH5E140X</t>
  </si>
  <si>
    <t>0002422217</t>
  </si>
  <si>
    <t>0002421257</t>
  </si>
  <si>
    <t>0002448426</t>
  </si>
  <si>
    <t>22039474</t>
  </si>
  <si>
    <t>C2801-111-BAG-00-00-00</t>
  </si>
  <si>
    <t>0002456756</t>
  </si>
  <si>
    <t>C2801</t>
  </si>
  <si>
    <t>22020155</t>
  </si>
  <si>
    <t>FXD171R-WH4502X-BAG-00-00-00</t>
  </si>
  <si>
    <t>0002459709</t>
  </si>
  <si>
    <t>WH4502X</t>
  </si>
  <si>
    <t>4503063735</t>
  </si>
  <si>
    <t>22087132</t>
  </si>
  <si>
    <t>FXE1414-GN8G226-BAG-00-00-00</t>
  </si>
  <si>
    <t>4503077352</t>
  </si>
  <si>
    <t>FXE1414</t>
  </si>
  <si>
    <t>GN8G226</t>
  </si>
  <si>
    <t>0002464402</t>
  </si>
  <si>
    <t>0002460058</t>
  </si>
  <si>
    <t>22019987</t>
  </si>
  <si>
    <t>EXL1433T-NA8A005T-BAG-00-00-00</t>
  </si>
  <si>
    <t>0002427477</t>
  </si>
  <si>
    <t>22034414</t>
  </si>
  <si>
    <t>925A-7R4D001T-BAG-00-00-00</t>
  </si>
  <si>
    <t>0002458615</t>
  </si>
  <si>
    <t>7R4D001T</t>
  </si>
  <si>
    <t>0002457887</t>
  </si>
  <si>
    <t>0002457898</t>
  </si>
  <si>
    <t>22024947</t>
  </si>
  <si>
    <t>SLX2271T-NA9E166T-BAG-00-00-00</t>
  </si>
  <si>
    <t>0002253591</t>
  </si>
  <si>
    <t>0/04:12:00</t>
  </si>
  <si>
    <t>0002459210</t>
  </si>
  <si>
    <t>299905941</t>
  </si>
  <si>
    <t>945-7T4A4637</t>
  </si>
  <si>
    <t>0002461636</t>
  </si>
  <si>
    <t>7T4A4637</t>
  </si>
  <si>
    <t>22040670</t>
  </si>
  <si>
    <t>ML6411-3T5D024-BAG-00-00-00</t>
  </si>
  <si>
    <t>LEXFR3LO</t>
  </si>
  <si>
    <t>0002455340</t>
  </si>
  <si>
    <t>3T5D024</t>
  </si>
  <si>
    <t>0002448636</t>
  </si>
  <si>
    <t>WNANEX052_PC52_008</t>
  </si>
  <si>
    <t>0/00:52:30</t>
  </si>
  <si>
    <t>0/03:30:00</t>
  </si>
  <si>
    <t>0002410874</t>
  </si>
  <si>
    <t>0/08:45:00</t>
  </si>
  <si>
    <t>299905711</t>
  </si>
  <si>
    <t>ER007906-2G3A4538</t>
  </si>
  <si>
    <t>0002459703</t>
  </si>
  <si>
    <t>ER007906</t>
  </si>
  <si>
    <t>2G3A4538</t>
  </si>
  <si>
    <t>22045511</t>
  </si>
  <si>
    <t>EXL1414T-BK1G628-BAG-00-00-00</t>
  </si>
  <si>
    <t>0/09:37:30</t>
  </si>
  <si>
    <t>BK1G628</t>
  </si>
  <si>
    <t>22028636</t>
  </si>
  <si>
    <t>EXL9330-BL3C034-BAG-00-00-00</t>
  </si>
  <si>
    <t>BL3C034</t>
  </si>
  <si>
    <t>22034985</t>
  </si>
  <si>
    <t>C2800-8T7D067-BAG-00-00-00</t>
  </si>
  <si>
    <t>8T7D067</t>
  </si>
  <si>
    <t>299905759</t>
  </si>
  <si>
    <t>EXL9111-6G2A4777</t>
  </si>
  <si>
    <t>0/00:37:30</t>
  </si>
  <si>
    <t>0002460175</t>
  </si>
  <si>
    <t>EXL9111</t>
  </si>
  <si>
    <t>6G2A4777</t>
  </si>
  <si>
    <t>299905523</t>
  </si>
  <si>
    <t>945-3T3A4127</t>
  </si>
  <si>
    <t>LEXFR3DO</t>
  </si>
  <si>
    <t>3T3A4127</t>
  </si>
  <si>
    <t>22039900</t>
  </si>
  <si>
    <t>EXL9330-BL4D142-BAG-00-00-00</t>
  </si>
  <si>
    <t>LEXX2LO</t>
  </si>
  <si>
    <t>BL4D142</t>
  </si>
  <si>
    <t>22035957</t>
  </si>
  <si>
    <t>EXL9330-GY2G050-BAG-00-00-00</t>
  </si>
  <si>
    <t>GY2G050</t>
  </si>
  <si>
    <t>22032378</t>
  </si>
  <si>
    <t>EXL1414T-WH9E305-BAG-00-00-00</t>
  </si>
  <si>
    <t>WH9E305</t>
  </si>
  <si>
    <t>22043982</t>
  </si>
  <si>
    <t>121-7A2D036-BAG-00-00-00</t>
  </si>
  <si>
    <t>7A2D036</t>
  </si>
  <si>
    <t>299905758</t>
  </si>
  <si>
    <t>EXL9111-2G1A4776</t>
  </si>
  <si>
    <t>0002460163</t>
  </si>
  <si>
    <t>2G1A4776</t>
  </si>
  <si>
    <t>22039936</t>
  </si>
  <si>
    <t>EXL9330-WH9B084-BAG-00-00-00</t>
  </si>
  <si>
    <t>WH9B084</t>
  </si>
  <si>
    <t>0002454882</t>
  </si>
  <si>
    <t>22031791</t>
  </si>
  <si>
    <t>C6600-7M3D029-BAG-00-00-00</t>
  </si>
  <si>
    <t>7M3D029</t>
  </si>
  <si>
    <t>0002454885</t>
  </si>
  <si>
    <t>0002422221</t>
  </si>
  <si>
    <t>22045190</t>
  </si>
  <si>
    <t>EXL1434T-BK1A184T-BAG-00-00-00</t>
  </si>
  <si>
    <t>0002456467</t>
  </si>
  <si>
    <t>0002459607</t>
  </si>
  <si>
    <t>299904131</t>
  </si>
  <si>
    <t>EXL9330-3T6A3632</t>
  </si>
  <si>
    <t>0002461345</t>
  </si>
  <si>
    <t>3T6A3632</t>
  </si>
  <si>
    <t>22017371</t>
  </si>
  <si>
    <t>EXL1132T-701-BAG-00-00-00</t>
  </si>
  <si>
    <t>0002463011</t>
  </si>
  <si>
    <t>0002463000</t>
  </si>
  <si>
    <t>0002462915</t>
  </si>
  <si>
    <t>22034275</t>
  </si>
  <si>
    <t>945-WH9G424-BAG-00-00-00</t>
  </si>
  <si>
    <t>0002456938</t>
  </si>
  <si>
    <t>WH9G424</t>
  </si>
  <si>
    <t>22031474</t>
  </si>
  <si>
    <t>945-BK2D142-BAG-00-00-00</t>
  </si>
  <si>
    <t>0002458533</t>
  </si>
  <si>
    <t>BK2D142</t>
  </si>
  <si>
    <t>22074160</t>
  </si>
  <si>
    <t>CY6012-7M1D221-BAG-00-00-00</t>
  </si>
  <si>
    <t>0002457922</t>
  </si>
  <si>
    <t>7M1D221</t>
  </si>
  <si>
    <t>22028749</t>
  </si>
  <si>
    <t>EXL1414-GY1G336-BAG-00-00-00</t>
  </si>
  <si>
    <t>0/12:30:00</t>
  </si>
  <si>
    <t>0002446997</t>
  </si>
  <si>
    <t>GY1G336</t>
  </si>
  <si>
    <t>22034747</t>
  </si>
  <si>
    <t>C6600-6B5D001-BAG-00-00-00</t>
  </si>
  <si>
    <t>COYFR6LO</t>
  </si>
  <si>
    <t>0002445214</t>
  </si>
  <si>
    <t>6B5D001</t>
  </si>
  <si>
    <t>22018262</t>
  </si>
  <si>
    <t>920-701-BAG-00-00-00</t>
  </si>
  <si>
    <t>0002463331</t>
  </si>
  <si>
    <t>22034656</t>
  </si>
  <si>
    <t>C2951-701-BAG-00-00-00</t>
  </si>
  <si>
    <t>0002461635</t>
  </si>
  <si>
    <t>22031509</t>
  </si>
  <si>
    <t>C2800-7T2D256-BAG-00-00-00</t>
  </si>
  <si>
    <t>0002449256</t>
  </si>
  <si>
    <t>7T2D256</t>
  </si>
  <si>
    <t>22036885</t>
  </si>
  <si>
    <t>NL001-BK1B643-BAG-00-00-00</t>
  </si>
  <si>
    <t>0002436340</t>
  </si>
  <si>
    <t>NL001</t>
  </si>
  <si>
    <t>BK1B643</t>
  </si>
  <si>
    <t>22039131</t>
  </si>
  <si>
    <t>940-WH9G555-BAG-00-00-00</t>
  </si>
  <si>
    <t>0002438640</t>
  </si>
  <si>
    <t>WH9G555</t>
  </si>
  <si>
    <t>22044053</t>
  </si>
  <si>
    <t>223R-BR2G132-BAG-00-00-00</t>
  </si>
  <si>
    <t>LEXFR5DO</t>
  </si>
  <si>
    <t>0002422652</t>
  </si>
  <si>
    <t>BR2G132</t>
  </si>
  <si>
    <t>22040325</t>
  </si>
  <si>
    <t>ENH2900-WH6G038-BAG-00-00-00</t>
  </si>
  <si>
    <t>WH6G038</t>
  </si>
  <si>
    <t>22045549</t>
  </si>
  <si>
    <t>EXL9330-8R6D007-BAG-00-00-00</t>
  </si>
  <si>
    <t>0/12:15:00</t>
  </si>
  <si>
    <t>0002461656</t>
  </si>
  <si>
    <t>8R6D007</t>
  </si>
  <si>
    <t>WNANEX053_PC52_008</t>
  </si>
  <si>
    <t>299903243</t>
  </si>
  <si>
    <t>ER007906-2N2A2997</t>
  </si>
  <si>
    <t>2N2A2997</t>
  </si>
  <si>
    <t>22039935</t>
  </si>
  <si>
    <t>EXL9330-WH8E554-BAG-00-00-00</t>
  </si>
  <si>
    <t>WH8E554</t>
  </si>
  <si>
    <t>22044538</t>
  </si>
  <si>
    <t>123R-GN5G017-BAG-00-00-00</t>
  </si>
  <si>
    <t>GN5G017</t>
  </si>
  <si>
    <t>299903969</t>
  </si>
  <si>
    <t>ER007515-1G9A3562T</t>
  </si>
  <si>
    <t>1G9A3562T</t>
  </si>
  <si>
    <t>22038884</t>
  </si>
  <si>
    <t>C6600-8R8D096-BAG-00-00-00</t>
  </si>
  <si>
    <t>8R8D096</t>
  </si>
  <si>
    <t>299903309</t>
  </si>
  <si>
    <t>HF1110C-6M4D044</t>
  </si>
  <si>
    <t>0/12:00:00</t>
  </si>
  <si>
    <t>0002446863</t>
  </si>
  <si>
    <t>6M4D044</t>
  </si>
  <si>
    <t>0002454705</t>
  </si>
  <si>
    <t>0002457168</t>
  </si>
  <si>
    <t>22028767</t>
  </si>
  <si>
    <t>FXE1414L-WH9G213-BAG-00-00-00</t>
  </si>
  <si>
    <t>FXE1414L</t>
  </si>
  <si>
    <t>WH9G213</t>
  </si>
  <si>
    <t>0002422214</t>
  </si>
  <si>
    <t>22039669</t>
  </si>
  <si>
    <t>C6600-4R8D011-BAG-00-00-00</t>
  </si>
  <si>
    <t>4R8D011</t>
  </si>
  <si>
    <t>22045527</t>
  </si>
  <si>
    <t>EXL9134-7A3D064-BAG-00-00-00</t>
  </si>
  <si>
    <t>0/06:00:00</t>
  </si>
  <si>
    <t>0002450454</t>
  </si>
  <si>
    <t>7A3D064</t>
  </si>
  <si>
    <t>22044924</t>
  </si>
  <si>
    <t>C2950-7T7D279-BAG-00-00-00</t>
  </si>
  <si>
    <t>0002456655</t>
  </si>
  <si>
    <t>7T7D279</t>
  </si>
  <si>
    <t>0002453143</t>
  </si>
  <si>
    <t>0002432469</t>
  </si>
  <si>
    <t>22036326</t>
  </si>
  <si>
    <t>EXL9330-7T3D128-BAG-00-00-00</t>
  </si>
  <si>
    <t>0002416413</t>
  </si>
  <si>
    <t>7T3D128</t>
  </si>
  <si>
    <t>22038683</t>
  </si>
  <si>
    <t>C2800-GY6B278-BAG-00-00-00</t>
  </si>
  <si>
    <t>0002398146</t>
  </si>
  <si>
    <t>GY6B278</t>
  </si>
  <si>
    <t>22034639</t>
  </si>
  <si>
    <t>C2950HF-BK1D834-BAG-00-00-00</t>
  </si>
  <si>
    <t>0002420621</t>
  </si>
  <si>
    <t>WNANEX054_PC52_008</t>
  </si>
  <si>
    <t>299904387</t>
  </si>
  <si>
    <t>ER8285-701</t>
  </si>
  <si>
    <t>ER8285</t>
  </si>
  <si>
    <t>0002439289</t>
  </si>
  <si>
    <t>22080357</t>
  </si>
  <si>
    <t>DX14354X-WH9G545-FBG-00-00-00</t>
  </si>
  <si>
    <t>0002448815</t>
  </si>
  <si>
    <t>WH9G545</t>
  </si>
  <si>
    <t>299904429</t>
  </si>
  <si>
    <t>WF006N-4A8A3915</t>
  </si>
  <si>
    <t>0/06:43:12</t>
  </si>
  <si>
    <t>4A8A3915</t>
  </si>
  <si>
    <t>0002461338</t>
  </si>
  <si>
    <t>VALHC8O</t>
  </si>
  <si>
    <t>0002448552</t>
  </si>
  <si>
    <t>0002457027</t>
  </si>
  <si>
    <t>0002456370</t>
  </si>
  <si>
    <t>PC1X</t>
  </si>
  <si>
    <t>299905923</t>
  </si>
  <si>
    <t>WF009NA-7A5A4812</t>
  </si>
  <si>
    <t>0/01:07:12</t>
  </si>
  <si>
    <t>0002462887</t>
  </si>
  <si>
    <t>WF009NA</t>
  </si>
  <si>
    <t>7A5A4812</t>
  </si>
  <si>
    <t>22040933</t>
  </si>
  <si>
    <t>RFL36-NA9E042-SBG-00-00-00</t>
  </si>
  <si>
    <t>NA9E042</t>
  </si>
  <si>
    <t>22086688</t>
  </si>
  <si>
    <t>WF006N-7A7D096-SBG-00-00-00</t>
  </si>
  <si>
    <t>7A7D096</t>
  </si>
  <si>
    <t>22029843</t>
  </si>
  <si>
    <t>503-739-BAG-00-00-00</t>
  </si>
  <si>
    <t>503</t>
  </si>
  <si>
    <t>22087470</t>
  </si>
  <si>
    <t>WF008N-BK1066-SBG-00-00-00</t>
  </si>
  <si>
    <t>0002461755</t>
  </si>
  <si>
    <t>22030281</t>
  </si>
  <si>
    <t>DE0029-BKNAT-SBG-00-00-00</t>
  </si>
  <si>
    <t>0/03:21:36</t>
  </si>
  <si>
    <t>0002463008</t>
  </si>
  <si>
    <t>DE0029</t>
  </si>
  <si>
    <t>0/22:24:00</t>
  </si>
  <si>
    <t>0002461754</t>
  </si>
  <si>
    <t>22018981</t>
  </si>
  <si>
    <t>V4760-BK1066-BAG-00-00-00</t>
  </si>
  <si>
    <t>299905810</t>
  </si>
  <si>
    <t>503R-WH9G567</t>
  </si>
  <si>
    <t>0002464422</t>
  </si>
  <si>
    <t>WH9G567</t>
  </si>
  <si>
    <t>LEXF5LO</t>
  </si>
  <si>
    <t>0/13:26:24</t>
  </si>
  <si>
    <t>0002462818</t>
  </si>
  <si>
    <t>0002461634</t>
  </si>
  <si>
    <t>299905791</t>
  </si>
  <si>
    <t>HFD4271-9G7A4722</t>
  </si>
  <si>
    <t>PC9LO</t>
  </si>
  <si>
    <t>0002461499</t>
  </si>
  <si>
    <t>9G7A4722</t>
  </si>
  <si>
    <t>22085768</t>
  </si>
  <si>
    <t>D251-GY8H033-BAG-00-00-00</t>
  </si>
  <si>
    <t>0002455712</t>
  </si>
  <si>
    <t>GY8H033</t>
  </si>
  <si>
    <t>0002447056</t>
  </si>
  <si>
    <t>0002459714</t>
  </si>
  <si>
    <t>299904428</t>
  </si>
  <si>
    <t>WF006N-2A5A3909</t>
  </si>
  <si>
    <t>PC2LO</t>
  </si>
  <si>
    <t>0002459699</t>
  </si>
  <si>
    <t>2A5A3909</t>
  </si>
  <si>
    <t>299904414</t>
  </si>
  <si>
    <t>EXL4419-7G7A3788</t>
  </si>
  <si>
    <t>0002461527</t>
  </si>
  <si>
    <t>7G7A3788</t>
  </si>
  <si>
    <t>0002459695</t>
  </si>
  <si>
    <t>0002464404</t>
  </si>
  <si>
    <t>299901854</t>
  </si>
  <si>
    <t>D151-6M2A1665</t>
  </si>
  <si>
    <t>0002442820</t>
  </si>
  <si>
    <t>6M2A1665</t>
  </si>
  <si>
    <t>22038790</t>
  </si>
  <si>
    <t>C6200-7T4D018-BAG-00-00-00</t>
  </si>
  <si>
    <t>0002419666</t>
  </si>
  <si>
    <t>7T4D018</t>
  </si>
  <si>
    <t>22031886</t>
  </si>
  <si>
    <t>DFL22-BK8115-BAG-00-00-00</t>
  </si>
  <si>
    <t>0002425443</t>
  </si>
  <si>
    <t>0002463155</t>
  </si>
  <si>
    <t>299905850</t>
  </si>
  <si>
    <t>D151-7G2A4433</t>
  </si>
  <si>
    <t>0002464449</t>
  </si>
  <si>
    <t>7G2A4433</t>
  </si>
  <si>
    <t>22037395</t>
  </si>
  <si>
    <t>R2000-BK1A831-SBG-00-00-00</t>
  </si>
  <si>
    <t>PA67O</t>
  </si>
  <si>
    <t>0002423801</t>
  </si>
  <si>
    <t>BK1A831</t>
  </si>
  <si>
    <t>22033684</t>
  </si>
  <si>
    <t>420SE0-GN4B079-BAG-00-00-00</t>
  </si>
  <si>
    <t>VALF3DO</t>
  </si>
  <si>
    <t>0002446793</t>
  </si>
  <si>
    <t>GN4B079</t>
  </si>
  <si>
    <t>22031145</t>
  </si>
  <si>
    <t>3413R-YW7G114-SBG-00-00-00</t>
  </si>
  <si>
    <t>0/08:57:36</t>
  </si>
  <si>
    <t>0002461403</t>
  </si>
  <si>
    <t>YW7G114</t>
  </si>
  <si>
    <t>MRP_Controller</t>
  </si>
  <si>
    <t>MB_LEX_F4520S</t>
  </si>
  <si>
    <t>BK1E540</t>
  </si>
  <si>
    <t>L12</t>
  </si>
  <si>
    <t>L13</t>
  </si>
  <si>
    <t>L14</t>
  </si>
  <si>
    <t>L15</t>
  </si>
  <si>
    <t>L16</t>
  </si>
  <si>
    <t>L25</t>
  </si>
  <si>
    <t>L26</t>
  </si>
  <si>
    <t>L27</t>
  </si>
  <si>
    <t>L28</t>
  </si>
  <si>
    <t>L29</t>
  </si>
  <si>
    <t>L30</t>
  </si>
  <si>
    <t>L51</t>
  </si>
  <si>
    <t>L52</t>
  </si>
  <si>
    <t>L53</t>
  </si>
  <si>
    <t>L54</t>
  </si>
  <si>
    <t>0402</t>
  </si>
  <si>
    <t xml:space="preserve"> 含Br/Cl      </t>
  </si>
  <si>
    <t xml:space="preserve">  FDA/可使用50%粒子    </t>
  </si>
  <si>
    <t xml:space="preserve">  粒子FDA    </t>
  </si>
  <si>
    <t xml:space="preserve"> 含Br/Cl  粒子/confirm/NS2_NO    </t>
  </si>
  <si>
    <t xml:space="preserve">  粒子    </t>
  </si>
  <si>
    <t xml:space="preserve">  粒子in L2/5/8/9/25/31    </t>
  </si>
  <si>
    <t xml:space="preserve">  可使用一种粒子   黑点  </t>
  </si>
  <si>
    <t xml:space="preserve">  粒子_confirm/NS2_No    </t>
  </si>
  <si>
    <t xml:space="preserve">  粒子_41.5%    </t>
  </si>
  <si>
    <t xml:space="preserve">  粒子Fix on L3/L4    </t>
  </si>
  <si>
    <t xml:space="preserve"> 含Br/Cl  粒子    </t>
  </si>
  <si>
    <t xml:space="preserve">  粒子_NS2禁用    </t>
  </si>
  <si>
    <t xml:space="preserve">  粒子Not NS1, PP issue    </t>
  </si>
  <si>
    <t xml:space="preserve">  粒子  黑点  </t>
  </si>
  <si>
    <t xml:space="preserve">  粒子Fix on L7    </t>
  </si>
  <si>
    <t xml:space="preserve"> 含Br/Cl  粒子L8 /  GY5~6    </t>
  </si>
  <si>
    <t xml:space="preserve">  粒子similar as LG9000-BK1044MX / _NS2禁用    </t>
  </si>
  <si>
    <t xml:space="preserve"> 含Br/Cl  粒子_confirm/NS2_No    </t>
  </si>
  <si>
    <t xml:space="preserve">LXN      </t>
  </si>
  <si>
    <t xml:space="preserve">CCY      </t>
  </si>
  <si>
    <t xml:space="preserve">LXN/CCY      </t>
  </si>
  <si>
    <t xml:space="preserve">XHT/LXN      </t>
  </si>
  <si>
    <t xml:space="preserve">Konduit      </t>
  </si>
  <si>
    <t xml:space="preserve">GL      </t>
  </si>
  <si>
    <t xml:space="preserve">GF/GL      </t>
  </si>
  <si>
    <t xml:space="preserve">FARADEX      </t>
  </si>
  <si>
    <t xml:space="preserve">FR      </t>
  </si>
  <si>
    <t xml:space="preserve">LMS      </t>
  </si>
  <si>
    <t xml:space="preserve">GF      </t>
  </si>
  <si>
    <t xml:space="preserve">LMS/3M      </t>
  </si>
  <si>
    <t xml:space="preserve">3M      </t>
  </si>
  <si>
    <t xml:space="preserve">CCY/GF(28)      </t>
  </si>
  <si>
    <t xml:space="preserve">WP      </t>
  </si>
  <si>
    <t xml:space="preserve">LXN/CCY(Nature item only use LXN)      </t>
  </si>
  <si>
    <t xml:space="preserve">off-line mixing      </t>
  </si>
  <si>
    <t>IL2</t>
  </si>
  <si>
    <t>IL1</t>
  </si>
  <si>
    <t>IX2</t>
  </si>
  <si>
    <t>CL1</t>
  </si>
  <si>
    <t>IY2</t>
  </si>
  <si>
    <t>IY1</t>
  </si>
  <si>
    <t>IX1</t>
  </si>
  <si>
    <t>IT2</t>
  </si>
  <si>
    <t>IV2</t>
  </si>
  <si>
    <t>IT1</t>
  </si>
  <si>
    <t>IV1</t>
  </si>
  <si>
    <t>CV1</t>
  </si>
  <si>
    <t>IX4</t>
  </si>
  <si>
    <t>IC2</t>
  </si>
  <si>
    <t>IC1</t>
  </si>
  <si>
    <t>IP2</t>
  </si>
  <si>
    <t xml:space="preserve">0402  123R-WH6D257-BAG    2000KG   22033097    (200558215)  IL2  LXN/CCY          粒子      </t>
    <phoneticPr fontId="4" type="noConversion"/>
  </si>
  <si>
    <t xml:space="preserve">0402  XHT4141-NA5D001T-BAG    2000KG   22041169    (200563816)  IX2  XHT/LXN          </t>
    <phoneticPr fontId="4" type="noConversion"/>
  </si>
  <si>
    <t xml:space="preserve">0402  223R-WH9G279-BAG    5000KG   22037770    (200571581)  IL2  LXN/CCY          粒子in L2/5/8/9/25/31      </t>
    <phoneticPr fontId="4" type="noConversion"/>
  </si>
  <si>
    <t xml:space="preserve">0402  123-111N-BAG    2000KG   22038090    (200569685)  IL2  LXN/CCY          </t>
    <phoneticPr fontId="4" type="noConversion"/>
  </si>
  <si>
    <t xml:space="preserve">0402  144R-111FC-BAG    20000KG   22021418    (97255057)  IL1  LXN/CCY          粒子FDA      </t>
    <phoneticPr fontId="4" type="noConversion"/>
  </si>
  <si>
    <t xml:space="preserve">0402  953A-116-BAG    10075KG   22022088    (200566093)  IL2  LXN/CCY         含Br/Cl        </t>
    <phoneticPr fontId="4" type="noConversion"/>
  </si>
  <si>
    <t xml:space="preserve">0402  123R-WH6D257-BAG    2000KG   22033097    (200558279)  IL2  LXN/CCY          粒子      </t>
    <phoneticPr fontId="4" type="noConversion"/>
  </si>
  <si>
    <t xml:space="preserve">0402  920A-116-BAG    2060KG   22022160    (200570597)  IL2  LXN/CCY         含Br/Cl  粒子/confirm/NS2_NO      </t>
    <phoneticPr fontId="4" type="noConversion"/>
  </si>
  <si>
    <t xml:space="preserve">0402  121-111-BAG    2060KG   22030694    (200572872)    LXN/CCY          </t>
    <phoneticPr fontId="4" type="noConversion"/>
  </si>
  <si>
    <t xml:space="preserve">0402  124R-111FC-BAG    20000KG   22021312    (200465970)  IL2  LXN/CCY          粒子FDA      </t>
    <phoneticPr fontId="4" type="noConversion"/>
  </si>
  <si>
    <t xml:space="preserve">0402  124R-111FC-BAG    20000KG   22021312    (200465994)  IL2  LXN/CCY          粒子FDA      </t>
    <phoneticPr fontId="4" type="noConversion"/>
  </si>
  <si>
    <t xml:space="preserve">0402  C2950-WH8G018-BAG    3000KG   22031555    (200557761)  IY2  CCY          </t>
    <phoneticPr fontId="4" type="noConversion"/>
  </si>
  <si>
    <t xml:space="preserve">0402  C1200HF-BL1D302-BAG    10000KG   22039398    (200561283)  IY2  CCY          粒子      </t>
    <phoneticPr fontId="4" type="noConversion"/>
  </si>
  <si>
    <t xml:space="preserve">0402  LUX2289-WH9G012-BAG    10000KG   22023833    (200498129)  IL2  LXN/CCY          </t>
    <phoneticPr fontId="4" type="noConversion"/>
  </si>
  <si>
    <t xml:space="preserve">0402  C2950-YW8001S-BAG    10000KG   22039533    (200556059)  IY2  CCY          </t>
    <phoneticPr fontId="4" type="noConversion"/>
  </si>
  <si>
    <t xml:space="preserve">0402  C6600-2B2D008-BAG    5000KG   22039652    (200566300)  IY2  CCY          粒子      </t>
    <phoneticPr fontId="4" type="noConversion"/>
  </si>
  <si>
    <t xml:space="preserve">0402  C2950-8T8D247-BAG    10000KG   22046215    (200548434)  IY2  CCY          粒子      </t>
    <phoneticPr fontId="4" type="noConversion"/>
  </si>
  <si>
    <t xml:space="preserve">0402  LUX2289-WH9G012-BAG    10000KG   22023833    (200498132)  IL2  LXN/CCY          </t>
    <phoneticPr fontId="4" type="noConversion"/>
  </si>
  <si>
    <t xml:space="preserve">0402  C1200HF-YW7B089-BAG    10000KG   22038639    (200559146)  IY2  CCY          粒子      </t>
    <phoneticPr fontId="4" type="noConversion"/>
  </si>
  <si>
    <t xml:space="preserve">0402  C1200HF-GY3F031-BAG    5150KG   22034454    (200572750)    CCY          </t>
    <phoneticPr fontId="4" type="noConversion"/>
  </si>
  <si>
    <t xml:space="preserve">0402  C1200HF-GY3F031-BAG    5150KG   22034454    (200571976)    CCY          </t>
    <phoneticPr fontId="4" type="noConversion"/>
  </si>
  <si>
    <t xml:space="preserve">0402  LUX2289-WH9G012-BAG    10000KG   22023833    (200498114)  IL2  LXN/CCY          </t>
    <phoneticPr fontId="4" type="noConversion"/>
  </si>
  <si>
    <t xml:space="preserve">0402  EXL9330-5T7D005-BAG    5000KG   22029397    (200544340)  IX2  CCY          </t>
    <phoneticPr fontId="4" type="noConversion"/>
  </si>
  <si>
    <t xml:space="preserve">0402  C6600-8M9D029-BAG    5000KG   22022574    (200551140)  IY2  CCY          </t>
    <phoneticPr fontId="4" type="noConversion"/>
  </si>
  <si>
    <t xml:space="preserve">0402  C2950-8T8D247-BAG    10000KG   22046215    (200528496)  IY2  CCY          粒子      </t>
    <phoneticPr fontId="4" type="noConversion"/>
  </si>
  <si>
    <t xml:space="preserve">0402  CY6025-WH8G710-BAG    10000KG   22030264    (200548773)  IY2  CCY          可使用一种粒子   黑点    </t>
    <phoneticPr fontId="4" type="noConversion"/>
  </si>
  <si>
    <t xml:space="preserve">0402  XCY620S-100-BAG    22000KG   22025073    (86435844)  IY1  CCY          </t>
    <phoneticPr fontId="4" type="noConversion"/>
  </si>
  <si>
    <t xml:space="preserve">0402  C6600-2B2D008-BAG    5000KG   22039652    (200566327)  IY2  CCY          粒子      </t>
    <phoneticPr fontId="4" type="noConversion"/>
  </si>
  <si>
    <t xml:space="preserve">0402  XCY620S-100-BAG    10000KG   22025073    (86435845)  IY1  CCY          </t>
    <phoneticPr fontId="4" type="noConversion"/>
  </si>
  <si>
    <t xml:space="preserve">0402  CY6025-WH8G710-BAG    20000KG   22030264    (200566116)  IY2  CCY          可使用一种粒子   黑点    </t>
    <phoneticPr fontId="4" type="noConversion"/>
  </si>
  <si>
    <t xml:space="preserve">0402  LUX2289-WH9G012-BAG    10000KG   22023833    (200498133)  IL2  LXN/CCY          </t>
    <phoneticPr fontId="4" type="noConversion"/>
  </si>
  <si>
    <t xml:space="preserve">0402  C2950-GY8E432-BAG    5000KG   22029950    (200548369)  IY2  CCY          </t>
    <phoneticPr fontId="4" type="noConversion"/>
  </si>
  <si>
    <t xml:space="preserve">0402  C2950-WH8G018-BAG    5000KG   22031555    (200548380)  IY2  CCY          </t>
    <phoneticPr fontId="4" type="noConversion"/>
  </si>
  <si>
    <t xml:space="preserve">0402  C6600-2B2D008-BAG    5000KG   22039652    (200566364)  IY2  CCY          粒子      </t>
    <phoneticPr fontId="4" type="noConversion"/>
  </si>
  <si>
    <t xml:space="preserve">0402  C2950-WH8G018-BAG    5000KG   22031555    (200304498)  IY2  CCY          </t>
    <phoneticPr fontId="4" type="noConversion"/>
  </si>
  <si>
    <t xml:space="preserve">0402  XTPMFR10-BK1G005-BAG    3000KG   22044494    (200542091)    CCY          </t>
    <phoneticPr fontId="4" type="noConversion"/>
  </si>
  <si>
    <t xml:space="preserve">0402  XHT2141-GY5G190-BAG    10000KG   22041167    (200498168)  IX2  XHT/LXN          </t>
    <phoneticPr fontId="4" type="noConversion"/>
  </si>
  <si>
    <t xml:space="preserve">0402  LUX2289-WH9G012-BAG    10000KG   22023833    (200498059)  IL2  LXN/CCY          </t>
    <phoneticPr fontId="4" type="noConversion"/>
  </si>
  <si>
    <t xml:space="preserve">0402  C2950-YW8001S-BAG    20000KG   22039533    (200550097)  IY2  CCY          </t>
    <phoneticPr fontId="4" type="noConversion"/>
  </si>
  <si>
    <t xml:space="preserve">0402  C1200HF-GY3F031-BAG    5150KG   22034454    (200572783)    CCY          </t>
    <phoneticPr fontId="4" type="noConversion"/>
  </si>
  <si>
    <t xml:space="preserve">0402  141R-80711-BAG    9000KG   22038171    (200534768)  IL2  LXN/CCY          粒子      </t>
    <phoneticPr fontId="4" type="noConversion"/>
  </si>
  <si>
    <t xml:space="preserve">0402  XCY620S-100-BAG    20000KG   22025073    (82933313)  IY1  CCY          </t>
    <phoneticPr fontId="4" type="noConversion"/>
  </si>
  <si>
    <t xml:space="preserve">0402  144-111N-BBG    20000KG   22088203    (96126398)  CL1  LXN/CCY          </t>
    <phoneticPr fontId="4" type="noConversion"/>
  </si>
  <si>
    <t xml:space="preserve">0402  241R-701-BAG    10000KG   22021559    (200566414)  IL2  LXN/CCY          </t>
    <phoneticPr fontId="4" type="noConversion"/>
  </si>
  <si>
    <t xml:space="preserve">0402  C2950HF-66615-BAG    2000KG   22019694    (200566284)  IY2  CCY         含Br/Cl  粒子      </t>
    <phoneticPr fontId="4" type="noConversion"/>
  </si>
  <si>
    <t xml:space="preserve">0402  945-7M1D058-BAG    10000KG   22017645    (200556112)  IL2  CCY          </t>
    <phoneticPr fontId="4" type="noConversion"/>
  </si>
  <si>
    <t xml:space="preserve">0402  C6600-GY9A016-BAG    3090KG   22039826    (200570796)  IY2  CCY          粒子      </t>
    <phoneticPr fontId="4" type="noConversion"/>
  </si>
  <si>
    <t xml:space="preserve">0402  950-BK1334-    5000KG   299900857    (200548470)  IL2  CCY         含Br/Cl        </t>
    <phoneticPr fontId="4" type="noConversion"/>
  </si>
  <si>
    <t xml:space="preserve">0402  244RF-GY7G193F-BAG    10000KG   22033846    (200563831)  IL2  LXN/CCY          粒子FDA      </t>
    <phoneticPr fontId="4" type="noConversion"/>
  </si>
  <si>
    <t xml:space="preserve">0402  C2950-GY8E438-BAG    5000KG   22039523    (200545170)    CCY          粒子      </t>
    <phoneticPr fontId="4" type="noConversion"/>
  </si>
  <si>
    <t xml:space="preserve">0402  XCY620S-100-BAG    10000KG   22025073    (90053025)  IY1  CCY          </t>
    <phoneticPr fontId="4" type="noConversion"/>
  </si>
  <si>
    <t xml:space="preserve">0402  CX7240-7T1D434-BAG    2060KG   22067443    (200570765)  IY2  CCY         含Br/Cl        </t>
    <phoneticPr fontId="4" type="noConversion"/>
  </si>
  <si>
    <t xml:space="preserve">0402  C6600-GY6A480-BAG    10000KG   22027944    (200562455)  IY2  CCY          粒子      </t>
    <phoneticPr fontId="4" type="noConversion"/>
  </si>
  <si>
    <t xml:space="preserve">0402  CY6120-GY9A016-BAG    2000KG   22030266    (200558989)    CCY          粒子      </t>
    <phoneticPr fontId="4" type="noConversion"/>
  </si>
  <si>
    <t xml:space="preserve">0402  940-4B7D013-BAG    3000KG   22029811    (200570750)    CCY         含Br/Cl  粒子      </t>
    <phoneticPr fontId="4" type="noConversion"/>
  </si>
  <si>
    <t xml:space="preserve">0402  XCY620S-76701-BAG    20000KG   22037308    (97125724)  IY1  CCY          </t>
    <phoneticPr fontId="4" type="noConversion"/>
  </si>
  <si>
    <t xml:space="preserve">0402  C2950-GY8E438-BAG    2000KG   22039523    (200549284)    CCY          粒子      </t>
    <phoneticPr fontId="4" type="noConversion"/>
  </si>
  <si>
    <t xml:space="preserve">0402  XCY620S-76701-BAG    20000KG   22037308    (97124241)  IY1  CCY          </t>
    <phoneticPr fontId="4" type="noConversion"/>
  </si>
  <si>
    <t xml:space="preserve">0402  XCY620S-76701-BAG    20000KG   22037308    (97124242)  IY1  CCY          </t>
    <phoneticPr fontId="4" type="noConversion"/>
  </si>
  <si>
    <t xml:space="preserve">0402  XCY620S-76701-BAG    20000KG   22037308    (97124243)  IY1  CCY          </t>
    <phoneticPr fontId="4" type="noConversion"/>
  </si>
  <si>
    <t xml:space="preserve">0402  C6600-BK1740-BAG    2060KG   22031670    (200570619)  IY2  CCY          </t>
    <phoneticPr fontId="4" type="noConversion"/>
  </si>
  <si>
    <t xml:space="preserve">0402  XCY620S-76701-BAG    20000KG   22037308    (97124244)  IY1  CCY          </t>
    <phoneticPr fontId="4" type="noConversion"/>
  </si>
  <si>
    <t xml:space="preserve">0402  123R-BK1G204-BAG    2000KG   22033067    (200557139)    LXN/CCY          </t>
    <phoneticPr fontId="4" type="noConversion"/>
  </si>
  <si>
    <t xml:space="preserve">0402  XCY620S-76701-BAG    20000KG   22037308    (97125727)  IY1  CCY          </t>
    <phoneticPr fontId="4" type="noConversion"/>
  </si>
  <si>
    <t xml:space="preserve">0402  XCY620S-76701-BAG    20000KG   22037308    (97125729)  IY1  CCY          </t>
    <phoneticPr fontId="4" type="noConversion"/>
  </si>
  <si>
    <t xml:space="preserve">0402  C6600E-GY1C173-BAG    2000KG   22030022    (200559107)  IY2  CCY          </t>
    <phoneticPr fontId="4" type="noConversion"/>
  </si>
  <si>
    <t xml:space="preserve">0402  SLX2271T-BK1G296-BAG    20000KG   22020921    (95369669)    LXN/CCY          </t>
    <phoneticPr fontId="4" type="noConversion"/>
  </si>
  <si>
    <t xml:space="preserve">0402  SLX2271T-BK1G296-BAG    20000KG   22020921    (95369670)    LXN/CCY          </t>
    <phoneticPr fontId="4" type="noConversion"/>
  </si>
  <si>
    <t xml:space="preserve">0402  SLX2271T-BK1G296-BAG    20000KG   22020921    (97255631)    LXN/CCY          </t>
    <phoneticPr fontId="4" type="noConversion"/>
  </si>
  <si>
    <t xml:space="preserve">0402  SLX2271T-BK1G296-BAG    20000KG   22020921    (97254799)    LXN/CCY          </t>
    <phoneticPr fontId="4" type="noConversion"/>
  </si>
  <si>
    <t xml:space="preserve">0402  CH6310-GY9C050-BAG    1000KG   22039074    (200559959)  IY2  CCY          粒子_41.5%      </t>
    <phoneticPr fontId="4" type="noConversion"/>
  </si>
  <si>
    <t xml:space="preserve">0402  C6600-7T1D434-BAG    1000KG   22085413    (200566070)  IY2  CCY         含Br/Cl        </t>
    <phoneticPr fontId="4" type="noConversion"/>
  </si>
  <si>
    <t xml:space="preserve">0402  223R-RD8G025-BAG    500KG   22037765    (200549100)  IL2  LXN/CCY          </t>
    <phoneticPr fontId="4" type="noConversion"/>
  </si>
  <si>
    <t xml:space="preserve">0402  CX7240-7T5D172-BAG    1000KG   22085534    (200524763)  IY2  CCY          </t>
    <phoneticPr fontId="4" type="noConversion"/>
  </si>
  <si>
    <t xml:space="preserve">0402  LUX9616-WH8E491X-BAG    1060KG   22018736    (96032102)  IL2  LXN          </t>
    <phoneticPr fontId="4" type="noConversion"/>
  </si>
  <si>
    <t xml:space="preserve">0402  161R-111-BAG    1060KG   22033354    (314857891)    LXN/CCY          </t>
    <phoneticPr fontId="4" type="noConversion"/>
  </si>
  <si>
    <t xml:space="preserve">0402  945-GY2E572-BAG    500KG   22034256    (200562544)    CCY          </t>
    <phoneticPr fontId="4" type="noConversion"/>
  </si>
  <si>
    <t xml:space="preserve">0402  CX7240U-7M1D051-BAG    1060KG   22022738    (314853363)  IY2  CCY          </t>
    <phoneticPr fontId="4" type="noConversion"/>
  </si>
  <si>
    <t xml:space="preserve">0402  945U-701-BAG    1000KG   22022075    (200554547)  IL2  CCY          </t>
    <phoneticPr fontId="4" type="noConversion"/>
  </si>
  <si>
    <t xml:space="preserve">0402  CFR7431-NA8E061T-BAG    848KG   22018381    (98023131)  IX2  LXN/CCY          </t>
    <phoneticPr fontId="4" type="noConversion"/>
  </si>
  <si>
    <t xml:space="preserve">0402  C2800-701-BAG    1000KG   22017334    (200513088)  IY2  CCY          </t>
    <phoneticPr fontId="4" type="noConversion"/>
  </si>
  <si>
    <t xml:space="preserve">0402  C6200-7T1D123-BAG    530KG   22035115    (200571903)  IY2  CCY          </t>
    <phoneticPr fontId="4" type="noConversion"/>
  </si>
  <si>
    <t xml:space="preserve">0402  C6200-7T1D123-BAG    500KG   22035115    (200567454)  IY2  CCY          </t>
    <phoneticPr fontId="4" type="noConversion"/>
  </si>
  <si>
    <t xml:space="preserve">0402  LG9000-100-BAG    1000KG   22023994    (200553320)  IY2  CCY          粒子_NS2禁用      </t>
    <phoneticPr fontId="4" type="noConversion"/>
  </si>
  <si>
    <t xml:space="preserve">0402  920-GY2C239-BAG    300KG   22029170    (200568771)    CCY         含Br/Cl        </t>
    <phoneticPr fontId="4" type="noConversion"/>
  </si>
  <si>
    <t xml:space="preserve">0402  C6600-WH7E078-BAG    530KG   22030166    (200571882)    CCY          粒子      </t>
    <phoneticPr fontId="4" type="noConversion"/>
  </si>
  <si>
    <t xml:space="preserve">0402  C6600-GY5E348-BAG    530KG   22030150    (200572915)    CCY          粒子      </t>
    <phoneticPr fontId="4" type="noConversion"/>
  </si>
  <si>
    <t xml:space="preserve">0402  C2950-WH9C272-BAG    1000KG   22039530    (200559285)    CCY          粒子      </t>
    <phoneticPr fontId="4" type="noConversion"/>
  </si>
  <si>
    <t xml:space="preserve">0402  XCY620-GY7G608-BAG    1000KG   22045866    (200537813)  IY2  CCY          粒子      </t>
    <phoneticPr fontId="4" type="noConversion"/>
  </si>
  <si>
    <t xml:space="preserve">0402  LUX9616G-WH8A492X-BAG    1000KG   22017868    (200566614)    LXN          </t>
    <phoneticPr fontId="4" type="noConversion"/>
  </si>
  <si>
    <t xml:space="preserve">0402  C2950-701-BAG    20399.999KG   22022271    (97729650)  IY1  CCY          </t>
    <phoneticPr fontId="4" type="noConversion"/>
  </si>
  <si>
    <t xml:space="preserve">0402  EXL1414-BK1A068-BAG    20399.999KG   22022857    (97968369)  IX1  CCY          </t>
    <phoneticPr fontId="4" type="noConversion"/>
  </si>
  <si>
    <t xml:space="preserve">0402  SLX2271T-BK1G296-BAG    20000KG   22020921    (94691987)    LXN/CCY          </t>
    <phoneticPr fontId="4" type="noConversion"/>
  </si>
  <si>
    <t xml:space="preserve">0402  C1200HF-701-BAG    20000KG   22022222    (94676108)  IY1  CCY          </t>
    <phoneticPr fontId="4" type="noConversion"/>
  </si>
  <si>
    <t xml:space="preserve">0402  C1200HF-701-BAG    20000KG   22022222    (94676109)  IY1  CCY          </t>
    <phoneticPr fontId="4" type="noConversion"/>
  </si>
  <si>
    <t xml:space="preserve">0402  HF1140-111FC-BAG    10200KG   22020237    (200573478)  IL2  LXN/CCY          FDA/可使用50%粒子      </t>
    <phoneticPr fontId="4" type="noConversion"/>
  </si>
  <si>
    <t xml:space="preserve">0402  C6600-8B8D004-BAG    6000KG   22035246    (200503072)    CCY          粒子Not NS1, PP issue      </t>
    <phoneticPr fontId="4" type="noConversion"/>
  </si>
  <si>
    <t xml:space="preserve">0402  C1200HF-701-BAG    20000KG   22022222    (94676110)  IY1  CCY          </t>
    <phoneticPr fontId="4" type="noConversion"/>
  </si>
  <si>
    <t xml:space="preserve">0402  C1100HF-701-BAG    10000KG   22039357    (200494097)  IY2  CCY          </t>
    <phoneticPr fontId="4" type="noConversion"/>
  </si>
  <si>
    <t xml:space="preserve">0402  C1200HF-BK2G024-BAG    20000KG   22034874    (200536187)  IY2  CCY          </t>
    <phoneticPr fontId="4" type="noConversion"/>
  </si>
  <si>
    <t xml:space="preserve">0402  C1200HF-BK2G024-BAG    20000KG   22034874    (200530327)  IY2  CCY          </t>
    <phoneticPr fontId="4" type="noConversion"/>
  </si>
  <si>
    <t xml:space="preserve">0402  C1200HF-100-BAG    20000KG   22019660    (94679206)  IY1  CCY          </t>
    <phoneticPr fontId="4" type="noConversion"/>
  </si>
  <si>
    <t xml:space="preserve">0402  C1200HF-BK1G484U-BBG    20000KG   22031613    (200497039)    CCY          </t>
    <phoneticPr fontId="4" type="noConversion"/>
  </si>
  <si>
    <t xml:space="preserve">0402  LS2-414-BAG    5000KG   22018729    (200566112)  IL2  LXN/CCY          粒子      </t>
    <phoneticPr fontId="4" type="noConversion"/>
  </si>
  <si>
    <t xml:space="preserve">0402  EXL9330-2T2D063-BAG    500KG   22036303    (200568360)    CCY          </t>
    <phoneticPr fontId="4" type="noConversion"/>
  </si>
  <si>
    <t xml:space="preserve">0402  EXL9112-BK1A068-BAG    1000KG   22035891    (92466148)    CCY          </t>
    <phoneticPr fontId="4" type="noConversion"/>
  </si>
  <si>
    <t xml:space="preserve">0402  121R-VT6A015T-BAG    1000KG   22033298    (200480859)    LXN/CCY          </t>
    <phoneticPr fontId="4" type="noConversion"/>
  </si>
  <si>
    <t xml:space="preserve">0402  HF1130R-BK1A184T-BAG    1000KG   22046457    (200535984)  IL2  LXN/CCY          </t>
    <phoneticPr fontId="4" type="noConversion"/>
  </si>
  <si>
    <t xml:space="preserve">0402  C2950HF-2T2D070-BAG    1050KG   22039535    (200572951)  IY2  CCY          粒子      </t>
    <phoneticPr fontId="4" type="noConversion"/>
  </si>
  <si>
    <t xml:space="preserve">0402  MC1300-701-BAG    10000KG   22023858    (200557043)    CCY          </t>
    <phoneticPr fontId="4" type="noConversion"/>
  </si>
  <si>
    <t xml:space="preserve">0402  ML6411-96536-BAG    2100KG   22030573    (200571849)  IX2  CCY          粒子_confirm/NS2_No      </t>
    <phoneticPr fontId="4" type="noConversion"/>
  </si>
  <si>
    <t xml:space="preserve">0402  9925A-7T2D137T-BAG    500KG   22039298    (200566630)  IL2  LXN          </t>
    <phoneticPr fontId="4" type="noConversion"/>
  </si>
  <si>
    <t xml:space="preserve">0402  LS2-6162-BAG    2000KG   22018730    (200566171)  IL2  LXN/CCY          粒子  黑点    </t>
    <phoneticPr fontId="4" type="noConversion"/>
  </si>
  <si>
    <t xml:space="preserve">0402  C6600-7T4D208-BAG    1000KG   22039705    (200563864)    CCY          </t>
    <phoneticPr fontId="4" type="noConversion"/>
  </si>
  <si>
    <t xml:space="preserve">0402  XHT4143-RD3D213T-    2100KG   290032027    (200570895)    XHT/LXN          </t>
    <phoneticPr fontId="4" type="noConversion"/>
  </si>
  <si>
    <t xml:space="preserve">0402  C1200HF-GY3F031-BAG    1050KG   22034454    (200572773)    CCY          </t>
    <phoneticPr fontId="4" type="noConversion"/>
  </si>
  <si>
    <t xml:space="preserve">0402  C2950HF-2T2D070-BAG    200KG   22039535    (200562665)  IY2  CCY          粒子      </t>
    <phoneticPr fontId="4" type="noConversion"/>
  </si>
  <si>
    <t xml:space="preserve">0402  BFL4000U-WH3150-BAG    1000KG   22017663    (200549057)  IL2  CCY          </t>
    <phoneticPr fontId="4" type="noConversion"/>
  </si>
  <si>
    <t xml:space="preserve">0402  121-7A7D088-BAG    1050KG   22043983    (200567340)  IL2  LXN/CCY          粒子  黑点    </t>
    <phoneticPr fontId="4" type="noConversion"/>
  </si>
  <si>
    <t xml:space="preserve">0402  EXL9134-7A8D006-BAG    1000KG   22023110    (200550250)  IX2  CCY          </t>
    <phoneticPr fontId="4" type="noConversion"/>
  </si>
  <si>
    <t xml:space="preserve">0402  EXL9134-7A8D006-BAG    1000KG   22023110    (200545606)  IX2  CCY          </t>
    <phoneticPr fontId="4" type="noConversion"/>
  </si>
  <si>
    <t xml:space="preserve">0402  EXL9330-YW8D008-BAG    5000KG   22032208    (200548634)  IX2  CCY          </t>
    <phoneticPr fontId="4" type="noConversion"/>
  </si>
  <si>
    <t xml:space="preserve">0402  EXL9330-GY8D578-BAG    6300KG   22028976    (200570824)  IX2  CCY          </t>
    <phoneticPr fontId="4" type="noConversion"/>
  </si>
  <si>
    <t xml:space="preserve">0402  LUX7169-WH8G733-BAG    2000KG   22041058    (96245775)  IL2  CCY          </t>
    <phoneticPr fontId="4" type="noConversion"/>
  </si>
  <si>
    <t xml:space="preserve">0402  123R-WH5G107-BAG    2000KG   22044544    (200470262)  IL2  LXN/CCY          粒子      </t>
    <phoneticPr fontId="4" type="noConversion"/>
  </si>
  <si>
    <t xml:space="preserve">0402  C1200HF-96622-BAG    4000KG   22034863    (200563832)  IY2  CCY          </t>
    <phoneticPr fontId="4" type="noConversion"/>
  </si>
  <si>
    <t xml:space="preserve">0402  C6600-WH7222-BAG    1000KG   22022414    (200563863)    CCY          粒子      </t>
    <phoneticPr fontId="4" type="noConversion"/>
  </si>
  <si>
    <t xml:space="preserve">0402  241R-WH2C006-BAG    10000KG   22038458    (200559182)  IL2  LXN/CCY          粒子      </t>
    <phoneticPr fontId="4" type="noConversion"/>
  </si>
  <si>
    <t xml:space="preserve">0402  945-7T8D574-BAG    500KG   22034225    (200559302)  IL2  CCY          </t>
    <phoneticPr fontId="4" type="noConversion"/>
  </si>
  <si>
    <t xml:space="preserve">0402  ML6411-WH8D293-BAG    1000KG   22037050    (200559265)  IX2  CCY          粒子_confirm/NS2_No      </t>
    <phoneticPr fontId="4" type="noConversion"/>
  </si>
  <si>
    <t xml:space="preserve">0402  C6200-GY7C059-BAG    2000KG   22022537    (200538817)    CCY          粒子      </t>
    <phoneticPr fontId="4" type="noConversion"/>
  </si>
  <si>
    <t xml:space="preserve">0402  945-8T9D140-BAG    2000KG   22028869    (200561367)    CCY          </t>
    <phoneticPr fontId="4" type="noConversion"/>
  </si>
  <si>
    <t xml:space="preserve">0402  ML6411-7M8D024-BAG    1000KG   22040671    (200548418)    CCY          粒子_confirm/NS2_No      </t>
    <phoneticPr fontId="4" type="noConversion"/>
  </si>
  <si>
    <t xml:space="preserve">0402  LUX2289-WH9G012-BAG    10000KG   22023833    (200530684)  IL2  LXN/CCY          </t>
    <phoneticPr fontId="4" type="noConversion"/>
  </si>
  <si>
    <t xml:space="preserve">0402  DC0041PR-7M1D145-BAG    10000KG   22084188    (97968550)  IT1  FR          </t>
    <phoneticPr fontId="4" type="noConversion"/>
  </si>
  <si>
    <t xml:space="preserve">0402  KL004A-BK1A733-BAG    1000KG   22036555    (200566193)  IT2  LMS          </t>
    <phoneticPr fontId="4" type="noConversion"/>
  </si>
  <si>
    <t xml:space="preserve">0402  UFL36S-BKNAT-SBG    1000KG   22041363    (94716356)  IT2  GL          </t>
    <phoneticPr fontId="4" type="noConversion"/>
  </si>
  <si>
    <t xml:space="preserve">0402  D351-701-SBG    500KG   22032147    (200554584)  IT2  GF          </t>
    <phoneticPr fontId="4" type="noConversion"/>
  </si>
  <si>
    <t xml:space="preserve">0402  MD000ISC-BKNAT-SBG    2000KG   22029497    (200558229)  IT2  LMS/3M          </t>
    <phoneticPr fontId="4" type="noConversion"/>
  </si>
  <si>
    <t xml:space="preserve">0402  ER007485-6G7A4244-SBG    330KG   22106886    (200568250)  IT2  FARADEX          </t>
    <phoneticPr fontId="4" type="noConversion"/>
  </si>
  <si>
    <t xml:space="preserve">0402  ER007485-6G7A4244-SBG    300KG   22106886    (200568374)  IT2  FARADEX          </t>
    <phoneticPr fontId="4" type="noConversion"/>
  </si>
  <si>
    <t xml:space="preserve">0402  500-131-BAG    2000KG   22021688    (200549387)  IL2  GF         含Br/Cl        </t>
    <phoneticPr fontId="4" type="noConversion"/>
  </si>
  <si>
    <t xml:space="preserve">0402  ER007485-7G1A4725-SBG    800KG   22106794    (97251086)    FARADEX          </t>
    <phoneticPr fontId="4" type="noConversion"/>
  </si>
  <si>
    <t xml:space="preserve">0402  DFL22-NC-BAG    1100KG   22040194    (200570610)  IT2  GL          </t>
    <phoneticPr fontId="4" type="noConversion"/>
  </si>
  <si>
    <t xml:space="preserve">0402  RFL36-BK1B602-SBG    500KG   22029457    (200566044)  IT2  GL          </t>
    <phoneticPr fontId="4" type="noConversion"/>
  </si>
  <si>
    <t xml:space="preserve">0402  ER007485-7G1A4725-SBG    330KG   22106794    (97928547)    FARADEX          </t>
    <phoneticPr fontId="4" type="noConversion"/>
  </si>
  <si>
    <t xml:space="preserve">0402  ER007485-7G1A4725-SBG    550KG   22106794    (97926502)    FARADEX          </t>
    <phoneticPr fontId="4" type="noConversion"/>
  </si>
  <si>
    <t xml:space="preserve">0402  RFL36XXY-BK1A843-SBG    1760KG   22029458    (96018769)  IT2  GL          </t>
    <phoneticPr fontId="4" type="noConversion"/>
  </si>
  <si>
    <t xml:space="preserve">0402  RL004-GYMDNAT-SBG    2200KG   22037043    (200570429)  IT2  FR          </t>
    <phoneticPr fontId="4" type="noConversion"/>
  </si>
  <si>
    <t xml:space="preserve">0402  RFL36-BK1B602-SBG    2000KG   22029457    (200508439)  IT2  GL          </t>
    <phoneticPr fontId="4" type="noConversion"/>
  </si>
  <si>
    <t xml:space="preserve">0402  RFL36XXY-BK1A843-SBG    1100KG   22029458    (200572761)  IT2  GL          </t>
    <phoneticPr fontId="4" type="noConversion"/>
  </si>
  <si>
    <t xml:space="preserve">0402  MFB82I-BK1B459-BAG    2500KG   22036698    (200542705)  IT2  FR          </t>
    <phoneticPr fontId="4" type="noConversion"/>
  </si>
  <si>
    <t xml:space="preserve">0402  DE0029E-GY3A643-SBG    300KG   22031872    (92464767)    GL         含Br/Cl        </t>
    <phoneticPr fontId="4" type="noConversion"/>
  </si>
  <si>
    <t xml:space="preserve">0402  A3000-BK8115-BAG    1100KG   22034318    (200541939)  IT2  GL          </t>
    <phoneticPr fontId="4" type="noConversion"/>
  </si>
  <si>
    <t xml:space="preserve">0402  DD0009PC-BKNAT-BAG    1000KG   22035801    (200551407)    LMS/3M         含Br/Cl        </t>
    <phoneticPr fontId="4" type="noConversion"/>
  </si>
  <si>
    <t xml:space="preserve">0402  DF006ER-BK1A625-SBG    1100KG   22035817    (200571734)  IT2  GF/GL          </t>
    <phoneticPr fontId="4" type="noConversion"/>
  </si>
  <si>
    <t xml:space="preserve">0402  KL004-BK1A735-BAG    330KG   22032513    (200571753)  IT2  LMS          </t>
    <phoneticPr fontId="4" type="noConversion"/>
  </si>
  <si>
    <t xml:space="preserve">0402  KL004A-BK1A733-BAG    500KG   22036555    (200568306)  IT2  LMS          </t>
    <phoneticPr fontId="4" type="noConversion"/>
  </si>
  <si>
    <t xml:space="preserve">0402  DE0029E-GY3A643-SBG    300KG   22031872    (92464768)    GL         含Br/Cl        </t>
    <phoneticPr fontId="4" type="noConversion"/>
  </si>
  <si>
    <t xml:space="preserve">0402  DX10311-701-SBG    5000KG   22035924    (200560374)  IT2  GF          </t>
    <phoneticPr fontId="4" type="noConversion"/>
  </si>
  <si>
    <t xml:space="preserve">0402  DX10311-701-SBG    5000KG   22035924    (200569589)  IT2  GF          </t>
    <phoneticPr fontId="4" type="noConversion"/>
  </si>
  <si>
    <t xml:space="preserve">0402  3412ECR-GN7D101-BAG    22000KG   22031126    (200572810)  IL2  GF          粒子      </t>
    <phoneticPr fontId="4" type="noConversion"/>
  </si>
  <si>
    <t xml:space="preserve">0402  500ECR-BK1D152-BAG    2200KG   22029141    (200570866)    GF          </t>
    <phoneticPr fontId="4" type="noConversion"/>
  </si>
  <si>
    <t xml:space="preserve">0402  RFL36XXY-BK1A843-SBG    2640KG   22029458    (96016250)  IT2  GL          </t>
    <phoneticPr fontId="4" type="noConversion"/>
  </si>
  <si>
    <t xml:space="preserve">0402  MFB82I-BK1B459-BAG    2500KG   22036698    (200563800)  IT2  FR          </t>
    <phoneticPr fontId="4" type="noConversion"/>
  </si>
  <si>
    <t xml:space="preserve">0402  RFP36-BK1A856-SBG    1000KG   22040935    (200558028)  IT2  GL          </t>
    <phoneticPr fontId="4" type="noConversion"/>
  </si>
  <si>
    <t xml:space="preserve">0402  DE0029E-GY3A643-SBG    300KG   22031872    (92464769)    GL         含Br/Cl        </t>
    <phoneticPr fontId="4" type="noConversion"/>
  </si>
  <si>
    <t xml:space="preserve">0402  RB008-NC-FBG    4500KG   22018899    (200552313)  IT2  FR          </t>
    <phoneticPr fontId="4" type="noConversion"/>
  </si>
  <si>
    <t xml:space="preserve">0402  RB008-NC-FBG    2000KG   22018899    (200504557)  IT2  FR          </t>
    <phoneticPr fontId="4" type="noConversion"/>
  </si>
  <si>
    <t xml:space="preserve">0402  RB004-GYMDNAT-FBG    330KG   22020798    (200553712)    FR          </t>
    <phoneticPr fontId="4" type="noConversion"/>
  </si>
  <si>
    <t xml:space="preserve">0402  RB008-NC-FBG    2000KG   22018899    (200552399)  IT2  FR          </t>
    <phoneticPr fontId="4" type="noConversion"/>
  </si>
  <si>
    <t xml:space="preserve">0402  RB008-NC-FBG    1000KG   22018899    (200568706)  IT2  FR          </t>
    <phoneticPr fontId="4" type="noConversion"/>
  </si>
  <si>
    <t xml:space="preserve">0402  DX89406-BKNAT-BPK    10000KG   22039467    (92302303)  IT1  3M          </t>
    <phoneticPr fontId="4" type="noConversion"/>
  </si>
  <si>
    <t xml:space="preserve">0402  DX89406-BKNAT-BPK    10000KG   22039467    (92466165)  IT1  3M          </t>
    <phoneticPr fontId="4" type="noConversion"/>
  </si>
  <si>
    <t xml:space="preserve">0402  DX89406-BKNAT-BPK    10000KG   22039467    (92302302)  IT1  3M          </t>
    <phoneticPr fontId="4" type="noConversion"/>
  </si>
  <si>
    <t xml:space="preserve">0402  DX89406-BKNAT-BPK    10000KG   22039467    (92302301)  IT1  3M          </t>
    <phoneticPr fontId="4" type="noConversion"/>
  </si>
  <si>
    <t xml:space="preserve">0402  DX89406-BKNAT-BPK    10000KG   22039467    (92302298)  IT1  3M          </t>
    <phoneticPr fontId="4" type="noConversion"/>
  </si>
  <si>
    <t xml:space="preserve">0402  DX89406-BKNAT-BPK    10000KG   22039467    (92302299)  IT1  3M          </t>
    <phoneticPr fontId="4" type="noConversion"/>
  </si>
  <si>
    <t xml:space="preserve">0402  DX89406-BKNAT-BPK    10000KG   22039467    (92302300)  IT1  3M          </t>
    <phoneticPr fontId="4" type="noConversion"/>
  </si>
  <si>
    <t xml:space="preserve">0402  DX89406-BKNAT-BPK    10000KG   22039467    (92302296)  IT1  3M          </t>
    <phoneticPr fontId="4" type="noConversion"/>
  </si>
  <si>
    <t xml:space="preserve">0402  DX89406-BKNAT-BPK    10000KG   22039467    (92302297)  IT1  3M          </t>
    <phoneticPr fontId="4" type="noConversion"/>
  </si>
  <si>
    <t xml:space="preserve">0402  DX89406-BKNAT-BPK    10000KG   22039467    (92302295)  IT1  3M          </t>
    <phoneticPr fontId="4" type="noConversion"/>
  </si>
  <si>
    <t xml:space="preserve">0402  DX89406-BKNAT-BPK    10000KG   22039467    (92302294)  IT1  3M          </t>
    <phoneticPr fontId="4" type="noConversion"/>
  </si>
  <si>
    <t xml:space="preserve">0402  DX89406-BKNAT-BPK    10000KG   22039467    (92302293)  IT1  3M          </t>
    <phoneticPr fontId="4" type="noConversion"/>
  </si>
  <si>
    <t xml:space="preserve">0402  DX89406-BKNAT-BPK    10000KG   22039467    (92302290)  IT1  3M          </t>
    <phoneticPr fontId="4" type="noConversion"/>
  </si>
  <si>
    <t xml:space="preserve">0402  DX89406-BKNAT-BPK    10000KG   22039467    (92302291)  IT1  3M          </t>
    <phoneticPr fontId="4" type="noConversion"/>
  </si>
  <si>
    <t xml:space="preserve">0402  DX89406-BKNAT-BPK    10000KG   22039467    (92302292)  IT1  3M          </t>
    <phoneticPr fontId="4" type="noConversion"/>
  </si>
  <si>
    <t xml:space="preserve">0402  3412ECR-131-BAG    5000KG   22021723    (200555946)  IL2  GF          </t>
    <phoneticPr fontId="4" type="noConversion"/>
  </si>
  <si>
    <t xml:space="preserve">0402  DX11355-BKNAT-FBG    20799.999KG   22082385    (98017032)  IT1  GF          </t>
    <phoneticPr fontId="4" type="noConversion"/>
  </si>
  <si>
    <t xml:space="preserve">0402  223R-WH9G354-BAG    5200KG   22030854    (200571662)  IL2  LXN/CCY          粒子      </t>
    <phoneticPr fontId="4" type="noConversion"/>
  </si>
  <si>
    <t xml:space="preserve">0402  3412R-131-BAG    10000KG   22021728    (200559480)  IL2  GF         含Br/Cl        </t>
    <phoneticPr fontId="4" type="noConversion"/>
  </si>
  <si>
    <t xml:space="preserve">0402  500R-131-BAG    20000KG   22018199    (97370800)  IL1  GF         含Br/Cl        </t>
    <phoneticPr fontId="4" type="noConversion"/>
  </si>
  <si>
    <t xml:space="preserve">0402  3412R-131-BAG    5000KG   22021728    (200562407)  IL2  GF         含Br/Cl        </t>
    <phoneticPr fontId="4" type="noConversion"/>
  </si>
  <si>
    <t xml:space="preserve">0402  3412ECR-739-BAG    20000KG   22017144    (96268462)  IL1  GF          </t>
    <phoneticPr fontId="4" type="noConversion"/>
  </si>
  <si>
    <t xml:space="preserve">0402  EXL5689-7T1D069-BAG    10000KG   22019996    (97120977)  IX1  GF          </t>
    <phoneticPr fontId="4" type="noConversion"/>
  </si>
  <si>
    <t xml:space="preserve">0402  DF004ER-GY1A569-BAG    5200KG   22031880    (200571792)  IT2  GF/GL          </t>
    <phoneticPr fontId="4" type="noConversion"/>
  </si>
  <si>
    <t xml:space="preserve">0402  C6600-7T1D193-BAG    12000KG   22039700    (200568296)  IY2  CCY          </t>
    <phoneticPr fontId="4" type="noConversion"/>
  </si>
  <si>
    <t xml:space="preserve">0402  923-BK1261-BAG    20000KG   22038237    (200553500)  IL2  CCY         含Br/Cl        </t>
    <phoneticPr fontId="4" type="noConversion"/>
  </si>
  <si>
    <t xml:space="preserve">0402  XCY620S-76701-BAG    20000KG   22037308    (85806441)  IY1  CCY          </t>
    <phoneticPr fontId="4" type="noConversion"/>
  </si>
  <si>
    <t xml:space="preserve">0402  XCY620S-76701-BAG    20000KG   22037308    (82962837)  IY1  CCY          </t>
    <phoneticPr fontId="4" type="noConversion"/>
  </si>
  <si>
    <t xml:space="preserve">0402  XCY620S-76701-BAG    20000KG   22037308    (82962838)  IY1  CCY          </t>
    <phoneticPr fontId="4" type="noConversion"/>
  </si>
  <si>
    <t xml:space="preserve">0402  XCY620S-76701-BAG    20000KG   22037308    (82962870)  IY1  CCY          </t>
    <phoneticPr fontId="4" type="noConversion"/>
  </si>
  <si>
    <t xml:space="preserve">0402  XCM830-76701-BAG    10000KG   22033024    (200497262)  IY2  CCY          </t>
    <phoneticPr fontId="4" type="noConversion"/>
  </si>
  <si>
    <t xml:space="preserve">0402  CX7240-BK2E064-BAG    2000KG   22040062    (200570066)    CCY          </t>
    <phoneticPr fontId="4" type="noConversion"/>
  </si>
  <si>
    <t xml:space="preserve">0402  923-BK1261-BAG    20000KG   22038237    (200553562)  IL2  CCY         含Br/Cl        </t>
    <phoneticPr fontId="4" type="noConversion"/>
  </si>
  <si>
    <t xml:space="preserve">0402  BY2710X-BK1A068-BAG    5150KG   22034807    (97733803)    CCY          </t>
    <phoneticPr fontId="4" type="noConversion"/>
  </si>
  <si>
    <t xml:space="preserve">0402  CP8320-76701-BAG    10000KG   22056197    (200508722)  IY2  WP          </t>
    <phoneticPr fontId="4" type="noConversion"/>
  </si>
  <si>
    <t xml:space="preserve">0402  XCM830-76701-BAG    10000KG   22033024    (200497209)  IY2  CCY          </t>
    <phoneticPr fontId="4" type="noConversion"/>
  </si>
  <si>
    <t xml:space="preserve">0402  RCM6134-BK1G004-BAG    2000KG   22037399    (97251247)  IY2  WP          </t>
    <phoneticPr fontId="4" type="noConversion"/>
  </si>
  <si>
    <t xml:space="preserve">0402  XCM830-76701-BAG    10000KG   22033024    (200497210)  IY2  CCY          </t>
    <phoneticPr fontId="4" type="noConversion"/>
  </si>
  <si>
    <t xml:space="preserve">0402  XCY620S-76701-BAG    20000KG   22037308    (82962875)  IY1  CCY          </t>
    <phoneticPr fontId="4" type="noConversion"/>
  </si>
  <si>
    <t xml:space="preserve">0402  XCY620S-76701-BAG    20000KG   22037308    (82962848)  IY1  CCY          </t>
    <phoneticPr fontId="4" type="noConversion"/>
  </si>
  <si>
    <t xml:space="preserve">0402  XCY620S-76701-BAG    20000KG   22037308    (82962849)  IY1  CCY          </t>
    <phoneticPr fontId="4" type="noConversion"/>
  </si>
  <si>
    <t xml:space="preserve">0402  XCY620S-76701-BAG    20000KG   22037308    (82962859)  IY1  CCY          </t>
    <phoneticPr fontId="4" type="noConversion"/>
  </si>
  <si>
    <t xml:space="preserve">0402  955-701-BAG    20600KG   22022095    (97733860)  IL1  CCY          </t>
    <phoneticPr fontId="4" type="noConversion"/>
  </si>
  <si>
    <t xml:space="preserve">0402  945-7T2D216-BAG    7000KG   22029986    (200537177)  IL2  CCY          </t>
    <phoneticPr fontId="4" type="noConversion"/>
  </si>
  <si>
    <t xml:space="preserve">0402  945-7M1D115-BAG    10300KG   22038377    (200572803)  IL2  CCY          </t>
    <phoneticPr fontId="4" type="noConversion"/>
  </si>
  <si>
    <t xml:space="preserve">0402  XCY620S-76701-BAG    20000KG   22037308    (82962853)  IY1  CCY          </t>
    <phoneticPr fontId="4" type="noConversion"/>
  </si>
  <si>
    <t xml:space="preserve">0402  XCY620S-76701-BAG    20000KG   22037308    (82962852)  IY1  CCY          </t>
    <phoneticPr fontId="4" type="noConversion"/>
  </si>
  <si>
    <t xml:space="preserve">0402  XCY620S-76701-BAG    20000KG   22037308    (82962851)  IY1  CCY          </t>
    <phoneticPr fontId="4" type="noConversion"/>
  </si>
  <si>
    <t xml:space="preserve">0402  XCY620S-76701-BAG    20000KG   22037308    (82962850)  IY1  CCY          </t>
    <phoneticPr fontId="4" type="noConversion"/>
  </si>
  <si>
    <t xml:space="preserve">0402  XCY620S-76701-BAG    20000KG   22037308    (71618761)  IY1  CCY          </t>
    <phoneticPr fontId="4" type="noConversion"/>
  </si>
  <si>
    <t xml:space="preserve">0402  XCY620S-76701-BAG    20000KG   22037308    (82957941)  IY1  CCY          </t>
    <phoneticPr fontId="4" type="noConversion"/>
  </si>
  <si>
    <t xml:space="preserve">0402  XCY620S-76701-BAG    20000KG   22037308    (82957942)  IY1  CCY          </t>
    <phoneticPr fontId="4" type="noConversion"/>
  </si>
  <si>
    <t xml:space="preserve">0402  XCY620-BK1005-BAG    20000KG   22025061    (90054452)  IY1  CCY          </t>
    <phoneticPr fontId="4" type="noConversion"/>
  </si>
  <si>
    <t xml:space="preserve">0402  EXL9330-BK1A068-BAG    20600KG   22018508    (97947103)  IX1  CCY          </t>
    <phoneticPr fontId="4" type="noConversion"/>
  </si>
  <si>
    <t xml:space="preserve">0402  945-7T2D216-BAG    5000KG   22029986    (200537202)  IL2  CCY          </t>
    <phoneticPr fontId="4" type="noConversion"/>
  </si>
  <si>
    <t xml:space="preserve">0402  XCY620S-76701-BAG    20000KG   22037308    (82962876)  IY1  CCY          </t>
    <phoneticPr fontId="4" type="noConversion"/>
  </si>
  <si>
    <t xml:space="preserve">0402  XCY620S-76701-BAG    20000KG   22037308    (82962877)  IY1  CCY          </t>
    <phoneticPr fontId="4" type="noConversion"/>
  </si>
  <si>
    <t xml:space="preserve">0402  XCY620S-76701-BAG    20000KG   22037308    (82962878)  IY1  CCY          </t>
    <phoneticPr fontId="4" type="noConversion"/>
  </si>
  <si>
    <t xml:space="preserve">0402  XCY620S-76701-BAG    20000KG   22037308    (82962879)  IY1  CCY          </t>
    <phoneticPr fontId="4" type="noConversion"/>
  </si>
  <si>
    <t xml:space="preserve">0402  945-7T2D216-BAG    8000KG   22029986    (200537264)  IL2  CCY          </t>
    <phoneticPr fontId="4" type="noConversion"/>
  </si>
  <si>
    <t xml:space="preserve">0402  XCY620S-76701-BAG    20000KG   22037308    (82962880)  IY1  CCY          </t>
    <phoneticPr fontId="4" type="noConversion"/>
  </si>
  <si>
    <t xml:space="preserve">0402  945-8T7D087-BAG    20600KG   22031466    (97101193)  IL1  CCY          </t>
    <phoneticPr fontId="4" type="noConversion"/>
  </si>
  <si>
    <t xml:space="preserve">0402  357TF-1001-SSS    20000KG   22088360    (97218308)  CV1  LXN         含Br/Cl        </t>
    <phoneticPr fontId="4" type="noConversion"/>
  </si>
  <si>
    <t xml:space="preserve">0402  945U-NC-BAG    10197KG   22039271    (200497370)  IL2  CCY          </t>
    <phoneticPr fontId="4" type="noConversion"/>
  </si>
  <si>
    <t xml:space="preserve">0402  945-8T7D087-BAG    10300KG   22031466    (97926621)  IL1  CCY          </t>
    <phoneticPr fontId="4" type="noConversion"/>
  </si>
  <si>
    <t xml:space="preserve">0402  945-8T8A1183-    8000KG   299901533    (200446072)    CCY          </t>
    <phoneticPr fontId="4" type="noConversion"/>
  </si>
  <si>
    <t xml:space="preserve">0402  357TF-1001-SSS    20000KG   22088360    (97218309)  CV1  LXN         含Br/Cl        </t>
    <phoneticPr fontId="4" type="noConversion"/>
  </si>
  <si>
    <t xml:space="preserve">0402  923-WH8168-BAG    20600KG   22034381    (200570811)    CCY         含Br/Cl        </t>
    <phoneticPr fontId="4" type="noConversion"/>
  </si>
  <si>
    <t xml:space="preserve">0402  945-8T9D148-BAG    10000KG   22038397    (200570279)  IL2  CCY          </t>
    <phoneticPr fontId="4" type="noConversion"/>
  </si>
  <si>
    <t xml:space="preserve">0402  923-WH8168-BAG    10300KG   22034381    (200570812)    CCY         含Br/Cl        </t>
    <phoneticPr fontId="4" type="noConversion"/>
  </si>
  <si>
    <t xml:space="preserve">0402  C2100-86159-BAG    2000KG   22029924    (200569633)  IY2  CCY         含Br/Cl  粒子      </t>
    <phoneticPr fontId="4" type="noConversion"/>
  </si>
  <si>
    <t xml:space="preserve">0402  945-NC-BAG    20000KG   22022070    (96247168)  IL1  CCY          </t>
    <phoneticPr fontId="4" type="noConversion"/>
  </si>
  <si>
    <t xml:space="preserve">0402  GLX143-GN4G119T-BAG    10000KG   22067691    (200497052)  IL2  CCY          </t>
    <phoneticPr fontId="4" type="noConversion"/>
  </si>
  <si>
    <t xml:space="preserve">0402  ML9696-NC-BPK    10000KG   22040805    (97218311)    WP          </t>
    <phoneticPr fontId="4" type="noConversion"/>
  </si>
  <si>
    <t xml:space="preserve">0402  123R-WH7D277X-BAG    10300KG   22021303    (200570608)  IL2  LXN/CCY          </t>
    <phoneticPr fontId="4" type="noConversion"/>
  </si>
  <si>
    <t xml:space="preserve">0402  GLX143-GN4G119T-BAG    10000KG   22067691    (200497053)  IL2  CCY          </t>
    <phoneticPr fontId="4" type="noConversion"/>
  </si>
  <si>
    <t xml:space="preserve">0402  143R-GY7B246-BAG    5150KG   22033566    (200571685)    LXN/CCY          粒子      </t>
    <phoneticPr fontId="4" type="noConversion"/>
  </si>
  <si>
    <t xml:space="preserve">0402  GLX143-GN4G119T-BAG    10000KG   22067691    (200497104)  IL2  CCY          </t>
    <phoneticPr fontId="4" type="noConversion"/>
  </si>
  <si>
    <t xml:space="preserve">0402  GLX143-GN4G119T-BAG    10000KG   22067691    (200497054)  IL2  CCY          </t>
    <phoneticPr fontId="4" type="noConversion"/>
  </si>
  <si>
    <t xml:space="preserve">0402  HFD1034-NA9E109T-BAG    10000KG   22040304    (200555836)    LXN          </t>
    <phoneticPr fontId="4" type="noConversion"/>
  </si>
  <si>
    <t xml:space="preserve">0402  HFD1034-NA9E109T-BAG    10000KG   22040304    (200555835)    LXN          </t>
    <phoneticPr fontId="4" type="noConversion"/>
  </si>
  <si>
    <t xml:space="preserve">0402  LG9000-GY8H022-BAG    5000KG   22086468    (200570901)  IY2  CCY          </t>
    <phoneticPr fontId="4" type="noConversion"/>
  </si>
  <si>
    <t xml:space="preserve">0402  LUX2114G-WH8G625X-BAG    5000KG   22032676    (200549460)  IL2  LXN          </t>
    <phoneticPr fontId="4" type="noConversion"/>
  </si>
  <si>
    <t xml:space="preserve">0402  MC1300-100-BAG    20000KG   22018739    (94678264)  IY1  CCY          </t>
    <phoneticPr fontId="4" type="noConversion"/>
  </si>
  <si>
    <t xml:space="preserve">0402  EXL1414T-1A8A3284T-BAG    17510KG   22103046    (96219574)    CCY          </t>
    <phoneticPr fontId="4" type="noConversion"/>
  </si>
  <si>
    <t xml:space="preserve">0402  MC1300-100-BAG    20000KG   22018739    (94678265)  IY1  CCY          </t>
    <phoneticPr fontId="4" type="noConversion"/>
  </si>
  <si>
    <t xml:space="preserve">0402  MC1300-100-BAG    20000KG   22018739    (94678266)  IY1  CCY          </t>
    <phoneticPr fontId="4" type="noConversion"/>
  </si>
  <si>
    <t xml:space="preserve">0402  LUX2114-WH8E508X-BAG    2060KG   22032674    (200572909)  IL2  LXN          </t>
    <phoneticPr fontId="4" type="noConversion"/>
  </si>
  <si>
    <t xml:space="preserve">0402  LUX2114G-WH8G625X-BAG    3000KG   22032676    (200549461)  IL2  LXN          </t>
    <phoneticPr fontId="4" type="noConversion"/>
  </si>
  <si>
    <t xml:space="preserve">0402  LG9000-100-BAG    20000KG   22023994    (200497070)  IY2  CCY          粒子_NS2禁用      </t>
    <phoneticPr fontId="4" type="noConversion"/>
  </si>
  <si>
    <t xml:space="preserve">0402  C1200HF-100-BAG    20000KG   22019660    (88398245)  IY1  CCY          </t>
    <phoneticPr fontId="4" type="noConversion"/>
  </si>
  <si>
    <t xml:space="preserve">0402  MC1300-100-BAG    20000KG   22018739    (94700527)  IY1  CCY          </t>
    <phoneticPr fontId="4" type="noConversion"/>
  </si>
  <si>
    <t xml:space="preserve">0402  MC1300-100-BAG    20000KG   22018739    (94700528)  IY1  CCY          </t>
    <phoneticPr fontId="4" type="noConversion"/>
  </si>
  <si>
    <t xml:space="preserve">0402  MC1300-100-BAG    20000KG   22018739    (94700529)  IY1  CCY          </t>
    <phoneticPr fontId="4" type="noConversion"/>
  </si>
  <si>
    <t xml:space="preserve">0402  MC1300-100-BAG    20000KG   22018739    (94700530)  IY1  CCY          </t>
    <phoneticPr fontId="4" type="noConversion"/>
  </si>
  <si>
    <t xml:space="preserve">0402  MC1300-100-BAG    20000KG   22018739    (94700531)  IY1  CCY          </t>
    <phoneticPr fontId="4" type="noConversion"/>
  </si>
  <si>
    <t xml:space="preserve">0402  243R-WH9A238-BAG    2000KG   22033838    (200569647)  IL2  LXN/CCY          </t>
    <phoneticPr fontId="4" type="noConversion"/>
  </si>
  <si>
    <t xml:space="preserve">0402  MC1300-100-BAG    20000KG   22018739    (94699063)  IY1  CCY          </t>
    <phoneticPr fontId="4" type="noConversion"/>
  </si>
  <si>
    <t xml:space="preserve">0402  MC1300-100-BAG    20000KG   22018739    (94699057)  IY1  CCY          </t>
    <phoneticPr fontId="4" type="noConversion"/>
  </si>
  <si>
    <t xml:space="preserve">0402  MC1300-100-BAG    20000KG   22018739    (94699056)  IY1  CCY          </t>
    <phoneticPr fontId="4" type="noConversion"/>
  </si>
  <si>
    <t xml:space="preserve">0402  EXL9134-7A8D006-BAG    18540KG   22023110    (200572812)  IX2  CCY          </t>
    <phoneticPr fontId="4" type="noConversion"/>
  </si>
  <si>
    <t xml:space="preserve">0402  121R-7R7D031-SSS    20000KG   22037463    (200529089)  IL2  LXN/CCY          粒子      </t>
    <phoneticPr fontId="4" type="noConversion"/>
  </si>
  <si>
    <t xml:space="preserve">0402  141R-80711-BAG    9000KG   22038171    (200509387)  IL2  LXN/CCY          粒子      </t>
    <phoneticPr fontId="4" type="noConversion"/>
  </si>
  <si>
    <t xml:space="preserve">0402  141R-GY6A427-SSS    10000KG   22038198    (200553646)  IL2  LXN/CCY          粒子      </t>
    <phoneticPr fontId="4" type="noConversion"/>
  </si>
  <si>
    <t xml:space="preserve">0402  121R-7R7D031-SSS    20000KG   22037463    (200561488)  IL2  LXN/CCY          粒子      </t>
    <phoneticPr fontId="4" type="noConversion"/>
  </si>
  <si>
    <t xml:space="preserve">0402  141R-80711-BAG    9000KG   22038171    (200528331)  IL2  LXN/CCY          粒子      </t>
    <phoneticPr fontId="4" type="noConversion"/>
  </si>
  <si>
    <t xml:space="preserve">0402  EXL9330-WH9B454-BAG    6180KG   22039937    (200572832)    CCY          </t>
    <phoneticPr fontId="4" type="noConversion"/>
  </si>
  <si>
    <t xml:space="preserve">0402  LUX7630C-NAT-BAG    3090KG   22023838    (200570614)  IX2  LXN          </t>
    <phoneticPr fontId="4" type="noConversion"/>
  </si>
  <si>
    <t xml:space="preserve">0402  MC1300-100-BAG    20000KG   22018739    (94678267)  IY1  CCY          </t>
    <phoneticPr fontId="4" type="noConversion"/>
  </si>
  <si>
    <t xml:space="preserve">0402  XCY620S-76701-BAG    20000KG   22037308    (82962847)  IY1  CCY          </t>
    <phoneticPr fontId="4" type="noConversion"/>
  </si>
  <si>
    <t xml:space="preserve">0402  XCY620S-76701-BAG    20000KG   22037308    (82962846)  IY1  CCY          </t>
    <phoneticPr fontId="4" type="noConversion"/>
  </si>
  <si>
    <t xml:space="preserve">0402  XCY620S-76701-BAG    20000KG   22037308    (82962845)  IY1  CCY          </t>
    <phoneticPr fontId="4" type="noConversion"/>
  </si>
  <si>
    <t xml:space="preserve">0402  XCY620S-76701-BAG    20000KG   22037308    (82962835)  IY1  CCY          </t>
    <phoneticPr fontId="4" type="noConversion"/>
  </si>
  <si>
    <t xml:space="preserve">0402  XCY620S-76701-BAG    20000KG   22037308    (82962836)  IY1  CCY          </t>
    <phoneticPr fontId="4" type="noConversion"/>
  </si>
  <si>
    <t xml:space="preserve">0402  MC1300-100-BAG    20000KG   22018739    (94678268)  IY1  CCY          </t>
    <phoneticPr fontId="4" type="noConversion"/>
  </si>
  <si>
    <t xml:space="preserve">0402  MC1300-100-BAG    20000KG   22018739    (94678269)  IY1  CCY          </t>
    <phoneticPr fontId="4" type="noConversion"/>
  </si>
  <si>
    <t xml:space="preserve">0402  LG9000-100-BAG    5000KG   22023994    (200559251)  IY2  CCY          粒子_NS2禁用      </t>
    <phoneticPr fontId="4" type="noConversion"/>
  </si>
  <si>
    <t xml:space="preserve">0402  MC1300-100-BAG    20000KG   22018739    (94678270)  IY1  CCY          </t>
    <phoneticPr fontId="4" type="noConversion"/>
  </si>
  <si>
    <t xml:space="preserve">0402  XP4034-BK1E477-BAG    2060KG   22032854    (200570836)  IC2  CCY          </t>
    <phoneticPr fontId="4" type="noConversion"/>
  </si>
  <si>
    <t xml:space="preserve">0402  MC1300-100-BAG    20000KG   22018739    (94678271)  IY1  CCY          </t>
    <phoneticPr fontId="4" type="noConversion"/>
  </si>
  <si>
    <t xml:space="preserve">0402  XCY620S-100-BAG    20000KG   22025073    (94700208)  IY1  CCY          </t>
    <phoneticPr fontId="4" type="noConversion"/>
  </si>
  <si>
    <t xml:space="preserve">0402  MC1300-100-BAG    20000KG   22018739    (94678272)  IY1  CCY          </t>
    <phoneticPr fontId="4" type="noConversion"/>
  </si>
  <si>
    <t xml:space="preserve">0402  MC1300-100-BAG    20000KG   22018739    (94678273)  IY1  CCY          </t>
    <phoneticPr fontId="4" type="noConversion"/>
  </si>
  <si>
    <t xml:space="preserve">0402  MC1300-100-SSS    20000KG   22036948    (200504766)  IY2  CCY          </t>
    <phoneticPr fontId="4" type="noConversion"/>
  </si>
  <si>
    <t xml:space="preserve">0402  XCY620S-76701-BAG    20000KG   22037308    (82957931)  IY1  CCY          </t>
    <phoneticPr fontId="4" type="noConversion"/>
  </si>
  <si>
    <t xml:space="preserve">0402  XCY620S-76701-BAG    20000KG   22037308    (82962884)  IY1  CCY          </t>
    <phoneticPr fontId="4" type="noConversion"/>
  </si>
  <si>
    <t xml:space="preserve">0402  XCY620S-100-BAG    20000KG   22025073    (94700209)  IY1  CCY          </t>
    <phoneticPr fontId="4" type="noConversion"/>
  </si>
  <si>
    <t xml:space="preserve">0402  MC1300-100-BAG    20000KG   22018739    (94699062)  IY1  CCY          </t>
    <phoneticPr fontId="4" type="noConversion"/>
  </si>
  <si>
    <t xml:space="preserve">0402  940-GY7B246-BAG    5150KG   22039117    (200570740)    CCY         含Br/Cl        </t>
    <phoneticPr fontId="4" type="noConversion"/>
  </si>
  <si>
    <t xml:space="preserve">0402  MC1300-100-BAG    20000KG   22018739    (94699061)  IY1  CCY          </t>
    <phoneticPr fontId="4" type="noConversion"/>
  </si>
  <si>
    <t xml:space="preserve">0402  MC1300-100-BAG    20000KG   22018739    (94699060)  IY1  CCY          </t>
    <phoneticPr fontId="4" type="noConversion"/>
  </si>
  <si>
    <t xml:space="preserve">0402  MC1300-100-BAG    20000KG   22018739    (94699059)  IY1  CCY          </t>
    <phoneticPr fontId="4" type="noConversion"/>
  </si>
  <si>
    <t xml:space="preserve">0402  MC1300-100-BAG    20000KG   22018739    (94699058)  IY1  CCY          </t>
    <phoneticPr fontId="4" type="noConversion"/>
  </si>
  <si>
    <t xml:space="preserve">0402  MC1300-100-BAG    20000KG   22018739    (94699055)  IY1  CCY          </t>
    <phoneticPr fontId="4" type="noConversion"/>
  </si>
  <si>
    <t xml:space="preserve">0402  MC1300-100-BAG    20000KG   22018739    (94699054)  IY1  CCY          </t>
    <phoneticPr fontId="4" type="noConversion"/>
  </si>
  <si>
    <t xml:space="preserve">0402  MC1300-100-BAG    20000KG   22018739    (94699053)  IY1  CCY          </t>
    <phoneticPr fontId="4" type="noConversion"/>
  </si>
  <si>
    <t xml:space="preserve">0402  MC1300-100-BAG    20000KG   22018739    (94699052)  IY1  CCY          </t>
    <phoneticPr fontId="4" type="noConversion"/>
  </si>
  <si>
    <t xml:space="preserve">0402  MC1300-100-BAG    20000KG   22018739    (94699051)  IY1  CCY          </t>
    <phoneticPr fontId="4" type="noConversion"/>
  </si>
  <si>
    <t xml:space="preserve">0402  MC1300-100-BAG    20000KG   22018739    (94699049)  IY1  CCY          </t>
    <phoneticPr fontId="4" type="noConversion"/>
  </si>
  <si>
    <t xml:space="preserve">0402  MC1300-100-BAG    20000KG   22018739    (94699050)  IY1  CCY          </t>
    <phoneticPr fontId="4" type="noConversion"/>
  </si>
  <si>
    <t xml:space="preserve">0402  C1200HF-GY1460-BAG    10000KG   22039413    (200521960)  IY2  CCY          </t>
    <phoneticPr fontId="4" type="noConversion"/>
  </si>
  <si>
    <t xml:space="preserve">0402  C1200HF-BK2G024-BAG    20000KG   22034874    (200551142)  IY2  CCY          </t>
    <phoneticPr fontId="4" type="noConversion"/>
  </si>
  <si>
    <t xml:space="preserve">0402  XP4034-GY1E349-BAG    10000KG   22041179    (200508695)  IC2  CCY          </t>
    <phoneticPr fontId="4" type="noConversion"/>
  </si>
  <si>
    <t xml:space="preserve">0402  C1200HF-BK2G024-BAG    20000KG   22034874    (200551079)  IY2  CCY          </t>
    <phoneticPr fontId="4" type="noConversion"/>
  </si>
  <si>
    <t xml:space="preserve">0402  LS1-701-BAG    20000KG   22041018    (200549471)  IL2  LXN/CCY          </t>
    <phoneticPr fontId="4" type="noConversion"/>
  </si>
  <si>
    <t xml:space="preserve">0402  XP4034-BK1041-BAG    10000KG   22019027    (94692789)  IC1  CCY          </t>
    <phoneticPr fontId="4" type="noConversion"/>
  </si>
  <si>
    <t xml:space="preserve">0402  XP4034-BK1041-BAG    15000KG   22019027    (94692790)  IC1  CCY          </t>
    <phoneticPr fontId="4" type="noConversion"/>
  </si>
  <si>
    <t xml:space="preserve">0402  141R-701-BAG    12000KG   22021359    (200568504)  IL2  LXN/CCY          </t>
    <phoneticPr fontId="4" type="noConversion"/>
  </si>
  <si>
    <t xml:space="preserve">0402  LS1-701-BAG    20000KG   22041018    (200549400)  IL2  LXN/CCY          </t>
    <phoneticPr fontId="4" type="noConversion"/>
  </si>
  <si>
    <t xml:space="preserve">0402  LS1-701-BAG    8240KG   22041018    (200570846)  IL2  LXN/CCY          </t>
    <phoneticPr fontId="4" type="noConversion"/>
  </si>
  <si>
    <t xml:space="preserve">0402  XCY620-BK1G372-BAG    16000KG   22041153    (200496374)  IY2  CCY          </t>
    <phoneticPr fontId="4" type="noConversion"/>
  </si>
  <si>
    <t xml:space="preserve">0402  XP4034-GY1E811-BAG    10000KG   22019030    (200561871)  IC2  CCY          </t>
    <phoneticPr fontId="4" type="noConversion"/>
  </si>
  <si>
    <t xml:space="preserve">0402  C1200HF-7001-BBG    10000KG   22028879    (200558256)  IY2  CCY          </t>
    <phoneticPr fontId="4" type="noConversion"/>
  </si>
  <si>
    <t xml:space="preserve">0402  LS1-701-BAG    20000KG   22041018    (200549507)  IL2  LXN/CCY          </t>
    <phoneticPr fontId="4" type="noConversion"/>
  </si>
  <si>
    <t xml:space="preserve">0402  C1200HF-BK2G024-BAG    20000KG   22034874    (200551123)  IY2  CCY          </t>
    <phoneticPr fontId="4" type="noConversion"/>
  </si>
  <si>
    <t xml:space="preserve">0402  LG9000-BK1044-BAG    5000KG   22018724    (200566296)  IY2  CCY          粒子similar as LG9000-BK1044MX / _NS2禁用      </t>
    <phoneticPr fontId="4" type="noConversion"/>
  </si>
  <si>
    <t xml:space="preserve">0402  LS1-701-BAG    20000KG   22041018    (200549528)  IL2  LXN/CCY          </t>
    <phoneticPr fontId="4" type="noConversion"/>
  </si>
  <si>
    <t xml:space="preserve">0402  XP4034-7G1A1101-    10000KG   299901337    (200558282)    CCY          </t>
    <phoneticPr fontId="4" type="noConversion"/>
  </si>
  <si>
    <t xml:space="preserve">0402  XP4034-BK1B374-BAG    20000KG   22041176    (200520422)  IC2  CCY          </t>
    <phoneticPr fontId="4" type="noConversion"/>
  </si>
  <si>
    <t xml:space="preserve">0402  C1200HF-BK2G024-BAG    20000KG   22034874    (200551017)  IY2  CCY          </t>
    <phoneticPr fontId="4" type="noConversion"/>
  </si>
  <si>
    <t xml:space="preserve">0402  XCY620-BK1005-BAG    20000KG   22025061    (94714325)  IY1  CCY          </t>
    <phoneticPr fontId="4" type="noConversion"/>
  </si>
  <si>
    <t xml:space="preserve">0402  LS1-701-BAG    20000KG   22041018    (200549459)  IL2  LXN/CCY          </t>
    <phoneticPr fontId="4" type="noConversion"/>
  </si>
  <si>
    <t xml:space="preserve">0402  LS1-701-BAG    8240KG   22041018    (200570942)  IL2  LXN/CCY          </t>
    <phoneticPr fontId="4" type="noConversion"/>
  </si>
  <si>
    <t xml:space="preserve">0402  LG9000-GY1C306-BAG    13000KG   22018726    (200540824)    CCY          粒子_NS2禁用      </t>
    <phoneticPr fontId="4" type="noConversion"/>
  </si>
  <si>
    <t xml:space="preserve">0402  LS1-701-BAG    10000KG   22041018    (200558326)  IL2  LXN/CCY          </t>
    <phoneticPr fontId="4" type="noConversion"/>
  </si>
  <si>
    <t xml:space="preserve">0402  LS1-701-BAG    6180KG   22041018    (200570896)  IL2  LXN/CCY          </t>
    <phoneticPr fontId="4" type="noConversion"/>
  </si>
  <si>
    <t xml:space="preserve">0402  LG9000-GY1C306-BAG    10000KG   22018726    (200566332)    CCY          粒子_NS2禁用      </t>
    <phoneticPr fontId="4" type="noConversion"/>
  </si>
  <si>
    <t xml:space="preserve">0402  C1200HF-GY1460-BAG    5000KG   22039413    (200539808)  IY2  CCY          </t>
    <phoneticPr fontId="4" type="noConversion"/>
  </si>
  <si>
    <t xml:space="preserve">0402  NXCY620-BKNAT-BAG    13000KG   22036896    (200538791)    GF          </t>
    <phoneticPr fontId="4" type="noConversion"/>
  </si>
  <si>
    <t xml:space="preserve">0402  LS1-701-BAG    10000KG   22041018    (200558235)  IL2  LXN/CCY          </t>
    <phoneticPr fontId="4" type="noConversion"/>
  </si>
  <si>
    <t xml:space="preserve">0402  141R-701-BAG    5000KG   22021359    (200566150)  IL2  LXN/CCY          </t>
    <phoneticPr fontId="4" type="noConversion"/>
  </si>
  <si>
    <t xml:space="preserve">0402  XCY620-BK1G372-BAG    10000KG   22041153    (200537625)  IY2  CCY          </t>
    <phoneticPr fontId="4" type="noConversion"/>
  </si>
  <si>
    <t xml:space="preserve">0402  XCY620-BK1G372-BAG    10000KG   22041153    (200535117)  IY2  CCY          </t>
    <phoneticPr fontId="4" type="noConversion"/>
  </si>
  <si>
    <t xml:space="preserve">0402  LS1-701-BAG    10000KG   22041018    (200558300)  IL2  LXN/CCY          </t>
    <phoneticPr fontId="4" type="noConversion"/>
  </si>
  <si>
    <t xml:space="preserve">0402  XP4034-BK1041-BAG    20000KG   22019027    (94692791)  IC1  CCY          </t>
    <phoneticPr fontId="4" type="noConversion"/>
  </si>
  <si>
    <t xml:space="preserve">0402  LS1-701-BAG    10000KG   22041018    (200558314)  IL2  LXN/CCY          </t>
    <phoneticPr fontId="4" type="noConversion"/>
  </si>
  <si>
    <t xml:space="preserve">0402  C1200HF-701-BAG    20000KG   22022222    (90033780)  IY1  CCY          </t>
    <phoneticPr fontId="4" type="noConversion"/>
  </si>
  <si>
    <t xml:space="preserve">0402  XCY620-BK1005-BAG    20000KG   22025061    (94714326)  IY1  CCY          </t>
    <phoneticPr fontId="4" type="noConversion"/>
  </si>
  <si>
    <t xml:space="preserve">0402  XP4034-GY1E811-BAG    10000KG   22019030    (200508774)  IC2  CCY          </t>
    <phoneticPr fontId="4" type="noConversion"/>
  </si>
  <si>
    <t xml:space="preserve">0402  XCY620S-76701-BAG    20000KG   22037308    (97125725)  IY1  CCY          </t>
    <phoneticPr fontId="4" type="noConversion"/>
  </si>
  <si>
    <t xml:space="preserve">0402  XCY620-BK1G372-BAG    10000KG   22041153    (200537540)  IY2  CCY          </t>
    <phoneticPr fontId="4" type="noConversion"/>
  </si>
  <si>
    <t xml:space="preserve">0402  XCY620S-76701-BAG    20000KG   22037308    (97124245)  IY1  CCY          </t>
    <phoneticPr fontId="4" type="noConversion"/>
  </si>
  <si>
    <t xml:space="preserve">0402  XCY620S-76701-BAG    20000KG   22037308    (97125726)  IY1  CCY          </t>
    <phoneticPr fontId="4" type="noConversion"/>
  </si>
  <si>
    <t xml:space="preserve">0402  XCY620S-76701-BAG    20000KG   22037308    (97125728)  IY1  CCY          </t>
    <phoneticPr fontId="4" type="noConversion"/>
  </si>
  <si>
    <t xml:space="preserve">0402  LUX2114G-WH4G020X-BAG    3000KG   22036929    (200426612)  IL2  LXN          </t>
    <phoneticPr fontId="4" type="noConversion"/>
  </si>
  <si>
    <t xml:space="preserve">0402  LUX2114G-WH5B140X-BAG    2000KG   22023831    (200530651)  IL2  LXN          </t>
    <phoneticPr fontId="4" type="noConversion"/>
  </si>
  <si>
    <t xml:space="preserve">0402  LUX2114G-WH8B491X-BAG    3120KG   22023832    (200570669)  IL2  LXN          </t>
    <phoneticPr fontId="4" type="noConversion"/>
  </si>
  <si>
    <t xml:space="preserve">0402  123R-WH5C051X-BAG    10400KG   22033096    (200570609)    LXN/CCY          </t>
    <phoneticPr fontId="4" type="noConversion"/>
  </si>
  <si>
    <t xml:space="preserve">0402  XCY620S-100-BAG    10000KG   22025073    (86435842)  IY1  CCY          </t>
    <phoneticPr fontId="4" type="noConversion"/>
  </si>
  <si>
    <t xml:space="preserve">0402  LS2-BL8B041T-BAG    208KG   22036914    (200571750)    LXN/CCY          </t>
    <phoneticPr fontId="4" type="noConversion"/>
  </si>
  <si>
    <t xml:space="preserve">0402  923A-116-BAG    500KG   22022183    (200561340)  IL2  LXN/CCY         含Br/Cl  粒子/confirm/NS2_NO      </t>
    <phoneticPr fontId="4" type="noConversion"/>
  </si>
  <si>
    <t xml:space="preserve">0402  923A-116-BAG    500KG   22022183    (200569752)  IL2  LXN/CCY         含Br/Cl  粒子/confirm/NS2_NO      </t>
    <phoneticPr fontId="4" type="noConversion"/>
  </si>
  <si>
    <t xml:space="preserve">0402  LUX9130T-NAT-BAG    10000KG   22036940    (200421444)  IX2  LXN          </t>
    <phoneticPr fontId="4" type="noConversion"/>
  </si>
  <si>
    <t xml:space="preserve">0402  LUX7630C-NAT-BAG    1000KG   22023838    (200559171)  IX2  LXN          </t>
    <phoneticPr fontId="4" type="noConversion"/>
  </si>
  <si>
    <t xml:space="preserve">0402  LUX7636C-WH5E143X-BAG    2000KG   22028318    (200559384)    LXN          </t>
    <phoneticPr fontId="4" type="noConversion"/>
  </si>
  <si>
    <t xml:space="preserve">0402  164H-111FC-BAG    2000KG   22031018    (200495973)    LXN/CCY          粒子FDA      </t>
    <phoneticPr fontId="4" type="noConversion"/>
  </si>
  <si>
    <t xml:space="preserve">0402  LUX9610-NA9G155T-BAG    1040KG   22036943    (200570789)  IL2  LXN          </t>
    <phoneticPr fontId="4" type="noConversion"/>
  </si>
  <si>
    <t xml:space="preserve">0402  LUX9130T-NAT-BAG    10400KG   22036940    (200570751)  IX2  LXN          </t>
    <phoneticPr fontId="4" type="noConversion"/>
  </si>
  <si>
    <t xml:space="preserve">0402  LUX9610-111N-BAG    1768KG   22041065    (200572854)  IL2  LXN          </t>
    <phoneticPr fontId="4" type="noConversion"/>
  </si>
  <si>
    <t xml:space="preserve">0402  LUX7430C-NA8E061T-BAG    1040KG   22023837    (200572730)    LXN          </t>
    <phoneticPr fontId="4" type="noConversion"/>
  </si>
  <si>
    <t xml:space="preserve">0402  RCX7233-7A1D142-BAG    1000KG   22024710    (200569612)  IY2  CCY          </t>
    <phoneticPr fontId="4" type="noConversion"/>
  </si>
  <si>
    <t xml:space="preserve">0402  C6200-7T1D306-BAG    10000KG   22035116    (200560244)  IY2  CCY          </t>
    <phoneticPr fontId="4" type="noConversion"/>
  </si>
  <si>
    <t xml:space="preserve">0402  EXL9330-BK2E002-BAG    1000KG   22036348    (200562605)  IX2  CCY          </t>
    <phoneticPr fontId="4" type="noConversion"/>
  </si>
  <si>
    <t xml:space="preserve">0402  EXL9134-7T2D205-BAG    2000KG   22029393    (200551356)  IX2  CCY          </t>
    <phoneticPr fontId="4" type="noConversion"/>
  </si>
  <si>
    <t xml:space="preserve">0402  C2950HF-GY1291-BAG    1000KG   22031568    (200568282)  IY2  CCY          </t>
    <phoneticPr fontId="4" type="noConversion"/>
  </si>
  <si>
    <t xml:space="preserve">0402  C2950HF-GY1291-BAG    1000KG   22031568    (200568264)  IY2  CCY          </t>
    <phoneticPr fontId="4" type="noConversion"/>
  </si>
  <si>
    <t xml:space="preserve">0402  925-701-BAG    500KG   22022189    (200555908)    CCY          </t>
    <phoneticPr fontId="4" type="noConversion"/>
  </si>
  <si>
    <t xml:space="preserve">0402  C6200-7T1D306-BAG    10400KG   22035116    (200570605)  IY2  CCY          </t>
    <phoneticPr fontId="4" type="noConversion"/>
  </si>
  <si>
    <t xml:space="preserve">0402  RCY6214-7M1D182-BAG    20799.999KG   22040925    (200572795)  IY2  CCY          </t>
    <phoneticPr fontId="4" type="noConversion"/>
  </si>
  <si>
    <t xml:space="preserve">0402  C2950HF-GY1291-BAG    1000KG   22031568    (200568265)  IY2  CCY          </t>
    <phoneticPr fontId="4" type="noConversion"/>
  </si>
  <si>
    <t xml:space="preserve">0402  C2800-701-BAG    1000KG   22017334    (200560132)  IY2  CCY          </t>
    <phoneticPr fontId="4" type="noConversion"/>
  </si>
  <si>
    <t xml:space="preserve">0402  C1200HF-GY2E337-BAG    2000KG   22031630    (200558345)    CCY          </t>
    <phoneticPr fontId="4" type="noConversion"/>
  </si>
  <si>
    <t xml:space="preserve">0402  XCY620-BK1G372-BAG    3000KG   22041153    (200537925)  IY2  CCY          </t>
    <phoneticPr fontId="4" type="noConversion"/>
  </si>
  <si>
    <t xml:space="preserve">0402  953-701-BAG    5000KG   22019593    (200529075)  IL2  CCY         含Br/Cl        </t>
    <phoneticPr fontId="4" type="noConversion"/>
  </si>
  <si>
    <t xml:space="preserve">0402  C1200HF-GY1G005-BAG    3120KG   22044899    (200530678)  IY2  CCY          </t>
    <phoneticPr fontId="4" type="noConversion"/>
  </si>
  <si>
    <t xml:space="preserve">0402  C2950HF-GY1291-BAG    1000KG   22031568    (200568221)  IY2  CCY          </t>
    <phoneticPr fontId="4" type="noConversion"/>
  </si>
  <si>
    <t xml:space="preserve">0402  RCY6214-7M1D182-BAG    2000KG   22040925    (200567162)  IY2  CCY          </t>
    <phoneticPr fontId="4" type="noConversion"/>
  </si>
  <si>
    <t xml:space="preserve">0402  EXL9330-GY1D675-BAG    1040KG   22036357    (200571709)  IX2  CCY          </t>
    <phoneticPr fontId="4" type="noConversion"/>
  </si>
  <si>
    <t xml:space="preserve">0402  C1200HF-BK1G372-BAG    5200KG   22045182    (200570426)    CCY          </t>
    <phoneticPr fontId="4" type="noConversion"/>
  </si>
  <si>
    <t xml:space="preserve">0402  C2950HF-GY1291-BAG    1000KG   22031568    (200568251)  IY2  CCY          </t>
    <phoneticPr fontId="4" type="noConversion"/>
  </si>
  <si>
    <t xml:space="preserve">0402  CFR7630-7T1D227-BAG    2028KG   22043570    (97826663)    LXN/CCY          </t>
    <phoneticPr fontId="4" type="noConversion"/>
  </si>
  <si>
    <t xml:space="preserve">0402  C2950HF-GY1291-BAG    1000KG   22031568    (200568283)  IY2  CCY          </t>
    <phoneticPr fontId="4" type="noConversion"/>
  </si>
  <si>
    <t xml:space="preserve">0402  LG9000-BK1044-BAG    1000KG   22018724    (200479758)  IY2  CCY          粒子similar as LG9000-BK1044MX / _NS2禁用      </t>
    <phoneticPr fontId="4" type="noConversion"/>
  </si>
  <si>
    <t xml:space="preserve">0402  HF1110R-701-BAG    1000KG   22023557    (200560120)    CCY          </t>
    <phoneticPr fontId="4" type="noConversion"/>
  </si>
  <si>
    <t xml:space="preserve">0402  C2800-7T1D203-BAG    20799.999KG   22034977    (200573607)  IY2  CCY          </t>
    <phoneticPr fontId="4" type="noConversion"/>
  </si>
  <si>
    <t xml:space="preserve">0402  D251RC-7A1D379-BAG    18540KG   22097758    (200571926)  IT2  GF          </t>
    <phoneticPr fontId="4" type="noConversion"/>
  </si>
  <si>
    <t xml:space="preserve">0402  EXL9330P-BK1E649-BAG    20000KG   22035991    (92846408)    CCY          </t>
    <phoneticPr fontId="4" type="noConversion"/>
  </si>
  <si>
    <t xml:space="preserve">0402  EXL9330-BK1A068-BAG    20600KG   22018508    (97947104)  IX1  CCY          </t>
    <phoneticPr fontId="4" type="noConversion"/>
  </si>
  <si>
    <t xml:space="preserve">0402  EXL9330P-BK1E649-BAG    20600KG   22035991    (98019064)    CCY          </t>
    <phoneticPr fontId="4" type="noConversion"/>
  </si>
  <si>
    <t xml:space="preserve">0402  EXL9330P-BK1E649-BAG    20600KG   22035991    (98019065)    CCY          </t>
    <phoneticPr fontId="4" type="noConversion"/>
  </si>
  <si>
    <t xml:space="preserve">0402  C4220-76701-BAG    5000KG   22030087    (200547546)    GF          </t>
    <phoneticPr fontId="4" type="noConversion"/>
  </si>
  <si>
    <t xml:space="preserve">0402  EXL9330P-BK1E649-BAG    20600KG   22035991    (97695097)    CCY          </t>
    <phoneticPr fontId="4" type="noConversion"/>
  </si>
  <si>
    <t xml:space="preserve">0402  DX11355-BKNAT-FBG    20000KG   22082385    (94691478)  IT1  GF          </t>
    <phoneticPr fontId="4" type="noConversion"/>
  </si>
  <si>
    <t xml:space="preserve">0402  D551RC-701-SBG    10300KG   22086246    (97969593)  IT1  GF          </t>
    <phoneticPr fontId="4" type="noConversion"/>
  </si>
  <si>
    <t xml:space="preserve">0402  3414R-739-BAG    1050KG   22021743    (200572748)    GF         含Br/Cl        </t>
    <phoneticPr fontId="4" type="noConversion"/>
  </si>
  <si>
    <t xml:space="preserve">0402  RCP36-BK1A862-SBG    3360KG   22040918    (92477792)  IT2  GL          </t>
    <phoneticPr fontId="4" type="noConversion"/>
  </si>
  <si>
    <t xml:space="preserve">0402  DX10311-7B1D125-SBG    5775KG   22029221    (200550412)  IT2  GF          </t>
    <phoneticPr fontId="4" type="noConversion"/>
  </si>
  <si>
    <t xml:space="preserve">0402  DX10311-7B1D125-SBG    11655KG   22029221    (200568219)  IT2  GF          </t>
    <phoneticPr fontId="4" type="noConversion"/>
  </si>
  <si>
    <t xml:space="preserve">0402  MC5220-7001-BAG    2000KG   22030554    (200549055)  IY2  GF          </t>
    <phoneticPr fontId="4" type="noConversion"/>
  </si>
  <si>
    <t xml:space="preserve">0402  C1200HF-BK1E685-BAG    5250KG   22034871    (200572710)  IY2  CCY          </t>
    <phoneticPr fontId="4" type="noConversion"/>
  </si>
  <si>
    <t xml:space="preserve">0402  223R-BK1E283-BAG    6300KG   22037756    (200571656)  IL2  LXN/CCY          </t>
    <phoneticPr fontId="4" type="noConversion"/>
  </si>
  <si>
    <t xml:space="preserve">0402  C2950HF-BL2082-BAG    500KG   22039549    (200562555)  IY2  CCY          粒子      </t>
    <phoneticPr fontId="4" type="noConversion"/>
  </si>
  <si>
    <t xml:space="preserve">0402  ER007485-2G2A4425-SBG    200KG   22106792    (97218312)    FARADEX          </t>
    <phoneticPr fontId="4" type="noConversion"/>
  </si>
  <si>
    <t xml:space="preserve">0402  CX7240-7T5D172-BAG    1050KG   22085534    (200571884)  IY2  CCY          </t>
    <phoneticPr fontId="4" type="noConversion"/>
  </si>
  <si>
    <t xml:space="preserve">0402  CX7240U-7T1D359-BAG    20000KG   22035659    (200562795)  IY2  CCY          </t>
    <phoneticPr fontId="4" type="noConversion"/>
  </si>
  <si>
    <t xml:space="preserve">0402  DX10311-701-SBG    2050KG   22035924    (200564779)  IT2  GF          </t>
    <phoneticPr fontId="4" type="noConversion"/>
  </si>
  <si>
    <t xml:space="preserve">0402  DF006ER-NC-SBG    1000KG   22031882    (200568292)    GF/GL          </t>
    <phoneticPr fontId="4" type="noConversion"/>
  </si>
  <si>
    <t xml:space="preserve">0402  RFL36S-BK1A842-SBG    5250KG   22028388    (200516576)  IT2  GL          </t>
    <phoneticPr fontId="4" type="noConversion"/>
  </si>
  <si>
    <t xml:space="preserve">0402  MC5220-7001-BAG    2100KG   22030554    (200572916)  IY2  GF          </t>
    <phoneticPr fontId="4" type="noConversion"/>
  </si>
  <si>
    <t xml:space="preserve">0402  DEP23FXC-BK8167-SBG    300KG   22039344    (200566349)    GL          </t>
    <phoneticPr fontId="4" type="noConversion"/>
  </si>
  <si>
    <t xml:space="preserve">0402  C2950HF-BL2082-BAG    500KG   22039549    (200562556)  IY2  CCY          粒子      </t>
    <phoneticPr fontId="4" type="noConversion"/>
  </si>
  <si>
    <t xml:space="preserve">0402  R2000-GYMDNAT-SBG    1000KG   22041327    (200548370)  IT2  FR          </t>
    <phoneticPr fontId="4" type="noConversion"/>
  </si>
  <si>
    <t xml:space="preserve">0402  950-701-BAG    1000KG   22022079    (200541734)    CCY         含Br/Cl        </t>
    <phoneticPr fontId="4" type="noConversion"/>
  </si>
  <si>
    <t xml:space="preserve">0402  WF006N-8A8A1122-SBG    1000KG   22104379    (200557796)  IT2  GF          </t>
    <phoneticPr fontId="4" type="noConversion"/>
  </si>
  <si>
    <t xml:space="preserve">0402  BPL1000-GY6E054-BAG    1000KG   22038531    (92134647)    CCY          </t>
    <phoneticPr fontId="4" type="noConversion"/>
  </si>
  <si>
    <t xml:space="preserve">0402  EXL9330-795143-BAG    1070KG   22023123    (200571794)  IX2  CCY          </t>
    <phoneticPr fontId="4" type="noConversion"/>
  </si>
  <si>
    <t xml:space="preserve">0402  UFL36AS-YWLTNAT-SBG    1000KG   22037570    (97081540)    GL          </t>
    <phoneticPr fontId="4" type="noConversion"/>
  </si>
  <si>
    <t xml:space="preserve">0402  CX7240-GY8D348-BAG    2000KG   22032089    (200559286)    CCY          </t>
    <phoneticPr fontId="4" type="noConversion"/>
  </si>
  <si>
    <t xml:space="preserve">0402  500R-WH5F014-BAG    5350KG   22033760    (200571675)    GF         含Br/Cl        </t>
    <phoneticPr fontId="4" type="noConversion"/>
  </si>
  <si>
    <t xml:space="preserve">0402  UFL36S-BKNAT-SBG    1000KG   22041363    (86521991)  IT2  GL          </t>
    <phoneticPr fontId="4" type="noConversion"/>
  </si>
  <si>
    <t xml:space="preserve">0402  UFL36AS-YWLTNAT-SBG    1000KG   22037570    (94493587)    GL          </t>
    <phoneticPr fontId="4" type="noConversion"/>
  </si>
  <si>
    <t xml:space="preserve">0402  LS1-701-BAG    20000KG   22041018    (200516636)  IL2  LXN/CCY          </t>
    <phoneticPr fontId="4" type="noConversion"/>
  </si>
  <si>
    <t xml:space="preserve">0402  DX89406-BKNAT-BPK    10000KG   22039467    (92302282)  IT1  3M          </t>
    <phoneticPr fontId="4" type="noConversion"/>
  </si>
  <si>
    <t xml:space="preserve">0402  DX11355-BKNAT-FBG    20999.999KG   22082385    (98017031)  IT1  GF          </t>
    <phoneticPr fontId="4" type="noConversion"/>
  </si>
  <si>
    <t xml:space="preserve">0402  DX89406-BKNAT-BPK    10000KG   22039467    (92302280)  IT1  3M          </t>
    <phoneticPr fontId="4" type="noConversion"/>
  </si>
  <si>
    <t xml:space="preserve">0402  LS1-701-BAG    20000KG   22041018    (200516678)  IL2  LXN/CCY          </t>
    <phoneticPr fontId="4" type="noConversion"/>
  </si>
  <si>
    <t xml:space="preserve">0402  DX89406-BKNAT-BPK    10000KG   22039467    (92302277)  IT1  3M          </t>
    <phoneticPr fontId="4" type="noConversion"/>
  </si>
  <si>
    <t xml:space="preserve">0402  DX89406-BKNAT-BPK    10000KG   22039467    (92302273)  IT1  3M          </t>
    <phoneticPr fontId="4" type="noConversion"/>
  </si>
  <si>
    <t xml:space="preserve">0402  DX89406-BKNAT-BPK    10000KG   22039467    (92302275)  IT1  3M          </t>
    <phoneticPr fontId="4" type="noConversion"/>
  </si>
  <si>
    <t xml:space="preserve">0402  DX89406-BKNAT-BPK    10000KG   22039467    (92302270)  IT1  3M          </t>
    <phoneticPr fontId="4" type="noConversion"/>
  </si>
  <si>
    <t xml:space="preserve">0402  9925A-NA9E163T-BAG    100KG   22031399    (200570277)  IL2  LXN          </t>
    <phoneticPr fontId="4" type="noConversion"/>
  </si>
  <si>
    <t xml:space="preserve">0402  945-7T4A4637-    35KG   299905941    (200571843)    CCY          </t>
    <phoneticPr fontId="4" type="noConversion"/>
  </si>
  <si>
    <t xml:space="preserve">0402  ML6411-3T5D024-BAG    100KG   22040670    (200567439)    CCY         含Br/Cl  粒子_confirm/NS2_No      </t>
    <phoneticPr fontId="4" type="noConversion"/>
  </si>
  <si>
    <t xml:space="preserve">0402  LUX9612-WH8E508X-BAG    25KG   22017108    (200562541)  IL2  LXN          </t>
    <phoneticPr fontId="4" type="noConversion"/>
  </si>
  <si>
    <t xml:space="preserve">0402  223R-BR2G132-BAG    500KG   22044053    (200548727)  IL2  LXN/CCY          </t>
    <phoneticPr fontId="4" type="noConversion"/>
  </si>
  <si>
    <t xml:space="preserve">0402  ENH2900-WH6G038-BAG    35KG   22040325    (91762082)  IV2  CCY          </t>
    <phoneticPr fontId="4" type="noConversion"/>
  </si>
  <si>
    <t xml:space="preserve">0402  EXL9330-8R6D007-BAG    490KG   22045549    (200571851)    CCY          </t>
    <phoneticPr fontId="4" type="noConversion"/>
  </si>
  <si>
    <t xml:space="preserve">0402  C2950HF-BK1D834-BAG    100KG   22034639    (200547469)    CCY          </t>
    <phoneticPr fontId="4" type="noConversion"/>
  </si>
  <si>
    <t xml:space="preserve">0402  ER007485-6G7A4244-SBG    160KG   22106886    (200572790)  IT2  FARADEX          </t>
    <phoneticPr fontId="4" type="noConversion"/>
  </si>
  <si>
    <t xml:space="preserve">0402  D151-7G2A4433-    25KG   299905850    (200573561)    GF          </t>
    <phoneticPr fontId="4" type="noConversion"/>
  </si>
  <si>
    <t xml:space="preserve">0402  R2000-BK1A831-SBG    100KG   22037395    (200552287)    FR          </t>
    <phoneticPr fontId="4" type="noConversion"/>
  </si>
  <si>
    <t xml:space="preserve">0402  420SE0-GN4B079-BAG    25KG   22033684    (200561373)    GF         含Br/Cl        </t>
    <phoneticPr fontId="4" type="noConversion"/>
  </si>
  <si>
    <t xml:space="preserve">0402  3413R-YW7G114-SBG    224KG   22031145    (200571986)    GF         含Br/Cl        </t>
    <phoneticPr fontId="4" type="noConversion"/>
  </si>
  <si>
    <t>NAN_PC52_MFG_Database.xlsx</t>
  </si>
  <si>
    <t xml:space="preserve">PO remark database </t>
  </si>
  <si>
    <t>NAN_PC52_SO_PO_Database</t>
  </si>
  <si>
    <t>Database Location for MFG and PO</t>
  </si>
  <si>
    <t xml:space="preserve">TEST_PO_REMARK      </t>
  </si>
  <si>
    <t xml:space="preserve">HFD1731-NA9E109T-BAG    20600KG   22040307    (200550052)  IX2  LXN          </t>
  </si>
  <si>
    <t xml:space="preserve">HF1140-111FC-BAG    9244.25KG   22020237    (200563871)  IL2  LXN/CCY          FDA/可使用50%粒子      </t>
  </si>
  <si>
    <t xml:space="preserve">144-111N-BBG    20600KG   22088203    (200569749)  CL1  LXN/CCY          </t>
  </si>
  <si>
    <t xml:space="preserve">HF1130-111-BAG    20000KG   22023563    (200523475)  IL2  LXN/CCY          </t>
  </si>
  <si>
    <t xml:space="preserve">HF1130-111-BAG    20000KG   22023563    (200523474)  IL2  LXN/CCY          </t>
  </si>
  <si>
    <t xml:space="preserve">920A-116-BAG    10000KG   22022160    (200569810)  IL2  LXN/CCY         含Br/Cl  粒子/confirm/NS2_NO      </t>
  </si>
  <si>
    <t xml:space="preserve">123R-WH6D257-BAG    2000KG   22033097    (200558215)  IL2  LXN/CCY          粒子      </t>
  </si>
  <si>
    <t xml:space="preserve">XHT4141-NA5D001T-BAG    2000KG   22041169    (200563816)  IX2  XHT/LXN          </t>
  </si>
  <si>
    <t xml:space="preserve">223R-WH9G279-BAG    5000KG   22037770    (200571581)  IL2  LXN/CCY          粒子in L2/5/8/9/25/31      </t>
  </si>
  <si>
    <t xml:space="preserve">123-111N-BAG    2000KG   22038090    (200569685)  IL2  LXN/CCY          </t>
  </si>
  <si>
    <t xml:space="preserve">144R-111FC-BAG    20000KG   22021418    (97255057)  IL1  LXN/CCY          粒子FDA      </t>
  </si>
  <si>
    <t xml:space="preserve">953A-116-BAG    10075KG   22022088    (200566093)  IL2  LXN/CCY         含Br/Cl        </t>
  </si>
  <si>
    <t xml:space="preserve">123R-WH6D257-BAG    2000KG   22033097    (200558279)  IL2  LXN/CCY          粒子      </t>
  </si>
  <si>
    <t xml:space="preserve">920A-116-BAG    2060KG   22022160    (200570597)  IL2  LXN/CCY         含Br/Cl  粒子/confirm/NS2_NO      </t>
  </si>
  <si>
    <t xml:space="preserve">121-111-BAG    2060KG   22030694    (200572872)    LXN/CCY          </t>
  </si>
  <si>
    <t xml:space="preserve">124R-111FC-BAG    20000KG   22021312    (200465970)  IL2  LXN/CCY          粒子FDA      </t>
  </si>
  <si>
    <t xml:space="preserve">124R-111FC-BAG    20000KG   22021312    (200465994)  IL2  LXN/CCY          粒子FDA      </t>
  </si>
  <si>
    <t xml:space="preserve">XHT3141-GY8D046-BAG    1751KG   22025093    (200567455)  IX2  XHT/LXN          </t>
  </si>
  <si>
    <t xml:space="preserve">XHT3141-GY8D046-BAG    2060KG   22025093    (200553334)  IX2  XHT/LXN          </t>
  </si>
  <si>
    <t xml:space="preserve">CY6012-7M8D042-BAG    19518.5KG   22045378    (200553505)  IY2  CCY          粒子      </t>
  </si>
  <si>
    <t xml:space="preserve">CY6012-7M8D042-BAG    16119.5KG   22045378    (200553622)  IY2  CCY          粒子      </t>
  </si>
  <si>
    <t xml:space="preserve">CX7240U-7T7D246-BAG    10300KG   22032098    (200548511)  IY2  CCY          </t>
  </si>
  <si>
    <t xml:space="preserve">XHT3141-GY8D046-BAG    5562KG   22025093    (200561614)  IX2  XHT/LXN          </t>
  </si>
  <si>
    <t xml:space="preserve">945U-7T8A2654-    9925KG   299903102    (200567149)  IL2  CCY          </t>
  </si>
  <si>
    <t xml:space="preserve">945-BL3D150-BAG    2000KG   22038408    (200562924)  IL2  CCY          </t>
  </si>
  <si>
    <t xml:space="preserve">EXL9134-7T5A3014-    6000KG   299903342    (200562801)  IX2  CCY          </t>
  </si>
  <si>
    <t xml:space="preserve">C6600-7T8A3144-    2000KG   299903524    (200568680)  IY2  CCY          </t>
  </si>
  <si>
    <t xml:space="preserve">CY6012-7M8D042-BAG    10000KG   22045378    (200567498)  IY2  CCY          粒子      </t>
  </si>
  <si>
    <t xml:space="preserve">C6600-8M9D029-BAG    5000KG   22022574    (200533826)  IY2  CCY          </t>
  </si>
  <si>
    <t xml:space="preserve">LUX2289-WH9G012-BAG    10000KG   22023833    (200498154)  IL2  LXN/CCY          </t>
  </si>
  <si>
    <t xml:space="preserve">C2950-GY7G186-BAG    2000KG   22029949    (200555837)  IY2  CCY          粒子      </t>
  </si>
  <si>
    <t xml:space="preserve">241R-YW8C033-BAG    5000KG   22031082    (200547370)  IL2  LXN/CCY          粒子      </t>
  </si>
  <si>
    <t xml:space="preserve">CY6025-WH8G710-BAG    10000KG   22030264    (200548772)  IY2  CCY          可使用一种粒子   黑点    </t>
  </si>
  <si>
    <t xml:space="preserve">XHT3141-GY8D046-BAG    2000KG   22025093    (200567282)  IX2  XHT/LXN          </t>
  </si>
  <si>
    <t xml:space="preserve">CY6012-7M8D042-BAG    11025KG   22045378    (200514578)  IY2  CCY          粒子      </t>
  </si>
  <si>
    <t xml:space="preserve">241R-WH9B307-BAG    20000KG   22038464    (200559111)  IL2  LXN/CCY          粒子      </t>
  </si>
  <si>
    <t xml:space="preserve">C2950-GY8E432-BAG    10000KG   22029950    (200558103)  IY2  CCY          </t>
  </si>
  <si>
    <t xml:space="preserve">C2950-WH8G018-BAG    3000KG   22031555    (200557761)  IY2  CCY          </t>
  </si>
  <si>
    <t xml:space="preserve">C1200HF-BL1D302-BAG    10000KG   22039398    (200561283)  IY2  CCY          粒子      </t>
  </si>
  <si>
    <t xml:space="preserve">LUX2289-WH9G012-BAG    10000KG   22023833    (200498129)  IL2  LXN/CCY          </t>
  </si>
  <si>
    <t xml:space="preserve">C2950-YW8001S-BAG    10000KG   22039533    (200556059)  IY2  CCY          </t>
  </si>
  <si>
    <t xml:space="preserve">C6600-2B2D008-BAG    5000KG   22039652    (200566300)  IY2  CCY          粒子      </t>
  </si>
  <si>
    <t xml:space="preserve">C2950-8T8D247-BAG    10000KG   22046215    (200548434)  IY2  CCY          粒子      </t>
  </si>
  <si>
    <t xml:space="preserve">LUX2289-WH9G012-BAG    10000KG   22023833    (200498132)  IL2  LXN/CCY          </t>
  </si>
  <si>
    <t xml:space="preserve">C1200HF-YW7B089-BAG    10000KG   22038639    (200559146)  IY2  CCY          粒子      </t>
  </si>
  <si>
    <t xml:space="preserve">C1200HF-GY3F031-BAG    5150KG   22034454    (200572750)    CCY          </t>
  </si>
  <si>
    <t xml:space="preserve">C1200HF-GY3F031-BAG    5150KG   22034454    (200571976)    CCY          </t>
  </si>
  <si>
    <t xml:space="preserve">LUX2289-WH9G012-BAG    10000KG   22023833    (200498114)  IL2  LXN/CCY          </t>
  </si>
  <si>
    <t xml:space="preserve">EXL9330-5T7D005-BAG    5000KG   22029397    (200544340)  IX2  CCY          </t>
  </si>
  <si>
    <t xml:space="preserve">C6600-8M9D029-BAG    5000KG   22022574    (200551140)  IY2  CCY          </t>
  </si>
  <si>
    <t xml:space="preserve">C2950-8T8D247-BAG    10000KG   22046215    (200528496)  IY2  CCY          粒子      </t>
  </si>
  <si>
    <t xml:space="preserve">CY6025-WH8G710-BAG    10000KG   22030264    (200548773)  IY2  CCY          可使用一种粒子   黑点    </t>
  </si>
  <si>
    <t xml:space="preserve">XCY620S-100-BAG    22000KG   22025073    (86435844)  IY1  CCY          </t>
  </si>
  <si>
    <t xml:space="preserve">C6600-2B2D008-BAG    5000KG   22039652    (200566327)  IY2  CCY          粒子      </t>
  </si>
  <si>
    <t xml:space="preserve">XCY620S-100-BAG    10000KG   22025073    (86435845)  IY1  CCY          </t>
  </si>
  <si>
    <t xml:space="preserve">CY6025-WH8G710-BAG    20000KG   22030264    (200566116)  IY2  CCY          可使用一种粒子   黑点    </t>
  </si>
  <si>
    <t xml:space="preserve">LUX2289-WH9G012-BAG    10000KG   22023833    (200498133)  IL2  LXN/CCY          </t>
  </si>
  <si>
    <t xml:space="preserve">C2950-GY8E432-BAG    5000KG   22029950    (200548369)  IY2  CCY          </t>
  </si>
  <si>
    <t xml:space="preserve">C2950-WH8G018-BAG    5000KG   22031555    (200548380)  IY2  CCY          </t>
  </si>
  <si>
    <t xml:space="preserve">C6600-2B2D008-BAG    5000KG   22039652    (200566364)  IY2  CCY          粒子      </t>
  </si>
  <si>
    <t xml:space="preserve">C2950-WH8G018-BAG    5000KG   22031555    (200304498)  IY2  CCY          </t>
  </si>
  <si>
    <t xml:space="preserve">XTPMFR10-BK1G005-BAG    3000KG   22044494    (200542091)    CCY          </t>
  </si>
  <si>
    <t xml:space="preserve">XHT2141-GY5G190-BAG    10000KG   22041167    (200498168)  IX2  XHT/LXN          </t>
  </si>
  <si>
    <t xml:space="preserve">LUX2289-WH9G012-BAG    10000KG   22023833    (200498059)  IL2  LXN/CCY          </t>
  </si>
  <si>
    <t xml:space="preserve">C2950-YW8001S-BAG    20000KG   22039533    (200550097)  IY2  CCY          </t>
  </si>
  <si>
    <t xml:space="preserve">C1200HF-GY3F031-BAG    5150KG   22034454    (200572783)    CCY          </t>
  </si>
  <si>
    <t xml:space="preserve">141R-80711-BAG    9000KG   22038171    (200534768)  IL2  LXN/CCY          粒子      </t>
  </si>
  <si>
    <t xml:space="preserve">CY6012-7M4D051-BAG    10686.25KG   22065217    (200553882)  IY2  CCY          </t>
  </si>
  <si>
    <t xml:space="preserve">CY6012-7M1D238-BAG    10000KG   22089280    (200561278)  IY2  CCY          </t>
  </si>
  <si>
    <t xml:space="preserve">CY6025-2B2D023-BAG    10000KG   22044231    (200570259)  IY2  CCY          粒子      </t>
  </si>
  <si>
    <t xml:space="preserve">C6600-7A1A1745-    13000KG   299901899    (200560230)  IY2  CCY          </t>
  </si>
  <si>
    <t xml:space="preserve">CY6012-6M4D043-BAG    5407.5KG   22066416    (200546332)  IY2  CCY         含Br/Cl        </t>
  </si>
  <si>
    <t xml:space="preserve">CX7259-7A1D057-BAG    20600KG   22022747    (200573558)  IY2  CCY          </t>
  </si>
  <si>
    <t xml:space="preserve">CY6012-7M1D238-BAG    10000KG   22089280    (200561545)  IY2  CCY          </t>
  </si>
  <si>
    <t xml:space="preserve">C2951-7T3D044-BAG    5000KG   22019703    (200566118)  IY2  CCY          </t>
  </si>
  <si>
    <t xml:space="preserve">XCY620-76701-BAG    10000KG   22060626    (200558170)  IY2  CCY          </t>
  </si>
  <si>
    <t xml:space="preserve">CY6012-7M2D124-BAG    10712KG   22067457    (200556072)  IY2  CCY          </t>
  </si>
  <si>
    <t xml:space="preserve">XCY620-76701-BAG    10000KG   22060626    (200558169)  IY2  CCY          </t>
  </si>
  <si>
    <t xml:space="preserve">945-7G1A3051-    3000KG   299903516    (200561872)  IL2  CCY          </t>
  </si>
  <si>
    <t xml:space="preserve">123R-GY2G204-BBG    10000KG   22098752    (200510569)  IL2  LXN/CCY          </t>
  </si>
  <si>
    <t xml:space="preserve">CX7240-7T1A0602-    5325KG   299900516    (200550000)  IY2  CCY          </t>
  </si>
  <si>
    <t xml:space="preserve">CX7240-7T1D193-BAG    10300KG   22039232    (96281545)  IY1  CCY          </t>
  </si>
  <si>
    <t xml:space="preserve">144-111N-BBG    20000KG   22088203    (96103111)  CL1  LXN/CCY          </t>
  </si>
  <si>
    <t xml:space="preserve">CY6012-7M1D238-BAG    10600KG   22089280    (200536239)  IY2  CCY          </t>
  </si>
  <si>
    <t xml:space="preserve">144-111N-BBG    20000KG   22088203    (96125948)  CL1  LXN/CCY          </t>
  </si>
  <si>
    <t xml:space="preserve">CY6012-7M1D238-BAG    3090KG   22089280    (200573471)  IY2  CCY          </t>
  </si>
  <si>
    <t xml:space="preserve">CX7241-701-BAG    5150KG   22040092    (200571957)  IY2  CCY          </t>
  </si>
  <si>
    <t xml:space="preserve">C6600-BK1D834-BAG    3000KG   22031674    (200569617)  IY2  CCY          </t>
  </si>
  <si>
    <t xml:space="preserve">CY6012-7M1D238-BAG    6180KG   22089280    (200572939)  IY2  CCY          </t>
  </si>
  <si>
    <t xml:space="preserve">945-7M1D058-BAG    20600KG   22017645    (200572811)  IL2  CCY          </t>
  </si>
  <si>
    <t xml:space="preserve">C6200-GY8A240-BAG    5150KG   22038829    (200572638)  IY2  CCY          粒子      </t>
  </si>
  <si>
    <t xml:space="preserve">C1200HF-701-SSS    20000KG   22039382    (200543497)  IY2  CCY          </t>
  </si>
  <si>
    <t xml:space="preserve">XCY620S-100-BAG    20000KG   22025073    (82933313)  IY1  CCY          </t>
  </si>
  <si>
    <t xml:space="preserve">144-111N-BBG    20000KG   22088203    (96126398)  CL1  LXN/CCY          </t>
  </si>
  <si>
    <t xml:space="preserve">241R-701-BAG    10000KG   22021559    (200566414)  IL2  LXN/CCY          </t>
  </si>
  <si>
    <t xml:space="preserve">C2950HF-66615-BAG    2000KG   22019694    (200566284)  IY2  CCY         含Br/Cl  粒子      </t>
  </si>
  <si>
    <t xml:space="preserve">945-7M1D058-BAG    10000KG   22017645    (200556112)  IL2  CCY          </t>
  </si>
  <si>
    <t xml:space="preserve">C6600-GY9A016-BAG    3090KG   22039826    (200570796)  IY2  CCY          粒子      </t>
  </si>
  <si>
    <t xml:space="preserve">950-BK1334-    5000KG   299900857    (200548470)  IL2  CCY         含Br/Cl        </t>
  </si>
  <si>
    <t xml:space="preserve">244RF-GY7G193F-BAG    10000KG   22033846    (200563831)  IL2  LXN/CCY          粒子FDA      </t>
  </si>
  <si>
    <t xml:space="preserve">C2950-GY8E438-BAG    5000KG   22039523    (200545170)    CCY          粒子      </t>
  </si>
  <si>
    <t xml:space="preserve">XCY620S-100-BAG    10000KG   22025073    (90053025)  IY1  CCY          </t>
  </si>
  <si>
    <t xml:space="preserve">CX7240-7T1D434-BAG    2060KG   22067443    (200570765)  IY2  CCY         含Br/Cl        </t>
  </si>
  <si>
    <t xml:space="preserve">C6600-GY6A480-BAG    10000KG   22027944    (200562455)  IY2  CCY          粒子      </t>
  </si>
  <si>
    <t xml:space="preserve">CY6120-GY9A016-BAG    2000KG   22030266    (200558989)    CCY          粒子      </t>
  </si>
  <si>
    <t xml:space="preserve">940-4B7D013-BAG    3000KG   22029811    (200570750)    CCY         含Br/Cl  粒子      </t>
  </si>
  <si>
    <t xml:space="preserve">XCY620S-76701-BAG    20000KG   22037308    (97125724)  IY1  CCY          </t>
  </si>
  <si>
    <t xml:space="preserve">C2950-GY8E438-BAG    2000KG   22039523    (200549284)    CCY          粒子      </t>
  </si>
  <si>
    <t xml:space="preserve">XCY620S-76701-BAG    20000KG   22037308    (97124241)  IY1  CCY          </t>
  </si>
  <si>
    <t xml:space="preserve">XCY620S-76701-BAG    20000KG   22037308    (97124242)  IY1  CCY          </t>
  </si>
  <si>
    <t xml:space="preserve">XCY620S-76701-BAG    20000KG   22037308    (97124243)  IY1  CCY          </t>
  </si>
  <si>
    <t xml:space="preserve">C6600-BK1740-BAG    2060KG   22031670    (200570619)  IY2  CCY          </t>
  </si>
  <si>
    <t xml:space="preserve">XCY620S-76701-BAG    20000KG   22037308    (97124244)  IY1  CCY          </t>
  </si>
  <si>
    <t xml:space="preserve">123R-BK1G204-BAG    2000KG   22033067    (200557139)    LXN/CCY          </t>
  </si>
  <si>
    <t xml:space="preserve">XCY620S-76701-BAG    20000KG   22037308    (97125727)  IY1  CCY          </t>
  </si>
  <si>
    <t xml:space="preserve">XCY620S-76701-BAG    20000KG   22037308    (97125729)  IY1  CCY          </t>
  </si>
  <si>
    <t xml:space="preserve">LS1-701-BAG    10300KG   22041018    (200471669)  IL2  LXN/CCY          </t>
  </si>
  <si>
    <t xml:space="preserve">EXL9330-BK1A233-BAG    10300KG   22020017    (200531622)  IX2  CCY          </t>
  </si>
  <si>
    <t xml:space="preserve">BX7241-7A1D330-BAG    4120KG   22072651    (200567148)  IY2  CCY          </t>
  </si>
  <si>
    <t xml:space="preserve">BX7241-7A1D330-BAG    20600KG   22072651    (200561467)  IY2  CCY          </t>
  </si>
  <si>
    <t xml:space="preserve">CH6410-701-BAG    20600KG   22035048    (200568586)  IY1  CCY          </t>
  </si>
  <si>
    <t xml:space="preserve">LS1-701-BAG    20600KG   22041018    (200516704)  IL2  LXN/CCY          </t>
  </si>
  <si>
    <t xml:space="preserve">EXL9330-7T1D102-BAG    5000KG   22036321    (200536212)  IX2  CCY          </t>
  </si>
  <si>
    <t xml:space="preserve">EXL1132-BK2H002-BAG    10300KG   22086276    (200571640)  IX2  CCY          </t>
  </si>
  <si>
    <t xml:space="preserve">LS1-701-BAG    10300KG   22041018    (200471705)  IL2  LXN/CCY          </t>
  </si>
  <si>
    <t xml:space="preserve">XHT3141-BK1C141-BAG    20600KG   22021045    (98021561)  IX1  XHT/LXN          </t>
  </si>
  <si>
    <t xml:space="preserve">XHT2141-BK1C141-BAG    20600KG   22025083    (98022605)  IX1  XHT/LXN          </t>
  </si>
  <si>
    <t xml:space="preserve">CH6410-701-BAG    20000KG   22035048    (96280953)  IY1  CCY          </t>
  </si>
  <si>
    <t xml:space="preserve">C6600E-GY1C173-BAG    2000KG   22030022    (200559107)  IY2  CCY          </t>
  </si>
  <si>
    <t xml:space="preserve">SLX2271T-BK1G296-BAG    20000KG   22020921    (95369669)    LXN/CCY          </t>
  </si>
  <si>
    <t xml:space="preserve">SLX2271T-BK1G296-BAG    20000KG   22020921    (95369670)    LXN/CCY          </t>
  </si>
  <si>
    <t xml:space="preserve">SLX2271T-BK1G296-BAG    20000KG   22020921    (97255631)    LXN/CCY          </t>
  </si>
  <si>
    <t xml:space="preserve">SLX2271T-BK1G296-BAG    20000KG   22020921    (97254799)    LXN/CCY          </t>
  </si>
  <si>
    <t xml:space="preserve">EXL1414-2N2A3647-    350KG   299904108    (200569487)  IX2  CCY          </t>
  </si>
  <si>
    <t xml:space="preserve">EXL1810T-8T9D428-BAG    1000KG   22066567    (200566086)  IX2  CCY          </t>
  </si>
  <si>
    <t xml:space="preserve">EXL1414T-7A7D048-BAG    265KG   22039732    (200559484)  IX2  CCY          </t>
  </si>
  <si>
    <t xml:space="preserve">945-7A4D044-BAG    1000KG   22088981    (200559401)  IL2  CCY          </t>
  </si>
  <si>
    <t xml:space="preserve">C7230P-701-BAG    530KG   22035448    (200561474)  IY2  CCY          </t>
  </si>
  <si>
    <t xml:space="preserve">121C-6A2A2784-    1000KG   299903154    (200572897)  IL2  LXN/CCY          </t>
  </si>
  <si>
    <t xml:space="preserve">C2950HF-BL2082-BAG    500KG   22039549    (200537143)  IY2  CCY          粒子      </t>
  </si>
  <si>
    <t xml:space="preserve">CX7240-7T1D010-BAG    212KG   22035221    (200560405)  IY2  CCY          </t>
  </si>
  <si>
    <t xml:space="preserve">9925A-7T1D132-BAG    636KG   22030014    (200560052)  IL2  LXN          </t>
  </si>
  <si>
    <t xml:space="preserve">C6600-GY1B132-BAG    530KG   22035306    (200559116)  IY2  CCY          </t>
  </si>
  <si>
    <t xml:space="preserve">EXL1414A-8A9D090-BAG    530KG   22045504    (97970616)  IX2  CCY          </t>
  </si>
  <si>
    <t xml:space="preserve">CY6012-BK1066-BAG    1060KG   22040121    (200561602)  IY2  CCY          </t>
  </si>
  <si>
    <t xml:space="preserve">BY2710X-7N2D025-BAG    1060KG   22034804    (200561392)  IL2  CCY          </t>
  </si>
  <si>
    <t xml:space="preserve">CY6025-GY4G273-BAG    530KG   22035325    (200560290)  IY2  CCY          </t>
  </si>
  <si>
    <t xml:space="preserve">EXL9330-8T7D131-BAG    768.5KG   22083954    (200549052)  IX2  CCY          </t>
  </si>
  <si>
    <t xml:space="preserve">C2950HF-BK2E043-BAG    1000KG   22034640    (200562908)  IY2  CCY          </t>
  </si>
  <si>
    <t xml:space="preserve">945U-NC-BAG    1000KG   22039271    (200562590)  IL2  CCY          </t>
  </si>
  <si>
    <t xml:space="preserve">CM6240-701-BAG    1000KG   22022433    (200563002)  IY2  CCY          </t>
  </si>
  <si>
    <t xml:space="preserve">EXL9330-7T1A3165-    1000KG   299903580    (200569650)  IX2  CCY          </t>
  </si>
  <si>
    <t xml:space="preserve">EXL9330-7T2A3171-    1000KG   299903631    (200569594)  IX2  CCY          </t>
  </si>
  <si>
    <t xml:space="preserve">C2950HF-7T2D326-BAG    500KG   22085309    (200562519)  IY2  CCY          </t>
  </si>
  <si>
    <t xml:space="preserve">FXE1414T-6G8A1349-BAG    344.5KG   22098674    (200569568)  IX2  CCY          </t>
  </si>
  <si>
    <t xml:space="preserve">EXL1414-3N7A4138-    530KG   299904782    (200569622)  IX2  CCY          </t>
  </si>
  <si>
    <t xml:space="preserve">945-BL1D017-BAG    300KG   22022069    (200566390)  IL2  CCY          </t>
  </si>
  <si>
    <t xml:space="preserve">920-BL3H009-BAG    500KG   22088965    (200566001)  IL2  CCY         含Br/Cl        </t>
  </si>
  <si>
    <t xml:space="preserve">EXL9134-8T8D241-BAG    1000KG   22045529    (200562800)  IX2  CCY          </t>
  </si>
  <si>
    <t xml:space="preserve">C6600-7T1D434-BAG    1000KG   22085413    (200557070)  IY2  CCY         含Br/Cl        </t>
  </si>
  <si>
    <t xml:space="preserve">C2950HF-7T2D326-BAG    500KG   22085309    (200548339)  IY2  CCY          </t>
  </si>
  <si>
    <t xml:space="preserve">C6200-7T1D123-BAG    500KG   22035115    (200567368)  IY2  CCY          </t>
  </si>
  <si>
    <t xml:space="preserve">C6200-7T1D123-BAG    500KG   22035115    (200567331)  IY2  CCY          </t>
  </si>
  <si>
    <t xml:space="preserve">C6600-GY8E463-BAG    1000KG   22034930    (200567180)  IY2  CCY          粒子      </t>
  </si>
  <si>
    <t xml:space="preserve">C6600-8M9D029-BAG    1000KG   22022574    (96190371)  IY2  CCY          </t>
  </si>
  <si>
    <t xml:space="preserve">945U-NC-BAG    675KG   22039271    (200566043)  IL2  CCY          </t>
  </si>
  <si>
    <t xml:space="preserve">EXL1132T-7G1A1299T-    715.5KG   299901419    (200571783)  IX2  CCY          </t>
  </si>
  <si>
    <t xml:space="preserve">C6200-BL1634-BAG    371KG   22030095    (200568159)  IY2  CCY          粒子      </t>
  </si>
  <si>
    <t xml:space="preserve">945-7T4D212-BAG    500KG   22031459    (200569582)  IL2  CCY          </t>
  </si>
  <si>
    <t xml:space="preserve">EXL1414-GY2E408-BAG    500KG   22030234    (200558799)  IX2  CCY          </t>
  </si>
  <si>
    <t xml:space="preserve">CY6012-6M4D043-BAG    250KG   22066416    (200569500)  IY2  CCY         含Br/Cl        </t>
  </si>
  <si>
    <t xml:space="preserve">CX7240-2M4D051-BAG    200KG   22067436    (200569536)  IY2  CCY          </t>
  </si>
  <si>
    <t xml:space="preserve">C2950HF-GY6A021-BAG    530KG   22031570    (200571674)  IY2  CCY          粒子      </t>
  </si>
  <si>
    <t xml:space="preserve">C7210A-BK1066-BAG    530KG   22031940    (200570593)  IY2  CCY          </t>
  </si>
  <si>
    <t xml:space="preserve">C2950HF-GY1291-BAG    1000KG   22031568    (200537147)  IY2  CCY          </t>
  </si>
  <si>
    <t xml:space="preserve">CX7240U-7M1D051-BAG    1000KG   22022738    (200554759)  IY2  CCY          </t>
  </si>
  <si>
    <t xml:space="preserve">C6200-GN7021RS-BAG    530KG   22038812    (200572804)  IY2  CCY         含Br/Cl  粒子      </t>
  </si>
  <si>
    <t xml:space="preserve">920-70405-BAG    500KG   22039003    (200567078)  IL2  CCY         含Br/Cl  粒子      </t>
  </si>
  <si>
    <t xml:space="preserve">C6600-GN3058-BAG    1000KG   22038927    (200566215)  IY2  CCY         含Br/Cl  粒子      </t>
  </si>
  <si>
    <t xml:space="preserve">920-70405-BAG    200KG   22039003    (200559980)  IL2  CCY         含Br/Cl  粒子      </t>
  </si>
  <si>
    <t xml:space="preserve">C2950HF-7T2D326-BAG    1000KG   22085309    (200561528)  IY2  CCY          </t>
  </si>
  <si>
    <t xml:space="preserve">101-GY6135-BAG    1000KG   22044725    (200562685)  IL2      粒子      </t>
  </si>
  <si>
    <t xml:space="preserve">221RC-BR6G037X-BAG    1000KG   22102504    (200559899)  IT2  LXN/CCY          </t>
  </si>
  <si>
    <t xml:space="preserve">CH6310-GY9C050-BAG    1000KG   22039074    (200559959)  IY2  CCY          粒子_41.5%      </t>
  </si>
  <si>
    <t xml:space="preserve">C6600-7T1D434-BAG    1000KG   22085413    (200566070)  IY2  CCY         含Br/Cl        </t>
  </si>
  <si>
    <t xml:space="preserve">223R-RD8G025-BAG    500KG   22037765    (200549100)  IL2  LXN/CCY          </t>
  </si>
  <si>
    <t xml:space="preserve">CX7240-7T5D172-BAG    1000KG   22085534    (200524763)  IY2  CCY          </t>
  </si>
  <si>
    <t xml:space="preserve">LUX9616-WH8E491X-BAG    1060KG   22018736    (96032102)  IL2  LXN          </t>
  </si>
  <si>
    <t xml:space="preserve">161R-111-BAG    1060KG   22033354    (314857891)    LXN/CCY          </t>
  </si>
  <si>
    <t xml:space="preserve">945-GY2E572-BAG    500KG   22034256    (200562544)    CCY          </t>
  </si>
  <si>
    <t xml:space="preserve">CX7240U-7M1D051-BAG    1060KG   22022738    (314853363)  IY2  CCY          </t>
  </si>
  <si>
    <t xml:space="preserve">945U-701-BAG    1000KG   22022075    (200554547)  IL2  CCY          </t>
  </si>
  <si>
    <t xml:space="preserve">CFR7431-NA8E061T-BAG    848KG   22018381    (98023131)  IX2  LXN/CCY          </t>
  </si>
  <si>
    <t xml:space="preserve">C2800-701-BAG    1000KG   22017334    (200513088)  IY2  CCY          </t>
  </si>
  <si>
    <t xml:space="preserve">C6200-7T1D123-BAG    530KG   22035115    (200571903)  IY2  CCY          </t>
  </si>
  <si>
    <t xml:space="preserve">C6200-7T1D123-BAG    500KG   22035115    (200567454)  IY2  CCY          </t>
  </si>
  <si>
    <t xml:space="preserve">LG9000-100-BAG    1000KG   22023994    (200553320)  IY2  CCY          粒子_NS2禁用      </t>
  </si>
  <si>
    <t xml:space="preserve">920-GY2C239-BAG    300KG   22029170    (200568771)    CCY         含Br/Cl        </t>
  </si>
  <si>
    <t xml:space="preserve">C6600-WH7E078-BAG    530KG   22030166    (200571882)    CCY          粒子      </t>
  </si>
  <si>
    <t xml:space="preserve">C6600-GY5E348-BAG    530KG   22030150    (200572915)    CCY          粒子      </t>
  </si>
  <si>
    <t xml:space="preserve">C2950-WH9C272-BAG    1000KG   22039530    (200559285)    CCY          粒子      </t>
  </si>
  <si>
    <t xml:space="preserve">XCY620-GY7G608-BAG    1000KG   22045866    (200537813)  IY2  CCY          粒子      </t>
  </si>
  <si>
    <t xml:space="preserve">LUX9616G-WH8A492X-BAG    1000KG   22017868    (200566614)    LXN          </t>
  </si>
  <si>
    <t xml:space="preserve">C1200HF-100-BAG    20000KG   22019660    (88398244)  IY1  CCY          </t>
  </si>
  <si>
    <t xml:space="preserve">EXL1414-BK1A068-BAG    20399.999KG   22022857    (97695062)  IX1  CCY          </t>
  </si>
  <si>
    <t xml:space="preserve">C1200HF-BK2E082-BAG    5000KG   22019663    (200470140)  IY2  CCY          </t>
  </si>
  <si>
    <t xml:space="preserve">C2950-GY8E432-BAG    5000KG   22029950    (200545169)  IY2  CCY          </t>
  </si>
  <si>
    <t xml:space="preserve">C1200HF-7001-BAG    10000KG   22034851    (200543766)  IY2  CCY          </t>
  </si>
  <si>
    <t xml:space="preserve">124R-111FC-BAG    20000KG   22021312    (200466005)  IL2  LXN/CCY          粒子FDA      </t>
  </si>
  <si>
    <t xml:space="preserve">C6600-GY6D379-BAG    6000KG   22034902    (200542985)  IY2  CCY          粒子      </t>
  </si>
  <si>
    <t xml:space="preserve">SLX2271T-BK1G296-BAG    20000KG   22020921    (94691987)    LXN/CCY          </t>
  </si>
  <si>
    <t xml:space="preserve">C1200HF-701-BAG    20000KG   22022222    (94676108)  IY1  CCY          </t>
  </si>
  <si>
    <t xml:space="preserve">C1200HF-701-BAG    20000KG   22022222    (94676109)  IY1  CCY          </t>
  </si>
  <si>
    <t xml:space="preserve">HF1140-111FC-BAG    10200KG   22020237    (200573478)  IL2  LXN/CCY          FDA/可使用50%粒子      </t>
  </si>
  <si>
    <t xml:space="preserve">C6600-8B8D004-BAG    6000KG   22035246    (200503072)    CCY          粒子Not NS1, PP issue      </t>
  </si>
  <si>
    <t xml:space="preserve">C1200HF-701-BAG    20000KG   22022222    (94676110)  IY1  CCY          </t>
  </si>
  <si>
    <t xml:space="preserve">C1100HF-701-BAG    10000KG   22039357    (200494097)  IY2  CCY          </t>
  </si>
  <si>
    <t xml:space="preserve">C1200HF-BK2G024-BAG    20000KG   22034874    (200536187)  IY2  CCY          </t>
  </si>
  <si>
    <t xml:space="preserve">C1200HF-BK2G024-BAG    20000KG   22034874    (200530327)  IY2  CCY          </t>
  </si>
  <si>
    <t xml:space="preserve">C1200HF-100-BAG    20000KG   22019660    (94679206)  IY1  CCY          </t>
  </si>
  <si>
    <t xml:space="preserve">C1200HF-BK1G484U-BBG    20000KG   22031613    (200497039)    CCY          </t>
  </si>
  <si>
    <t xml:space="preserve">945A-2T2D133X-BAG    1000KG   22088821    (200566206)    LXN/CCY          </t>
  </si>
  <si>
    <t xml:space="preserve">945A-2T2D133X-BAG    1102.5KG   22088821    (200566208)    LXN/CCY          </t>
  </si>
  <si>
    <t xml:space="preserve">IFX121RA-3A5A1577IB-BAG    3000KG   22098155    (200569596)    LXN/CCY          </t>
  </si>
  <si>
    <t xml:space="preserve">FXD171R-BK1G676X-BAG    5250KG   22066632    (200563793)  IX2  LXN/CCY          </t>
  </si>
  <si>
    <t xml:space="preserve">C2950-BL6E121-BAG    2100KG   22031544    (200555876)  IY2  CCY          粒子      </t>
  </si>
  <si>
    <t xml:space="preserve">123R-GY4G232T-BAG    2100KG   22030942    (200558270)  IL2  LXN/CCY          </t>
  </si>
  <si>
    <t xml:space="preserve">945-2A5A1001-    1050KG   299901212    (200565969)  IL2  CCY          </t>
  </si>
  <si>
    <t xml:space="preserve">HF1110C-6M1D013-    1050KG   299903308    (200561438)  IT2  LXN/CCY          </t>
  </si>
  <si>
    <t xml:space="preserve">945-3A5A0940-    1050KG   299901093    (200559418)  IL2  CCY          </t>
  </si>
  <si>
    <t xml:space="preserve">945-6A3A0860-    735KG   299900944    (200566011)  IL2  CCY          </t>
  </si>
  <si>
    <t xml:space="preserve">141R-BR4A174-BAG    5250KG   22029126    (200549174)  IL2  LXN/CCY          粒子      </t>
  </si>
  <si>
    <t xml:space="preserve">C6200-BL4A061-BAG    1050KG   22035137    (200561642)  IY2  CCY          粒子      </t>
  </si>
  <si>
    <t xml:space="preserve">C2950HF-2T2D070-BAG    866.25KG   22039535    (200561489)  IY2  CCY          粒子      </t>
  </si>
  <si>
    <t xml:space="preserve">CX7240-2M2D027-BAG    3675KG   22065061    (200556078)  IY2  CCY          </t>
  </si>
  <si>
    <t xml:space="preserve">CX7240-2M4D051-BAG    3281.25KG   22067436    (200556077)  IY2  CCY          </t>
  </si>
  <si>
    <t xml:space="preserve">943-RD5G044-BAG    1050KG   22029974    (200549141)  IL2  CCY         含Br/Cl  粒子      </t>
  </si>
  <si>
    <t xml:space="preserve">EXL8414-7A1D363-BAG    1050KG   22086298    (200571900)  IX2  CCY          </t>
  </si>
  <si>
    <t xml:space="preserve">EXL1112T-BK1A184T-BAG    210KG   22045446    (200571881)  IX2  CCY          </t>
  </si>
  <si>
    <t xml:space="preserve">FXE121-4A5A2947-    1050KG   299903367    (200571809)  IX2  LXN/CCY          </t>
  </si>
  <si>
    <t xml:space="preserve">FXE121R-BK1A184T-BAG    1000KG   22023219    (200569746)  IX2  LXN/CCY          </t>
  </si>
  <si>
    <t xml:space="preserve">C2950-3T4D021-BAG    1000KG   22067389    (200571796)  IY2  CCY         含Br/Cl        </t>
  </si>
  <si>
    <t xml:space="preserve">C2950HF-6T2D025-BAG    1575KG   22034628    (200572947)  IY2  CCY          </t>
  </si>
  <si>
    <t xml:space="preserve">121-2A2D007-BAG    1417.5KG   22032972    (200572927)  IL2  LXN/CCY          </t>
  </si>
  <si>
    <t xml:space="preserve">925A-GY2D053T-BAG    1000KG   22018273    (200567228)  IL2  LXN/CCY          </t>
  </si>
  <si>
    <t xml:space="preserve">C6200-BL11040-BAG    1000KG   22067402    (200535943)  IY2  CCY          </t>
  </si>
  <si>
    <t xml:space="preserve">EXL9330-GY2G045-BAG    5000KG   22032188    (200561384)  IX2  CCY          </t>
  </si>
  <si>
    <t xml:space="preserve">241R-OR8B007-BAG    2000KG   22038456    (200548667)  IL2  LXN/CCY          </t>
  </si>
  <si>
    <t xml:space="preserve">121R-21092-BAG    1000KG   22028394    (200541599)  IL2  LXN/CCY          </t>
  </si>
  <si>
    <t xml:space="preserve">123R-BL8D016-BAG    2000KG   22029553    (200556019)  IL2  LXN/CCY          </t>
  </si>
  <si>
    <t xml:space="preserve">C1200HF-BL1D183-BAG    5000KG   22029048    (200538639)  IY2  CCY         含Br/Cl  粒子      </t>
  </si>
  <si>
    <t xml:space="preserve">945-2T1D043-BAG    2000KG   22038367    (200555859)  IL2  CCY          </t>
  </si>
  <si>
    <t xml:space="preserve">EXL9330-4T7D017-BAG    5000KG   22030393    (200559015)  IX2  CCY          </t>
  </si>
  <si>
    <t xml:space="preserve">121R-GY1D201T-BAG    2100KG   22033283    (200555846)  IL2  LXN/CCY          粒子Fix on L7      </t>
  </si>
  <si>
    <t xml:space="preserve">ML6411-96536-BAG    2000KG   22030573    (200550432)  IX2  CCY          粒子_confirm/NS2_No      </t>
  </si>
  <si>
    <t xml:space="preserve">RCY6214-BK1E714-BAG    5250KG   22040926    (200570667)  IY2  CCY          </t>
  </si>
  <si>
    <t xml:space="preserve">SLX2471T-RD1H002-BAG    10000KG   22093031    (200537688)  IX2  LXN         含Br/Cl        </t>
  </si>
  <si>
    <t xml:space="preserve">CFR7431-7T1D297T-BAG    500KG   22039063    (200562420)  IX2  LXN/CCY          </t>
  </si>
  <si>
    <t xml:space="preserve">CX7240-7T1D231-BAG    2021.25KG   22046310    (200572913)  IY2  CCY          </t>
  </si>
  <si>
    <t xml:space="preserve">CX7720-BK1066-BAG    3150KG   22040094    (200571047)  IY2  CCY          </t>
  </si>
  <si>
    <t xml:space="preserve">C2950-YW8295S-BAG    1500KG   22022286    (200566099)  IY2  CCY          </t>
  </si>
  <si>
    <t xml:space="preserve">RF0057E-OR6G101-SBG    5000KG   22046504    (200569911)  IT2  Konduit          </t>
  </si>
  <si>
    <t xml:space="preserve">241R-BR8153-BAG    5000KG   22029762    (200558077)  IL2  LXN/CCY          粒子      </t>
  </si>
  <si>
    <t xml:space="preserve">HF1130R-BK1A184T-BAG    2000KG   22046457    (200559979)  IL2  LXN/CCY          </t>
  </si>
  <si>
    <t xml:space="preserve">LS2-414-BAG    5000KG   22018729    (200566112)  IL2  LXN/CCY          粒子      </t>
  </si>
  <si>
    <t xml:space="preserve">EXL9330-2T2D063-BAG    500KG   22036303    (200568360)    CCY          </t>
  </si>
  <si>
    <t xml:space="preserve">EXL9112-BK1A068-BAG    1000KG   22035891    (92466148)    CCY          </t>
  </si>
  <si>
    <t xml:space="preserve">121R-VT6A015T-BAG    1000KG   22033298    (200480859)    LXN/CCY          </t>
  </si>
  <si>
    <t xml:space="preserve">HF1130R-BK1A184T-BAG    1000KG   22046457    (200535984)  IL2  LXN/CCY          </t>
  </si>
  <si>
    <t xml:space="preserve">C2950HF-2T2D070-BAG    1050KG   22039535    (200572951)  IY2  CCY          粒子      </t>
  </si>
  <si>
    <t xml:space="preserve">MC1300-701-BAG    10000KG   22023858    (200557043)    CCY          </t>
  </si>
  <si>
    <t xml:space="preserve">ML6411-96536-BAG    2100KG   22030573    (200571849)  IX2  CCY          粒子_confirm/NS2_No      </t>
  </si>
  <si>
    <t xml:space="preserve">9925A-7T2D137T-BAG    500KG   22039298    (200566630)  IL2  LXN          </t>
  </si>
  <si>
    <t xml:space="preserve">LS2-6162-BAG    2000KG   22018730    (200566171)  IL2  LXN/CCY          粒子  黑点    </t>
  </si>
  <si>
    <t xml:space="preserve">C6600-7T4D208-BAG    1000KG   22039705    (200563864)    CCY          </t>
  </si>
  <si>
    <t xml:space="preserve">XHT4143-RD3D213T-    2100KG   290032027    (200570895)    XHT/LXN          </t>
  </si>
  <si>
    <t xml:space="preserve">C1200HF-GY3F031-BAG    1050KG   22034454    (200572773)    CCY          </t>
  </si>
  <si>
    <t xml:space="preserve">C2950HF-2T2D070-BAG    200KG   22039535    (200562665)  IY2  CCY          粒子      </t>
  </si>
  <si>
    <t xml:space="preserve">945-WH9D687-BAG    3150KG   22034271    (200572917)  IL2  CCY          </t>
  </si>
  <si>
    <t xml:space="preserve">945-7T7D303-BAG    325KG   22089245    (200568209)  IL2  CCY          </t>
  </si>
  <si>
    <t xml:space="preserve">123R-WH6D257-BAG    2100KG   22033097    (200513875)  IL2  LXN/CCY          粒子      </t>
  </si>
  <si>
    <t xml:space="preserve">EXL1112-BR6G177-BAG    225KG   22045438    (200569533)  IX2  CCY          </t>
  </si>
  <si>
    <t xml:space="preserve">945-8T9D296-BAG    1050KG   22044860    (200559419)  IL2  CCY          </t>
  </si>
  <si>
    <t xml:space="preserve">945-8A9D185-BAG    1050KG   22067315    (200565900)  IL2  CCY          </t>
  </si>
  <si>
    <t xml:space="preserve">EXL9330-WH6B060-BAG    1023.75KG   22039933    (200558967)  IX2  CCY          </t>
  </si>
  <si>
    <t xml:space="preserve">EXL9330-795143-BAG    1050KG   22023123    (200559280)  IX2  CCY          </t>
  </si>
  <si>
    <t xml:space="preserve">121-8A9D142-BAG    2940KG   22032976    (200568367)  IL2  LXN/CCY          </t>
  </si>
  <si>
    <t xml:space="preserve">C6600-7M9D004-BAG    1050KG   22031792    (200560083)  IY2  CCY          粒子      </t>
  </si>
  <si>
    <t xml:space="preserve">ML6411-GY5D520-BAG    2100KG   22036805    (200562661)  IX2  CCY          粒子_confirm/NS2_No      </t>
  </si>
  <si>
    <t xml:space="preserve">925-7T5D134-BAG    1050KG   22031290    (200570757)  IL2  CCY          </t>
  </si>
  <si>
    <t xml:space="preserve">945-8A9A0669-    1050KG   299900631    (200568722)  IL2  CCY          </t>
  </si>
  <si>
    <t xml:space="preserve">243R-WH9A238-BAG    2100KG   22033838    (200529057)  IL2  LXN/CCY          </t>
  </si>
  <si>
    <t xml:space="preserve">EXL9330-8T7D131-BAG    1732.5KG   22083954    (200571892)  IX2  CCY          </t>
  </si>
  <si>
    <t xml:space="preserve">BFL4000U-WH3150-BAG    10000KG   22017663    (200567161)  IL2  CCY          </t>
  </si>
  <si>
    <t xml:space="preserve">EXL1434-WH8D407-BAG    1050KG   22032386    (200570825)  IX2  CCY          </t>
  </si>
  <si>
    <t xml:space="preserve">BFL2000-WH3150-BAG    10473.749KG   22019653    (200568298)  IL2  CCY          </t>
  </si>
  <si>
    <t xml:space="preserve">123R-WH6D257-BAG    2100KG   22033097    (200513876)  IL2  LXN/CCY          粒子      </t>
  </si>
  <si>
    <t xml:space="preserve">CH6410-GY7E543-BAG    1758.75KG   22028706    (200566107)  IY2  CCY          </t>
  </si>
  <si>
    <t xml:space="preserve">C1200HF-96622-BAG    4000KG   22034863    (200538637)  IY2  CCY          </t>
  </si>
  <si>
    <t xml:space="preserve">C6600-GY7A125-BAG    700KG   22029290    (200568158)  IY2  CCY          粒子      </t>
  </si>
  <si>
    <t xml:space="preserve">950-GY7704-BAG    420KG   22039281    (200569497)  IL2  CCY         含Br/Cl        </t>
  </si>
  <si>
    <t xml:space="preserve">C2950-7T5D113-BAG    1000KG   22031533    (200555877)  IY2  CCY          粒子      </t>
  </si>
  <si>
    <t xml:space="preserve">C6600-GY7C059-BAG    2000KG   22029291    (200498192)  IY2  CCY          </t>
  </si>
  <si>
    <t xml:space="preserve">EXL9330-GY6D482-BAG    1601.25KG   22035970    (200555919)  IX2  CCY          </t>
  </si>
  <si>
    <t xml:space="preserve">925U-7T8D779-BAG    500KG   22045042    (200562402)  IL2  CCY          </t>
  </si>
  <si>
    <t xml:space="preserve">945-8T9D148-BAG    1050KG   22038397    (200571613)  IL2  CCY          </t>
  </si>
  <si>
    <t xml:space="preserve">EXL9330-WH6E276-BAG    2000KG   22039934    (200526321)  IX2  CCY          </t>
  </si>
  <si>
    <t xml:space="preserve">121-8A9D142-BAG    1050KG   22032976    (200572983)  IL2  LXN/CCY          </t>
  </si>
  <si>
    <t xml:space="preserve">C7210A-WH6G129-BAG    525KG   22030034    (200572901)  IY2  CCY          </t>
  </si>
  <si>
    <t xml:space="preserve">C6600-7B7D024-BAG    500KG   22034763    (200568765)  IY2  CCY          粒子      </t>
  </si>
  <si>
    <t xml:space="preserve">121-6A8D007-BAG    2000KG   22083423    (200566315)  IL2  LXN/CCY          </t>
  </si>
  <si>
    <t xml:space="preserve">C6600-GY8977-BAG    1000KG   22029292    (200562757)  IY2  CCY          粒子      </t>
  </si>
  <si>
    <t xml:space="preserve">C2950-7T5D113-BAG    500KG   22031533    (200558001)  IY2  CCY          粒子      </t>
  </si>
  <si>
    <t xml:space="preserve">945-7T8D574-BAG    500KG   22034225    (200558045)  IL2  CCY          </t>
  </si>
  <si>
    <t xml:space="preserve">BFL4000U-WH3150-BAG    1000KG   22017663    (200549057)  IL2  CCY          </t>
  </si>
  <si>
    <t xml:space="preserve">121-7A7D088-BAG    1050KG   22043983    (200567340)  IL2  LXN/CCY          粒子  黑点    </t>
  </si>
  <si>
    <t xml:space="preserve">EXL9134-7A8D006-BAG    1000KG   22023110    (200550250)  IX2  CCY          </t>
  </si>
  <si>
    <t xml:space="preserve">EXL9134-7A8D006-BAG    1000KG   22023110    (200545606)  IX2  CCY          </t>
  </si>
  <si>
    <t xml:space="preserve">EXL9330-YW8D008-BAG    5000KG   22032208    (200548634)  IX2  CCY          </t>
  </si>
  <si>
    <t xml:space="preserve">EXL9330-GY8D578-BAG    6300KG   22028976    (200570824)  IX2  CCY          </t>
  </si>
  <si>
    <t xml:space="preserve">LUX7169-WH8G733-BAG    2000KG   22041058    (96245775)  IL2  CCY          </t>
  </si>
  <si>
    <t xml:space="preserve">123R-WH5G107-BAG    2000KG   22044544    (200470262)  IL2  LXN/CCY          粒子      </t>
  </si>
  <si>
    <t xml:space="preserve">C1200HF-96622-BAG    4000KG   22034863    (200563832)  IY2  CCY          </t>
  </si>
  <si>
    <t xml:space="preserve">C6600-WH7222-BAG    1000KG   22022414    (200563863)    CCY          粒子      </t>
  </si>
  <si>
    <t xml:space="preserve">241R-WH2C006-BAG    10000KG   22038458    (200559182)  IL2  LXN/CCY          粒子      </t>
  </si>
  <si>
    <t xml:space="preserve">945-7T8D574-BAG    500KG   22034225    (200559302)  IL2  CCY          </t>
  </si>
  <si>
    <t xml:space="preserve">ML6411-WH8D293-BAG    1000KG   22037050    (200559265)  IX2  CCY          粒子_confirm/NS2_No      </t>
  </si>
  <si>
    <t xml:space="preserve">C6200-GY7C059-BAG    2000KG   22022537    (200538817)    CCY          粒子      </t>
  </si>
  <si>
    <t xml:space="preserve">945-8T9D140-BAG    2000KG   22028869    (200561367)    CCY          </t>
  </si>
  <si>
    <t xml:space="preserve">ML6411-7M8D024-BAG    1000KG   22040671    (200548418)    CCY          粒子_confirm/NS2_No      </t>
  </si>
  <si>
    <t xml:space="preserve">LUX2289-WH9G012-BAG    10000KG   22023833    (200530684)  IL2  LXN/CCY          </t>
  </si>
  <si>
    <t xml:space="preserve">DFL349EF-GY00404-BAG    1045KG   22035828    (200562520)  IT2  GL         含Br/Cl        </t>
  </si>
  <si>
    <t xml:space="preserve">DE0021E-BKNAT-SBG    440KG   22029210    (200559319)  IT2  GL          </t>
  </si>
  <si>
    <t xml:space="preserve">R2000-GYMDNAT-SBG    2134KG   22041327    (200497136)  IT2  FR          </t>
  </si>
  <si>
    <t xml:space="preserve">RL004-GYMDNAT-SBG    2200KG   22037043    (200528588)  IT2  FR          </t>
  </si>
  <si>
    <t xml:space="preserve">RFL36XXZ-GYMDNAT-SBG    1562KG   22037039    (200554958)  IT2  GL          </t>
  </si>
  <si>
    <t xml:space="preserve">ER007485-2G2A4425-    700KG   299905676    (200560310)  IT2  FARADEX          </t>
  </si>
  <si>
    <t xml:space="preserve">KL004-BK1A735-BAG    330KG   22032513    (200555913)  IT2  LMS          </t>
  </si>
  <si>
    <t xml:space="preserve">KL004A-BK1A733-BAG    550KG   22036555    (200531650)  IT2  LMS          </t>
  </si>
  <si>
    <t xml:space="preserve">LGK3020-GY4B738-SBG    528KG   22036583    (200562502)  IT2  GF/GL         含Br/Cl        </t>
  </si>
  <si>
    <t xml:space="preserve">DFL349EF-GY00404-BAG    330KG   22035828    (200561484)  IT2  GL         含Br/Cl        </t>
  </si>
  <si>
    <t xml:space="preserve">EXL4419-WH9D245-BAG    325KG   22039803    (200562569)  IX2  GF          </t>
  </si>
  <si>
    <t xml:space="preserve">DFP36-BK1A672-SBG    1628KG   22040199    (200551243)  IT2  GL          </t>
  </si>
  <si>
    <t xml:space="preserve">K2000-GYMDNAT-BAG    5500KG   22036840    (200500465)  IT2  LMS          </t>
  </si>
  <si>
    <t xml:space="preserve">420HP-1001-BAG    1100KG   22033663    (200572049)  IV2  GF          </t>
  </si>
  <si>
    <t xml:space="preserve">KL004A-WHNAT-BAG    330KG   22028172    (200572752)  IT2  LMS          </t>
  </si>
  <si>
    <t xml:space="preserve">RFL36XXY-BK1A843-SBG    1100KG   22029458    (200572819)  IT2  GL          </t>
  </si>
  <si>
    <t xml:space="preserve">420SE0-GY4G305-BAG    500KG   22029708    (200569479)  IV2  GF         含Br/Cl        </t>
  </si>
  <si>
    <t xml:space="preserve">NX11302-WH9E641-FBG    330KG   22082338    (200567220)  IT2  GF          </t>
  </si>
  <si>
    <t xml:space="preserve">LGN2000-73007-BAG    500KG   22040524    (200567423)  IL2  GF         含Br/Cl        </t>
  </si>
  <si>
    <t xml:space="preserve">RB008-NC-FBG    1000KG   22018899    (200562536)  IT2  FR          </t>
  </si>
  <si>
    <t xml:space="preserve">RL004-GYMDNAT-SBG    6000KG   22037043    (200548537)  IT2  FR          </t>
  </si>
  <si>
    <t xml:space="preserve">DC0041PR-7M1D145-BAG    10000KG   22084188    (97968549)  IT1  FR          </t>
  </si>
  <si>
    <t xml:space="preserve">D151-2M2A1666-    200KG   299901855    (200559093)  IT2  GF          </t>
  </si>
  <si>
    <t xml:space="preserve">V4760-100-BAG    1000KG   22064645    (94674075)  IV2  GF         含Br/Cl        </t>
  </si>
  <si>
    <t xml:space="preserve">D151-7M1A1663-    200KG   299901852    (200559001)  IT2  GF          </t>
  </si>
  <si>
    <t xml:space="preserve">ER007485-2G2A4425-    440KG   299905676    (200560280)  IT2  FARADEX          </t>
  </si>
  <si>
    <t xml:space="preserve">420SE0-1001-BAG    22000KG   22021649    (97950077)  IV1  GF         含Br/Cl        </t>
  </si>
  <si>
    <t xml:space="preserve">RFL36-BK1B602-SBG    1000KG   22029457    (200554800)  IT2  GL          </t>
  </si>
  <si>
    <t xml:space="preserve">RFL36-BK1B602-SBG    1100KG   22029457    (200570694)  IT2  GL          </t>
  </si>
  <si>
    <t xml:space="preserve">420SE0-8244-BAG    550KG   22018189    (200572851)  IV2  GF         含Br/Cl        </t>
  </si>
  <si>
    <t xml:space="preserve">141-701-BAG    5000KG   22021332    (200558932)  IL2  LXN/CCY          </t>
  </si>
  <si>
    <t xml:space="preserve">RFL36-BK1B602-SBG    3000KG   22029457    (200546344)  IT2  GL          </t>
  </si>
  <si>
    <t xml:space="preserve">DC0041PR-7M1D145-BAG    10000KG   22084188    (97968550)  IT1  FR          </t>
  </si>
  <si>
    <t xml:space="preserve">EXL5689-YW7E087-BAG    500KG   22040532    (200567371)  IX2  GF          </t>
  </si>
  <si>
    <t xml:space="preserve">DFL36-BK1A661-SBG    500KG   22035829    (200567462)  IT2  GL         含Br/Cl        </t>
  </si>
  <si>
    <t xml:space="preserve">KL004A-BK1A733-BAG    1000KG   22036555    (200566193)  IT2  LMS          </t>
  </si>
  <si>
    <t xml:space="preserve">UFL36S-BKNAT-SBG    1000KG   22041363    (94716356)  IT2  GL          </t>
  </si>
  <si>
    <t xml:space="preserve">D351-701-SBG    500KG   22032147    (200554584)  IT2  GF          </t>
  </si>
  <si>
    <t xml:space="preserve">MD000ISC-BKNAT-SBG    2000KG   22029497    (200558229)  IT2  LMS/3M          </t>
  </si>
  <si>
    <t xml:space="preserve">ER007485-6G7A4244-SBG    330KG   22106886    (200568250)  IT2  FARADEX          </t>
  </si>
  <si>
    <t xml:space="preserve">ER007485-6G7A4244-SBG    300KG   22106886    (200568374)  IT2  FARADEX          </t>
  </si>
  <si>
    <t xml:space="preserve">500-131-BAG    2000KG   22021688    (200549387)  IL2  GF         含Br/Cl        </t>
  </si>
  <si>
    <t xml:space="preserve">ER007485-7G1A4725-SBG    800KG   22106794    (97251086)    FARADEX          </t>
  </si>
  <si>
    <t xml:space="preserve">DFL22-NC-BAG    1100KG   22040194    (200570610)  IT2  GL          </t>
  </si>
  <si>
    <t xml:space="preserve">RFL36-BK1B602-SBG    500KG   22029457    (200566044)  IT2  GL          </t>
  </si>
  <si>
    <t xml:space="preserve">ER007485-7G1A4725-SBG    330KG   22106794    (97928547)    FARADEX          </t>
  </si>
  <si>
    <t xml:space="preserve">ER007485-7G1A4725-SBG    550KG   22106794    (97926502)    FARADEX          </t>
  </si>
  <si>
    <t xml:space="preserve">RFL36XXY-BK1A843-SBG    1760KG   22029458    (96018769)  IT2  GL          </t>
  </si>
  <si>
    <t xml:space="preserve">RL004-GYMDNAT-SBG    2200KG   22037043    (200570429)  IT2  FR          </t>
  </si>
  <si>
    <t xml:space="preserve">RFL36-BK1B602-SBG    2000KG   22029457    (200508439)  IT2  GL          </t>
  </si>
  <si>
    <t xml:space="preserve">RFL36XXY-BK1A843-SBG    1100KG   22029458    (200572761)  IT2  GL          </t>
  </si>
  <si>
    <t xml:space="preserve">MFB82I-BK1B459-BAG    2500KG   22036698    (200542705)  IT2  FR          </t>
  </si>
  <si>
    <t xml:space="preserve">DE0029E-GY3A643-SBG    300KG   22031872    (92464767)    GL         含Br/Cl        </t>
  </si>
  <si>
    <t xml:space="preserve">A3000-BK8115-BAG    1100KG   22034318    (200541939)  IT2  GL          </t>
  </si>
  <si>
    <t xml:space="preserve">DD0009PC-BKNAT-BAG    1000KG   22035801    (200551407)    LMS/3M         含Br/Cl        </t>
  </si>
  <si>
    <t xml:space="preserve">DF006ER-BK1A625-SBG    1100KG   22035817    (200571734)  IT2  GF/GL          </t>
  </si>
  <si>
    <t xml:space="preserve">KL004-BK1A735-BAG    330KG   22032513    (200571753)  IT2  LMS          </t>
  </si>
  <si>
    <t xml:space="preserve">KL004A-BK1A733-BAG    500KG   22036555    (200568306)  IT2  LMS          </t>
  </si>
  <si>
    <t xml:space="preserve">DE0029E-GY3A643-SBG    300KG   22031872    (92464768)    GL         含Br/Cl        </t>
  </si>
  <si>
    <t xml:space="preserve">DX10311-701-SBG    5000KG   22035924    (200560374)  IT2  GF          </t>
  </si>
  <si>
    <t xml:space="preserve">DX10311-701-SBG    5000KG   22035924    (200569589)  IT2  GF          </t>
  </si>
  <si>
    <t xml:space="preserve">3412ECR-GN7D101-BAG    22000KG   22031126    (200572810)  IL2  GF          粒子      </t>
  </si>
  <si>
    <t xml:space="preserve">500ECR-BK1D152-BAG    2200KG   22029141    (200570866)    GF          </t>
  </si>
  <si>
    <t xml:space="preserve">RFL36XXY-BK1A843-SBG    2640KG   22029458    (96016250)  IT2  GL          </t>
  </si>
  <si>
    <t xml:space="preserve">MFB82I-BK1B459-BAG    2500KG   22036698    (200563800)  IT2  FR          </t>
  </si>
  <si>
    <t xml:space="preserve">RFP36-BK1A856-SBG    1000KG   22040935    (200558028)  IT2  GL          </t>
  </si>
  <si>
    <t xml:space="preserve">DE0029E-GY3A643-SBG    300KG   22031872    (92464769)    GL         含Br/Cl        </t>
  </si>
  <si>
    <t xml:space="preserve">RB008-NC-FBG    4500KG   22018899    (200552313)  IT2  FR          </t>
  </si>
  <si>
    <t xml:space="preserve">RB008-NC-FBG    2000KG   22018899    (200504557)  IT2  FR          </t>
  </si>
  <si>
    <t xml:space="preserve">RB004-GYMDNAT-FBG    330KG   22020798    (200553712)    FR          </t>
  </si>
  <si>
    <t xml:space="preserve">RB008-NC-FBG    2000KG   22018899    (200552399)  IT2  FR          </t>
  </si>
  <si>
    <t xml:space="preserve">RB008-NC-FBG    1000KG   22018899    (200568706)  IT2  FR          </t>
  </si>
  <si>
    <t xml:space="preserve">DX11328-NC-BPK    15000KG   22035937    (200491998)  IT2  LMS/3M          </t>
  </si>
  <si>
    <t xml:space="preserve">DX11328-NC-BPK    14700KG   22035937    (200491997)  IT2  LMS/3M          </t>
  </si>
  <si>
    <t xml:space="preserve">DX03550-BKNAT-BAG    525KG   22082251    (200571875)  IT2  LMS          </t>
  </si>
  <si>
    <t xml:space="preserve">DX02437-NC-BAG    7350KG   22035518    (200572945)  IT2  LMS/3M          </t>
  </si>
  <si>
    <t xml:space="preserve">DX11328-NC-BPK    15000KG   22035937    (200491976)  IT2  LMS/3M          </t>
  </si>
  <si>
    <t xml:space="preserve">DX89406-BKNAT-BPK    10000KG   22039467    (92302303)  IT1  3M          </t>
  </si>
  <si>
    <t xml:space="preserve">DX89406-BKNAT-BPK    10000KG   22039467    (92466165)  IT1  3M          </t>
  </si>
  <si>
    <t xml:space="preserve">DX89406-BKNAT-BPK    10000KG   22039467    (92302302)  IT1  3M          </t>
  </si>
  <si>
    <t xml:space="preserve">DX89406-BKNAT-BPK    10000KG   22039467    (92302301)  IT1  3M          </t>
  </si>
  <si>
    <t xml:space="preserve">DX89406-BKNAT-BPK    10000KG   22039467    (92302298)  IT1  3M          </t>
  </si>
  <si>
    <t xml:space="preserve">DX89406-BKNAT-BPK    10000KG   22039467    (92302299)  IT1  3M          </t>
  </si>
  <si>
    <t xml:space="preserve">DX89406-BKNAT-BPK    10000KG   22039467    (92302300)  IT1  3M          </t>
  </si>
  <si>
    <t xml:space="preserve">DX89406-BKNAT-BPK    10000KG   22039467    (92302296)  IT1  3M          </t>
  </si>
  <si>
    <t xml:space="preserve">DX89406-BKNAT-BPK    10000KG   22039467    (92302297)  IT1  3M          </t>
  </si>
  <si>
    <t xml:space="preserve">DX89406-BKNAT-BPK    10000KG   22039467    (92302295)  IT1  3M          </t>
  </si>
  <si>
    <t xml:space="preserve">DX89406-BKNAT-BPK    10000KG   22039467    (92302294)  IT1  3M          </t>
  </si>
  <si>
    <t xml:space="preserve">DX89406-BKNAT-BPK    10000KG   22039467    (92302293)  IT1  3M          </t>
  </si>
  <si>
    <t xml:space="preserve">DX89406-BKNAT-BPK    10000KG   22039467    (92302290)  IT1  3M          </t>
  </si>
  <si>
    <t xml:space="preserve">DX89406-BKNAT-BPK    10000KG   22039467    (92302291)  IT1  3M          </t>
  </si>
  <si>
    <t xml:space="preserve">DX89406-BKNAT-BPK    10000KG   22039467    (92302292)  IT1  3M          </t>
  </si>
  <si>
    <t xml:space="preserve">3412ECR-131-BAG    7280KG   22021723    (200548411)  IL2  GF          </t>
  </si>
  <si>
    <t xml:space="preserve">3413R-131-SBG    10374KG   22037885    (200547798)  IL2  GF         含Br/Cl        </t>
  </si>
  <si>
    <t xml:space="preserve">3412ECR-131-BAG    20800KG   22021723    (200552705)  IL2  GF          </t>
  </si>
  <si>
    <t xml:space="preserve">420SE0-1001-BAG    21000KG   22021649    (200554457)  IV1  GF         含Br/Cl        </t>
  </si>
  <si>
    <t xml:space="preserve">420SE0-1001-BAG    21000KG   22021649    (200557918)  IV1  GF         含Br/Cl        </t>
  </si>
  <si>
    <t xml:space="preserve">3412ECR-131-BAG    10000KG   22021723    (200565972)  IL2  GF          </t>
  </si>
  <si>
    <t xml:space="preserve">3412R-131-BAG    10000KG   22021728    (200545549)  IL2  GF         含Br/Cl        </t>
  </si>
  <si>
    <t xml:space="preserve">EXL5689-WH7B221-BAG    20799.999KG   22029389    (200572955)  IX2  GF          </t>
  </si>
  <si>
    <t xml:space="preserve">C2100-96235-BAG    5000KG   22038645    (200568612)  IY2  CCY         含Br/Cl  粒子L8 /  GY5~6      </t>
  </si>
  <si>
    <t xml:space="preserve">3412ECR-WH8E395-BAG    5000KG   22037868    (200502901)  IL2  GF          </t>
  </si>
  <si>
    <t xml:space="preserve">3412ECR-131-BAG    5000KG   22021723    (200555946)  IL2  GF          </t>
  </si>
  <si>
    <t xml:space="preserve">DX11355-BKNAT-FBG    20799.999KG   22082385    (98017032)  IT1  GF          </t>
  </si>
  <si>
    <t xml:space="preserve">223R-WH9G354-BAG    5200KG   22030854    (200571662)  IL2  LXN/CCY          粒子      </t>
  </si>
  <si>
    <t xml:space="preserve">3412R-131-BAG    10000KG   22021728    (200559480)  IL2  GF         含Br/Cl        </t>
  </si>
  <si>
    <t xml:space="preserve">500R-131-BAG    20000KG   22018199    (97370800)  IL1  GF         含Br/Cl        </t>
  </si>
  <si>
    <t xml:space="preserve">3412R-131-BAG    5000KG   22021728    (200562407)  IL2  GF         含Br/Cl        </t>
  </si>
  <si>
    <t xml:space="preserve">420SE0-BK1066-BAG    21000KG   22019379    (200544477)  IV1  GF         含Br/Cl        </t>
  </si>
  <si>
    <t xml:space="preserve">EXL5689-7T1D069-BAG    10400KG   22019996    (200568534)  IX1  GF          </t>
  </si>
  <si>
    <t xml:space="preserve">420SE0-BK1066-BAG    21000KG   22019379    (200551360)  IV1  GF         含Br/Cl        </t>
  </si>
  <si>
    <t xml:space="preserve">420SE0-BK1066-BAG    21000KG   22019379    (200554492)  IV1  GF         含Br/Cl        </t>
  </si>
  <si>
    <t xml:space="preserve">420SE0J-7001-BAG    10000KG   22031201    (200546328)  IV2  GF         含Br/Cl        </t>
  </si>
  <si>
    <t xml:space="preserve">420SE0-BK1066-BAG    21000KG   22019379    (200554493)  IV1  GF         含Br/Cl        </t>
  </si>
  <si>
    <t xml:space="preserve">CY6012-7M1D064-BAG    5000KG   22035701    (200561389)  IY2  CCY          </t>
  </si>
  <si>
    <t xml:space="preserve">420SE0-BK1066-BAG    21000KG   22019379    (200544478)  IV1  GF         含Br/Cl        </t>
  </si>
  <si>
    <t xml:space="preserve">EXL4419-739-BAG    10400KG   22017374    (97733002)  IX1  GF          </t>
  </si>
  <si>
    <t xml:space="preserve">420SE0-BK1066-BAG    20000KG   22019379    (95342795)  IV1  GF         含Br/Cl        </t>
  </si>
  <si>
    <t xml:space="preserve">3412R-739-BAG    3120KG   22021730    (200571668)  IL2  GF         含Br/Cl        </t>
  </si>
  <si>
    <t xml:space="preserve">EXL5689-7T1D069-BAG    10000KG   22019996    (97120976)  IX1  GF          </t>
  </si>
  <si>
    <t xml:space="preserve">DF004ER-GY1A569-BAG    5200KG   22031880    (200571844)  IT2  GF/GL          </t>
  </si>
  <si>
    <t xml:space="preserve">EXL5689-7T1D069-BAG    10000KG   22019996    (97120977)  IX1  GF          </t>
  </si>
  <si>
    <t xml:space="preserve">DF004ER-GY1A569-BAG    5200KG   22031880    (200571792)  IT2  GF/GL          </t>
  </si>
  <si>
    <t xml:space="preserve">ML9696-701-SSS    20600KG   22036814    (200558005)  CL1  WP          </t>
  </si>
  <si>
    <t xml:space="preserve">940-701-BAG    20600KG   22019549    (200571970)  IL1  CCY         含Br/Cl        </t>
  </si>
  <si>
    <t xml:space="preserve">ML9696-701-SSS    20600KG   22036814    (200554525)  CL1  WP          </t>
  </si>
  <si>
    <t xml:space="preserve">RCM6134-BK1G004-BAG    5150KG   22037399    (200568608)  IY2  WP          </t>
  </si>
  <si>
    <t xml:space="preserve">945-701-BAG    20600KG   22019581    (200568602)  IL1  CCY          </t>
  </si>
  <si>
    <t xml:space="preserve">945-701-BAG    20600KG   22019581    (200568605)  IL1  CCY          </t>
  </si>
  <si>
    <t xml:space="preserve">ML9696-701-SSS    20600KG   22036814    (200568572)  CL1  WP          </t>
  </si>
  <si>
    <t xml:space="preserve">945-701-BAG    20600KG   22019581    (200568604)  IL1  CCY          </t>
  </si>
  <si>
    <t xml:space="preserve">ML9696-701-SSS    20000KG   22036814    (93290780)  CL1  WP          </t>
  </si>
  <si>
    <t xml:space="preserve">ML9696-701-SSS    20000KG   22036814    (93290781)  CL1  WP          </t>
  </si>
  <si>
    <t xml:space="preserve">C6600-7T1D193-BAG    20000KG   22039700    (200559196)  IY2  CCY          </t>
  </si>
  <si>
    <t xml:space="preserve">ML9696-701-SSS    20000KG   22036814    (93290782)  CL1  WP          </t>
  </si>
  <si>
    <t xml:space="preserve">XCM830-76701-BAG    10000KG   22033024    (200497208)  IY2  CCY          </t>
  </si>
  <si>
    <t xml:space="preserve">RCM6224-7M1D181-BAG    5150KG   22084110    (97832541)  IY2  LXN          </t>
  </si>
  <si>
    <t xml:space="preserve">C6600-7T1D193-BAG    12000KG   22039700    (200568296)  IY2  CCY          </t>
  </si>
  <si>
    <t xml:space="preserve">923-BK1261-BAG    20000KG   22038237    (200553500)  IL2  CCY         含Br/Cl        </t>
  </si>
  <si>
    <t xml:space="preserve">XCY620S-76701-BAG    20000KG   22037308    (85806441)  IY1  CCY          </t>
  </si>
  <si>
    <t xml:space="preserve">XCY620S-76701-BAG    20000KG   22037308    (82962837)  IY1  CCY          </t>
  </si>
  <si>
    <t xml:space="preserve">XCY620S-76701-BAG    20000KG   22037308    (82962838)  IY1  CCY          </t>
  </si>
  <si>
    <t xml:space="preserve">XCY620S-76701-BAG    20000KG   22037308    (82962870)  IY1  CCY          </t>
  </si>
  <si>
    <t xml:space="preserve">XCM830-76701-BAG    10000KG   22033024    (200497262)  IY2  CCY          </t>
  </si>
  <si>
    <t xml:space="preserve">CX7240-BK2E064-BAG    2000KG   22040062    (200570066)    CCY          </t>
  </si>
  <si>
    <t xml:space="preserve">923-BK1261-BAG    20000KG   22038237    (200553562)  IL2  CCY         含Br/Cl        </t>
  </si>
  <si>
    <t xml:space="preserve">BY2710X-BK1A068-BAG    5150KG   22034807    (97733803)    CCY          </t>
  </si>
  <si>
    <t xml:space="preserve">CP8320-76701-BAG    10000KG   22056197    (200508722)  IY2  WP          </t>
  </si>
  <si>
    <t xml:space="preserve">XCM830-76701-BAG    10000KG   22033024    (200497209)  IY2  CCY          </t>
  </si>
  <si>
    <t xml:space="preserve">RCM6134-BK1G004-BAG    2000KG   22037399    (97251247)  IY2  WP          </t>
  </si>
  <si>
    <t xml:space="preserve">XCM830-76701-BAG    10000KG   22033024    (200497210)  IY2  CCY          </t>
  </si>
  <si>
    <t xml:space="preserve">955-701-BAG    5150KG   22022095    (200568626)  IL1  CCY          </t>
  </si>
  <si>
    <t xml:space="preserve">CX7240-7T1D434-BAG    5047KG   22067443    (200545534)  IY2  CCY         含Br/Cl        </t>
  </si>
  <si>
    <t xml:space="preserve">CX7240-BK1C340-BAG    10300KG   22039249    (200519091)  IY2  CCY          </t>
  </si>
  <si>
    <t xml:space="preserve">CX7240-7T1A0602-    14162.5KG   299900516    (200560020)  IY2  CCY          </t>
  </si>
  <si>
    <t xml:space="preserve">C2800-7T1D203-BAG    5150KG   22034977    (200561343)  IY2  CCY          </t>
  </si>
  <si>
    <t xml:space="preserve">NX03583-BK8229-BAG    2000KG   22036889    (200572045)  IT2  CCY         含Br/Cl        </t>
  </si>
  <si>
    <t xml:space="preserve">CX7240-7T1D193-BAG    20600KG   22039232    (200568609)  IY1  CCY          </t>
  </si>
  <si>
    <t xml:space="preserve">C6600-BK1B088-BAG    4950KG   22028013    (200555794)  IY2  CCY          </t>
  </si>
  <si>
    <t xml:space="preserve">RCY6214-7M1D182-BAG    20000KG   22040925    (200497126)  IY2  CCY          </t>
  </si>
  <si>
    <t xml:space="preserve">EXL9330S-GY2G328-BAG    2060KG   22029411    (200570718)  IX2  CCY         含Br/Cl        </t>
  </si>
  <si>
    <t xml:space="preserve">C6200-BK1B088-BAG    5000KG   22035127    (200569692)  IY2  CCY          </t>
  </si>
  <si>
    <t xml:space="preserve">C6600-BK1B088-BAG    10000KG   22028013    (200566227)  IY2  CCY          </t>
  </si>
  <si>
    <t xml:space="preserve">945-701-BAG    20000KG   22019581    (96280868)  IL1  CCY          </t>
  </si>
  <si>
    <t xml:space="preserve">XCY620S-76701-BAG    20000KG   22037308    (82962864)  IY1  CCY          </t>
  </si>
  <si>
    <t xml:space="preserve">XCY620S-76701-BAG    20000KG   22037308    (82962875)  IY1  CCY          </t>
  </si>
  <si>
    <t xml:space="preserve">XCY620S-76701-BAG    20000KG   22037308    (82962848)  IY1  CCY          </t>
  </si>
  <si>
    <t xml:space="preserve">XCY620S-76701-BAG    20000KG   22037308    (82962849)  IY1  CCY          </t>
  </si>
  <si>
    <t xml:space="preserve">XCY620S-76701-BAG    20000KG   22037308    (82962859)  IY1  CCY          </t>
  </si>
  <si>
    <t xml:space="preserve">955-701-BAG    20600KG   22022095    (97733860)  IL1  CCY          </t>
  </si>
  <si>
    <t xml:space="preserve">945-7T2D216-BAG    7000KG   22029986    (200537177)  IL2  CCY          </t>
  </si>
  <si>
    <t xml:space="preserve">945-7M1D115-BAG    10300KG   22038377    (200572803)  IL2  CCY          </t>
  </si>
  <si>
    <t xml:space="preserve">XCY620S-76701-BAG    20000KG   22037308    (82962853)  IY1  CCY          </t>
  </si>
  <si>
    <t xml:space="preserve">XCY620S-76701-BAG    20000KG   22037308    (82962852)  IY1  CCY          </t>
  </si>
  <si>
    <t xml:space="preserve">XCY620S-76701-BAG    20000KG   22037308    (82962851)  IY1  CCY          </t>
  </si>
  <si>
    <t xml:space="preserve">XCY620S-76701-BAG    20000KG   22037308    (82962850)  IY1  CCY          </t>
  </si>
  <si>
    <t xml:space="preserve">XCY620S-76701-BAG    20000KG   22037308    (71618761)  IY1  CCY          </t>
  </si>
  <si>
    <t xml:space="preserve">XCY620S-76701-BAG    20000KG   22037308    (82957941)  IY1  CCY          </t>
  </si>
  <si>
    <t xml:space="preserve">XCY620S-76701-BAG    20000KG   22037308    (82957942)  IY1  CCY          </t>
  </si>
  <si>
    <t xml:space="preserve">XCY620-BK1005-BAG    20000KG   22025061    (90054452)  IY1  CCY          </t>
  </si>
  <si>
    <t xml:space="preserve">EXL9330-BK1A068-BAG    20600KG   22018508    (97947103)  IX1  CCY          </t>
  </si>
  <si>
    <t xml:space="preserve">945-7T2D216-BAG    5000KG   22029986    (200537202)  IL2  CCY          </t>
  </si>
  <si>
    <t xml:space="preserve">XCY620S-76701-BAG    20000KG   22037308    (82962876)  IY1  CCY          </t>
  </si>
  <si>
    <t xml:space="preserve">XCY620S-76701-BAG    20000KG   22037308    (82962877)  IY1  CCY          </t>
  </si>
  <si>
    <t xml:space="preserve">XCY620S-76701-BAG    20000KG   22037308    (82962878)  IY1  CCY          </t>
  </si>
  <si>
    <t xml:space="preserve">XCY620S-76701-BAG    20000KG   22037308    (82962879)  IY1  CCY          </t>
  </si>
  <si>
    <t xml:space="preserve">945-7T2D216-BAG    8000KG   22029986    (200537264)  IL2  CCY          </t>
  </si>
  <si>
    <t xml:space="preserve">XCY620S-76701-BAG    20000KG   22037308    (82962880)  IY1  CCY          </t>
  </si>
  <si>
    <t xml:space="preserve">945-8T9D148-BAG    20471.25KG   22038397    (200547619)  IL2  CCY          </t>
  </si>
  <si>
    <t xml:space="preserve">945-7T9A0590-BAG    20600KG   22098535    (200557896)  IL2  CCY          </t>
  </si>
  <si>
    <t xml:space="preserve">945-7T9A0590-BAG    20600KG   22098535    (200557895)  IL2  CCY          </t>
  </si>
  <si>
    <t xml:space="preserve">945-7T9A0590-BAG    20600KG   22098535    (200557900)  IL2  CCY          </t>
  </si>
  <si>
    <t xml:space="preserve">923X-8T9D443-BAG    5150KG   22072623    (200568539)  IX2  CCY          </t>
  </si>
  <si>
    <t xml:space="preserve">945-7T9A0590-BAG    20600KG   22098535    (200557899)  IL2  CCY          </t>
  </si>
  <si>
    <t xml:space="preserve">357TF-1001-SSS    20000KG   22088360    (97218306)  CV1  LXN         含Br/Cl        </t>
  </si>
  <si>
    <t xml:space="preserve">EXL9330S-WH9G198-BAG    2060KG   22067604    (200570813)  IX2  CCY         含Br/Cl        </t>
  </si>
  <si>
    <t xml:space="preserve">357TF-1001-SSS    20000KG   22088360    (93290248)  CV1  LXN         含Br/Cl        </t>
  </si>
  <si>
    <t xml:space="preserve">945-8T9D148-BAG    20000KG   22038397    (200558064)  IL2  CCY          </t>
  </si>
  <si>
    <t xml:space="preserve">945-8T7D087-BAG    20000KG   22031466    (96016715)  IL1  CCY          </t>
  </si>
  <si>
    <t xml:space="preserve">357TF-1001-SSS    20000KG   22088360    (97218307)  CV1  LXN         含Br/Cl        </t>
  </si>
  <si>
    <t xml:space="preserve">945-7T8D574-BAG    10000KG   22034225    (200555906)  IL2  CCY          </t>
  </si>
  <si>
    <t xml:space="preserve">943-NC-BAG    10000KG   22018287    (200560180)  IL2  CCY         含Br/Cl        </t>
  </si>
  <si>
    <t xml:space="preserve">945-7T9A0590-BAG    10000KG   22098535    (200527627)  IL2  CCY          </t>
  </si>
  <si>
    <t xml:space="preserve">945-8T7D087-BAG    20600KG   22031466    (97101193)  IL1  CCY          </t>
  </si>
  <si>
    <t xml:space="preserve">357TF-1001-SSS    20000KG   22088360    (97218308)  CV1  LXN         含Br/Cl        </t>
  </si>
  <si>
    <t xml:space="preserve">945U-NC-BAG    10197KG   22039271    (200497370)  IL2  CCY          </t>
  </si>
  <si>
    <t xml:space="preserve">945-8T7D087-BAG    10300KG   22031466    (97926621)  IL1  CCY          </t>
  </si>
  <si>
    <t xml:space="preserve">945-8T8A1183-    8000KG   299901533    (200446072)    CCY          </t>
  </si>
  <si>
    <t xml:space="preserve">357TF-1001-SSS    20000KG   22088360    (97218309)  CV1  LXN         含Br/Cl        </t>
  </si>
  <si>
    <t xml:space="preserve">923-WH8168-BAG    20600KG   22034381    (200570811)    CCY         含Br/Cl        </t>
  </si>
  <si>
    <t xml:space="preserve">945-8T9D148-BAG    10000KG   22038397    (200570279)  IL2  CCY          </t>
  </si>
  <si>
    <t xml:space="preserve">923-WH8168-BAG    10300KG   22034381    (200570812)    CCY         含Br/Cl        </t>
  </si>
  <si>
    <t xml:space="preserve">C2100-86159-BAG    2000KG   22029924    (200569633)  IY2  CCY         含Br/Cl  粒子      </t>
  </si>
  <si>
    <t xml:space="preserve">945AU-116-BAG    20600KG   22018293    (200552762)  IL2  LXN/CCY          </t>
  </si>
  <si>
    <t xml:space="preserve">945AU-116-BAG    20600KG   22018293    (200552763)  IL2  LXN/CCY          </t>
  </si>
  <si>
    <t xml:space="preserve">945AU-116-BAG    20600KG   22018293    (200552681)  IL2  LXN/CCY          </t>
  </si>
  <si>
    <t xml:space="preserve">EXL1132T-NA8A005T-BAG    2060KG   22019972    (200566100)  IX2  CCY          </t>
  </si>
  <si>
    <t xml:space="preserve">LS2-414-BAG    20600KG   22018729    (200531578)  IL2  LXN/CCY          粒子      </t>
  </si>
  <si>
    <t xml:space="preserve">LS2-4135-BAG    20600KG   22028049    (200531580)  IL2  LXN/CCY          粒子      </t>
  </si>
  <si>
    <t xml:space="preserve">CFR9111-NA8G001T-BAG    5000KG   22035041    (200571712)  IX2  CCY          </t>
  </si>
  <si>
    <t xml:space="preserve">EXL9330-8T7D129-BAG    5150KG   22089053    (200571708)  IX2  CCY          </t>
  </si>
  <si>
    <t xml:space="preserve">CFR9111-7M6A3544T-    4120KG   299903954    (200573026)  IX2  CCY          </t>
  </si>
  <si>
    <t xml:space="preserve">EXL9414TRC-7A1A0805IA-BAG    9000KG   22098978    (200566060)  IX2  CCY          </t>
  </si>
  <si>
    <t xml:space="preserve">C6600-GY8889-BAG    2000KG   22039817    (200559106)  IY2  CCY          粒子      </t>
  </si>
  <si>
    <t xml:space="preserve">925U-WH9G195-BAG    5124.25KG   22038291    (200561723)  IL2  CCY          </t>
  </si>
  <si>
    <t xml:space="preserve">945-NC-BAG    20000KG   22022070    (94727000)  IL1  CCY          </t>
  </si>
  <si>
    <t xml:space="preserve">241R-WH8F021-BAG    2000KG   22044918    (200558139)  IL2  LXN/CCY          粒子      </t>
  </si>
  <si>
    <t xml:space="preserve">241R-GN8B014T-BAG    2000KG   22030867    (200548766)  IL2  LXN/CCY          </t>
  </si>
  <si>
    <t xml:space="preserve">C6200-WH8A231-BAG    2060KG   22039640    (200573466)  IY2  CCY          粒子      </t>
  </si>
  <si>
    <t xml:space="preserve">945-NC-BAG    20000KG   22022070    (96247168)  IL1  CCY          </t>
  </si>
  <si>
    <t xml:space="preserve">GLX143-GN4G119T-BAG    10000KG   22067691    (200497052)  IL2  CCY          </t>
  </si>
  <si>
    <t xml:space="preserve">ML9696-NC-BPK    10000KG   22040805    (97218311)    WP          </t>
  </si>
  <si>
    <t xml:space="preserve">123R-WH7D277X-BAG    10300KG   22021303    (200570608)  IL2  LXN/CCY          </t>
  </si>
  <si>
    <t xml:space="preserve">GLX143-GN4G119T-BAG    10000KG   22067691    (200497053)  IL2  CCY          </t>
  </si>
  <si>
    <t xml:space="preserve">143R-GY7B246-BAG    5150KG   22033566    (200571685)    LXN/CCY          粒子      </t>
  </si>
  <si>
    <t xml:space="preserve">GLX143-GN4G119T-BAG    10000KG   22067691    (200497104)  IL2  CCY          </t>
  </si>
  <si>
    <t xml:space="preserve">GLX143-GN4G119T-BAG    10000KG   22067691    (200497054)  IL2  CCY          </t>
  </si>
  <si>
    <t xml:space="preserve">HFD1034-NA9E109T-BAG    10000KG   22040304    (200555836)    LXN          </t>
  </si>
  <si>
    <t xml:space="preserve">HFD1034-NA9E109T-BAG    10000KG   22040304    (200555835)    LXN          </t>
  </si>
  <si>
    <t xml:space="preserve">MC1300-100-SSS    19570KG   22036948    (200500576)  IY2  CCY          </t>
  </si>
  <si>
    <t xml:space="preserve">XCY620S-100-BAG    20600KG   22025073    (200568585)  IY1  CCY          </t>
  </si>
  <si>
    <t xml:space="preserve">HF1140-111FC-BAG    9244.25KG   22020237    (200572861)  IL2  LXN/CCY          FDA/可使用50%粒子      </t>
  </si>
  <si>
    <t xml:space="preserve">MC1300-100-BAG    20600KG   22018739    (200568513)  IY1  CCY          </t>
  </si>
  <si>
    <t xml:space="preserve">XCY620S-100-BAG    20600KG   22025073    (200568583)  IY1  CCY          </t>
  </si>
  <si>
    <t xml:space="preserve">MC1300-100-BAG    20600KG   22018739    (200568514)  IY1  CCY          </t>
  </si>
  <si>
    <t xml:space="preserve">LUX2114G-WH4G039X-BAG    15000KG   22030544    (200526353)  IL2  LXN          </t>
  </si>
  <si>
    <t xml:space="preserve">LUX2114G-WH5B140X-BAG    15000KG   22023831    (200526409)  IL2  LXN          </t>
  </si>
  <si>
    <t xml:space="preserve">MC1300-100-BAG    20000KG   22018739    (94699040)  IY1  CCY          </t>
  </si>
  <si>
    <t xml:space="preserve">MC1300-100-BAG    20000KG   22018739    (94699041)  IY1  CCY          </t>
  </si>
  <si>
    <t xml:space="preserve">LUX2114G-WH5B140X-BAG    1000KG   22023831    (200559993)  IL2  LXN          </t>
  </si>
  <si>
    <t xml:space="preserve">LUX2114G-WH5B140X-BAG    5000KG   22023831    (200559207)  IL2  LXN          </t>
  </si>
  <si>
    <t xml:space="preserve">LG9000-GY8H022-BAG    5000KG   22086468    (200570901)  IY2  CCY          </t>
  </si>
  <si>
    <t xml:space="preserve">LUX2114G-WH8G625X-BAG    5000KG   22032676    (200549460)  IL2  LXN          </t>
  </si>
  <si>
    <t xml:space="preserve">MC1300-100-BAG    20000KG   22018739    (94678264)  IY1  CCY          </t>
  </si>
  <si>
    <t xml:space="preserve">EXL1414T-1A8A3284T-BAG    17510KG   22103046    (96219574)    CCY          </t>
  </si>
  <si>
    <t xml:space="preserve">MC1300-100-BAG    20000KG   22018739    (94678265)  IY1  CCY          </t>
  </si>
  <si>
    <t xml:space="preserve">MC1300-100-BAG    20000KG   22018739    (94678266)  IY1  CCY          </t>
  </si>
  <si>
    <t xml:space="preserve">LUX2114-WH8E508X-BAG    2060KG   22032674    (200572909)  IL2  LXN          </t>
  </si>
  <si>
    <t xml:space="preserve">LUX2114G-WH8G625X-BAG    3000KG   22032676    (200549461)  IL2  LXN          </t>
  </si>
  <si>
    <t xml:space="preserve">LG9000-100-BAG    20000KG   22023994    (200497070)  IY2  CCY          粒子_NS2禁用      </t>
  </si>
  <si>
    <t xml:space="preserve">C1200HF-100-BAG    20000KG   22019660    (88398245)  IY1  CCY          </t>
  </si>
  <si>
    <t xml:space="preserve">MC1300-100-BAG    20000KG   22018739    (94700527)  IY1  CCY          </t>
  </si>
  <si>
    <t xml:space="preserve">MC1300-100-BAG    20000KG   22018739    (94700528)  IY1  CCY          </t>
  </si>
  <si>
    <t xml:space="preserve">MC1300-100-BAG    20000KG   22018739    (94700529)  IY1  CCY          </t>
  </si>
  <si>
    <t xml:space="preserve">MC1300-100-BAG    20000KG   22018739    (94700530)  IY1  CCY          </t>
  </si>
  <si>
    <t xml:space="preserve">MC1300-100-BAG    20000KG   22018739    (94700531)  IY1  CCY          </t>
  </si>
  <si>
    <t xml:space="preserve">243R-WH9A238-BAG    2000KG   22033838    (200569647)  IL2  LXN/CCY          </t>
  </si>
  <si>
    <t xml:space="preserve">MC1300-100-BAG    20000KG   22018739    (94699063)  IY1  CCY          </t>
  </si>
  <si>
    <t xml:space="preserve">MC1300-100-BAG    20000KG   22018739    (94699057)  IY1  CCY          </t>
  </si>
  <si>
    <t xml:space="preserve">MC1300-100-BAG    20000KG   22018739    (94699056)  IY1  CCY          </t>
  </si>
  <si>
    <t xml:space="preserve">ML9696-7A8D075-SSS    20600KG   22065959    (200547654)  CL1  WP          </t>
  </si>
  <si>
    <t xml:space="preserve">EXL1414A-8A9D090-BAG    3605KG   22045504    (200553481)  IX2  CCY          </t>
  </si>
  <si>
    <t xml:space="preserve">141R-80711-BAG    10000KG   22038171    (200438844)  IL2  LXN/CCY          粒子      </t>
  </si>
  <si>
    <t xml:space="preserve">EXL1414A-8A9D090-BAG    18540KG   22045504    (200562434)  IX2  CCY          </t>
  </si>
  <si>
    <t xml:space="preserve">940-NC-BAG    10300KG   22022017    (200572965)  IL1  CCY         含Br/Cl        </t>
  </si>
  <si>
    <t xml:space="preserve">141R-GY6A427-SSS    15450KG   22038198    (200510608)  IL2  LXN/CCY          粒子      </t>
  </si>
  <si>
    <t xml:space="preserve">241R-WH8E494-BAG    10300KG   22038463    (200569457)  IL2  LXN/CCY          粒子      </t>
  </si>
  <si>
    <t xml:space="preserve">244RF-GY7G193F-BAG    10300KG   22033846    (200525722)  IL2  LXN/CCY          粒子FDA      </t>
  </si>
  <si>
    <t xml:space="preserve">141R-80711-BAG    9270KG   22038171    (200478881)  IL2  LXN/CCY          粒子      </t>
  </si>
  <si>
    <t xml:space="preserve">241R-WH6D069-BAG    10300KG   22030876    (200538948)  IL2  LXN/CCY          粒子      </t>
  </si>
  <si>
    <t xml:space="preserve">241R-BR7D001-BAG    10300KG   22033469    (200539042)  IL2  LXN/CCY          粒子      </t>
  </si>
  <si>
    <t xml:space="preserve">EXL1414A-8A9D090-BAG    2060KG   22104091    (200568554)  IX2  CCY          </t>
  </si>
  <si>
    <t xml:space="preserve">EXL9330-GY8D578-BAG    8240KG   22028976    (200556116)  IX2  CCY          </t>
  </si>
  <si>
    <t xml:space="preserve">241R-GY8C122-BAG    5150KG   22033484    (200547393)  IL2  LXN/CCY          粒子      </t>
  </si>
  <si>
    <t xml:space="preserve">121R-7R7D031-SSS    20600KG   22037463    (200505772)  IL2  LXN/CCY          粒子      </t>
  </si>
  <si>
    <t xml:space="preserve">241R-WH2C006-BAG    10300KG   22038458    (200547417)  IL2  LXN/CCY          粒子      </t>
  </si>
  <si>
    <t xml:space="preserve">241R-WH6D069-BAG    20600KG   22030876    (200538947)  IL2  LXN/CCY          粒子      </t>
  </si>
  <si>
    <t xml:space="preserve">EXL9330-8T7D131-BAG    5150KG   22083954    (200557227)  IX2  CCY          </t>
  </si>
  <si>
    <t xml:space="preserve">MC1300-100-BAG    20000KG   22018739    (85647844)  IY1  CCY          </t>
  </si>
  <si>
    <t xml:space="preserve">EXL9330-5T7D005-BAG    5000KG   22029397    (200502927)  IX2  CCY          </t>
  </si>
  <si>
    <t xml:space="preserve">EXL1414A-8A9D090-BAG    18540KG   22045504    (200570731)  IX2  CCY          </t>
  </si>
  <si>
    <t xml:space="preserve">EXL9134-7A8D006-BAG    18540KG   22023110    (200572812)  IX2  CCY          </t>
  </si>
  <si>
    <t xml:space="preserve">121R-7R7D031-SSS    20000KG   22037463    (200529089)  IL2  LXN/CCY          粒子      </t>
  </si>
  <si>
    <t xml:space="preserve">141R-80711-BAG    9000KG   22038171    (200509387)  IL2  LXN/CCY          粒子      </t>
  </si>
  <si>
    <t xml:space="preserve">141R-GY6A427-SSS    10000KG   22038198    (200553646)  IL2  LXN/CCY          粒子      </t>
  </si>
  <si>
    <t xml:space="preserve">121R-7R7D031-SSS    20000KG   22037463    (200561488)  IL2  LXN/CCY          粒子      </t>
  </si>
  <si>
    <t xml:space="preserve">141R-80711-BAG    9000KG   22038171    (200528331)  IL2  LXN/CCY          粒子      </t>
  </si>
  <si>
    <t xml:space="preserve">EXL9330-WH9B454-BAG    6180KG   22039937    (200572832)    CCY          </t>
  </si>
  <si>
    <t xml:space="preserve">LUX7630C-NAT-BAG    3090KG   22023838    (200570614)  IX2  LXN          </t>
  </si>
  <si>
    <t xml:space="preserve">ML9696-7A8D075-SSS    20600KG   22065959    (200568720)  CL1  WP          </t>
  </si>
  <si>
    <t xml:space="preserve">XP4034-BK1E598-BAG    5000KG   22037798    (200567244)  IC2  CCY         含Br/Cl        </t>
  </si>
  <si>
    <t xml:space="preserve">MC1300-100-BAG    20000KG   22018739    (94699042)  IY1  CCY          </t>
  </si>
  <si>
    <t xml:space="preserve">MC1300-100-BAG    20000KG   22018739    (94699043)  IY1  CCY          </t>
  </si>
  <si>
    <t xml:space="preserve">XCY620S-76701-BAG    20000KG   22037308    (82962869)  IY1  CCY          </t>
  </si>
  <si>
    <t xml:space="preserve">920-NC-BAG    10000KG   22022157    (200560221)  IL2  CCY         含Br/Cl        </t>
  </si>
  <si>
    <t xml:space="preserve">MC1300-100-SSS    20000KG   22036948    (200504690)  IY2  CCY          </t>
  </si>
  <si>
    <t xml:space="preserve">MC1300-100-BAG    20000KG   22018739    (94678267)  IY1  CCY          </t>
  </si>
  <si>
    <t xml:space="preserve">XCY620S-76701-BAG    20000KG   22037308    (82962847)  IY1  CCY          </t>
  </si>
  <si>
    <t xml:space="preserve">XCY620S-76701-BAG    20000KG   22037308    (82962846)  IY1  CCY          </t>
  </si>
  <si>
    <t xml:space="preserve">XCY620S-76701-BAG    20000KG   22037308    (82962845)  IY1  CCY          </t>
  </si>
  <si>
    <t xml:space="preserve">XCY620S-76701-BAG    20000KG   22037308    (82962835)  IY1  CCY          </t>
  </si>
  <si>
    <t xml:space="preserve">XCY620S-76701-BAG    20000KG   22037308    (82962836)  IY1  CCY          </t>
  </si>
  <si>
    <t xml:space="preserve">MC1300-100-BAG    20000KG   22018739    (94678268)  IY1  CCY          </t>
  </si>
  <si>
    <t xml:space="preserve">MC1300-100-BAG    20000KG   22018739    (94678269)  IY1  CCY          </t>
  </si>
  <si>
    <t xml:space="preserve">LG9000-100-BAG    5000KG   22023994    (200559251)  IY2  CCY          粒子_NS2禁用      </t>
  </si>
  <si>
    <t xml:space="preserve">MC1300-100-BAG    20000KG   22018739    (94678270)  IY1  CCY          </t>
  </si>
  <si>
    <t xml:space="preserve">XP4034-BK1E477-BAG    2060KG   22032854    (200570836)  IC2  CCY          </t>
  </si>
  <si>
    <t xml:space="preserve">MC1300-100-BAG    20000KG   22018739    (94678271)  IY1  CCY          </t>
  </si>
  <si>
    <t xml:space="preserve">XCY620S-100-BAG    20000KG   22025073    (94700208)  IY1  CCY          </t>
  </si>
  <si>
    <t xml:space="preserve">MC1300-100-BAG    20000KG   22018739    (94678272)  IY1  CCY          </t>
  </si>
  <si>
    <t xml:space="preserve">MC1300-100-BAG    20000KG   22018739    (94678273)  IY1  CCY          </t>
  </si>
  <si>
    <t xml:space="preserve">MC1300-100-SSS    20000KG   22036948    (200504766)  IY2  CCY          </t>
  </si>
  <si>
    <t xml:space="preserve">XCY620S-76701-BAG    20000KG   22037308    (82957931)  IY1  CCY          </t>
  </si>
  <si>
    <t xml:space="preserve">XCY620S-76701-BAG    20000KG   22037308    (82962884)  IY1  CCY          </t>
  </si>
  <si>
    <t xml:space="preserve">XCY620S-100-BAG    20000KG   22025073    (94700209)  IY1  CCY          </t>
  </si>
  <si>
    <t xml:space="preserve">MC1300-100-BAG    20000KG   22018739    (94699062)  IY1  CCY          </t>
  </si>
  <si>
    <t xml:space="preserve">940-GY7B246-BAG    5150KG   22039117    (200570740)    CCY         含Br/Cl        </t>
  </si>
  <si>
    <t xml:space="preserve">MC1300-100-BAG    20000KG   22018739    (94699061)  IY1  CCY          </t>
  </si>
  <si>
    <t xml:space="preserve">MC1300-100-BAG    20000KG   22018739    (94699060)  IY1  CCY          </t>
  </si>
  <si>
    <t xml:space="preserve">MC1300-100-BAG    20000KG   22018739    (94699059)  IY1  CCY          </t>
  </si>
  <si>
    <t xml:space="preserve">MC1300-100-BAG    20000KG   22018739    (94699058)  IY1  CCY          </t>
  </si>
  <si>
    <t xml:space="preserve">MC1300-100-BAG    20000KG   22018739    (94699055)  IY1  CCY          </t>
  </si>
  <si>
    <t xml:space="preserve">MC1300-100-BAG    20000KG   22018739    (94699054)  IY1  CCY          </t>
  </si>
  <si>
    <t xml:space="preserve">MC1300-100-BAG    20000KG   22018739    (94699053)  IY1  CCY          </t>
  </si>
  <si>
    <t xml:space="preserve">MC1300-100-BAG    20000KG   22018739    (94699052)  IY1  CCY          </t>
  </si>
  <si>
    <t xml:space="preserve">MC1300-100-BAG    20000KG   22018739    (94699051)  IY1  CCY          </t>
  </si>
  <si>
    <t xml:space="preserve">MC1300-100-BAG    20000KG   22018739    (94699049)  IY1  CCY          </t>
  </si>
  <si>
    <t xml:space="preserve">MC1300-100-BAG    20000KG   22018739    (94699050)  IY1  CCY          </t>
  </si>
  <si>
    <t xml:space="preserve">143-BK1111-BAG    10222.75KG   22030766    (200534693)  IL2      </t>
  </si>
  <si>
    <t xml:space="preserve">LG9000-701-BAG    5150KG   22017215    (200559805)  IY2  CCY          粒子_NS2禁用      </t>
  </si>
  <si>
    <t xml:space="preserve">XP4034-BK1041-BAG    10300KG   22019027    (200557983)  IC1  CCY          </t>
  </si>
  <si>
    <t xml:space="preserve">XP4034-BK1041-BAG    10300KG   22019027    (200557982)  IC1  CCY          </t>
  </si>
  <si>
    <t xml:space="preserve">XP4034-BK1041-BAG    10300KG   22019027    (200557841)  IC1  CCY          </t>
  </si>
  <si>
    <t xml:space="preserve">XCY620S-76701-BAG    20000KG   22037308    (200568593)  IY1  CCY          </t>
  </si>
  <si>
    <t xml:space="preserve">C1200HF-701-BAG    20600KG   22022222    (200557919)  IY1  CCY          </t>
  </si>
  <si>
    <t xml:space="preserve">121R-701-BAG    10000KG   22021257    (200539706)  IL2  LXN/CCY          </t>
  </si>
  <si>
    <t xml:space="preserve">121R-701-BAG    5150KG   22021257    (200571999)  IL2  LXN/CCY          </t>
  </si>
  <si>
    <t xml:space="preserve">XCY620S-76701-BAG    20600KG   22037308    (200568587)  IY1  CCY          </t>
  </si>
  <si>
    <t xml:space="preserve">C1200HF-7001-BBG    15450KG   22028879    (200470305)  IY2  CCY          </t>
  </si>
  <si>
    <t xml:space="preserve">LG9000-701-BAG    5000KG   22017215    (200553469)  IY2  CCY          粒子_NS2禁用      </t>
  </si>
  <si>
    <t xml:space="preserve">XCY620-BK1G372-BAG    12000KG   22041153    (200560022)  IY2  CCY          </t>
  </si>
  <si>
    <t xml:space="preserve">LG9000-BK1044-BAG    5000KG   22018724    (200560391)  IY2  CCY          粒子similar as LG9000-BK1044MX / _NS2禁用      </t>
  </si>
  <si>
    <t xml:space="preserve">XCY620S-76701-BAG    20600KG   22037308    (200568588)  IY1  CCY          </t>
  </si>
  <si>
    <t xml:space="preserve">C1200HF-GY1460-BAG    5000KG   22039413    (200537204)  IY2  CCY          </t>
  </si>
  <si>
    <t xml:space="preserve">C1200HF-GY1G005-BAG    6000KG   22044899    (200554522)  IY2  CCY          </t>
  </si>
  <si>
    <t xml:space="preserve">XP4034-BK1041-BAG    10000KG   22019027    (94692688)  IC1  CCY          </t>
  </si>
  <si>
    <t xml:space="preserve">XCY620S-76701-BAG    20600KG   22037308    (200568589)  IY1  CCY          </t>
  </si>
  <si>
    <t xml:space="preserve">XCY620S-76701-BAG    20600KG   22037308    (200568591)  IY1  CCY          </t>
  </si>
  <si>
    <t xml:space="preserve">C1200HF-7001-BAG    10000KG   22034851    (200562500)  IY2  CCY          </t>
  </si>
  <si>
    <t xml:space="preserve">141R-701-BAG    5000KG   22021359    (200544598)  IL2  LXN/CCY          </t>
  </si>
  <si>
    <t xml:space="preserve">LS1-701-BAG    20000KG   22041018    (200549493)  IL2  LXN/CCY          </t>
  </si>
  <si>
    <t xml:space="preserve">C1200HF-GY1460-BAG    10000KG   22039413    (200521960)  IY2  CCY          </t>
  </si>
  <si>
    <t xml:space="preserve">C1200HF-BK2G024-BAG    20000KG   22034874    (200551142)  IY2  CCY          </t>
  </si>
  <si>
    <t xml:space="preserve">XP4034-GY1E349-BAG    10000KG   22041179    (200508695)  IC2  CCY          </t>
  </si>
  <si>
    <t xml:space="preserve">C1200HF-BK2G024-BAG    20000KG   22034874    (200551079)  IY2  CCY          </t>
  </si>
  <si>
    <t xml:space="preserve">LS1-701-BAG    20000KG   22041018    (200549471)  IL2  LXN/CCY          </t>
  </si>
  <si>
    <t xml:space="preserve">XP4034-BK1041-BAG    10000KG   22019027    (94692789)  IC1  CCY          </t>
  </si>
  <si>
    <t xml:space="preserve">XP4034-BK1041-BAG    15000KG   22019027    (94692790)  IC1  CCY          </t>
  </si>
  <si>
    <t xml:space="preserve">141R-701-BAG    12000KG   22021359    (200568504)  IL2  LXN/CCY          </t>
  </si>
  <si>
    <t xml:space="preserve">LS1-701-BAG    20000KG   22041018    (200549400)  IL2  LXN/CCY          </t>
  </si>
  <si>
    <t xml:space="preserve">LS1-701-BAG    8240KG   22041018    (200570846)  IL2  LXN/CCY          </t>
  </si>
  <si>
    <t xml:space="preserve">XCY620-BK1G372-BAG    16000KG   22041153    (200496374)  IY2  CCY          </t>
  </si>
  <si>
    <t xml:space="preserve">XP4034-GY1E811-BAG    10000KG   22019030    (200561871)  IC2  CCY          </t>
  </si>
  <si>
    <t xml:space="preserve">C1200HF-7001-BBG    10000KG   22028879    (200558256)  IY2  CCY          </t>
  </si>
  <si>
    <t xml:space="preserve">LS1-701-BAG    20000KG   22041018    (200549507)  IL2  LXN/CCY          </t>
  </si>
  <si>
    <t xml:space="preserve">C1200HF-BK2G024-BAG    20000KG   22034874    (200551123)  IY2  CCY          </t>
  </si>
  <si>
    <t xml:space="preserve">LG9000-BK1044-BAG    5000KG   22018724    (200566296)  IY2  CCY          粒子similar as LG9000-BK1044MX / _NS2禁用      </t>
  </si>
  <si>
    <t xml:space="preserve">LS1-701-BAG    20000KG   22041018    (200549528)  IL2  LXN/CCY          </t>
  </si>
  <si>
    <t xml:space="preserve">XP4034-7G1A1101-    10000KG   299901337    (200558282)    CCY          </t>
  </si>
  <si>
    <t xml:space="preserve">XP4034-BK1B374-BAG    20000KG   22041176    (200520422)  IC2  CCY          </t>
  </si>
  <si>
    <t xml:space="preserve">C1200HF-BK2G024-BAG    20000KG   22034874    (200551017)  IY2  CCY          </t>
  </si>
  <si>
    <t xml:space="preserve">XCY620-BK1005-BAG    20000KG   22025061    (94714325)  IY1  CCY          </t>
  </si>
  <si>
    <t xml:space="preserve">LS1-701-BAG    20000KG   22041018    (200549459)  IL2  LXN/CCY          </t>
  </si>
  <si>
    <t xml:space="preserve">LS1-701-BAG    8240KG   22041018    (200570942)  IL2  LXN/CCY          </t>
  </si>
  <si>
    <t xml:space="preserve">LG9000-GY1C306-BAG    13000KG   22018726    (200540824)    CCY          粒子_NS2禁用      </t>
  </si>
  <si>
    <t xml:space="preserve">LS1-701-BAG    10000KG   22041018    (200558326)  IL2  LXN/CCY          </t>
  </si>
  <si>
    <t xml:space="preserve">LS1-701-BAG    6180KG   22041018    (200570896)  IL2  LXN/CCY          </t>
  </si>
  <si>
    <t xml:space="preserve">LG9000-GY1C306-BAG    10000KG   22018726    (200566332)    CCY          粒子_NS2禁用      </t>
  </si>
  <si>
    <t xml:space="preserve">C1200HF-GY1460-BAG    5000KG   22039413    (200539808)  IY2  CCY          </t>
  </si>
  <si>
    <t xml:space="preserve">NXCY620-BKNAT-BAG    13000KG   22036896    (200538791)    GF          </t>
  </si>
  <si>
    <t xml:space="preserve">LS1-701-BAG    10000KG   22041018    (200558235)  IL2  LXN/CCY          </t>
  </si>
  <si>
    <t xml:space="preserve">141R-701-BAG    5000KG   22021359    (200566150)  IL2  LXN/CCY          </t>
  </si>
  <si>
    <t xml:space="preserve">XCY620-BK1G372-BAG    10000KG   22041153    (200537625)  IY2  CCY          </t>
  </si>
  <si>
    <t xml:space="preserve">XCY620-BK1G372-BAG    10000KG   22041153    (200535117)  IY2  CCY          </t>
  </si>
  <si>
    <t xml:space="preserve">LS1-701-BAG    10000KG   22041018    (200558300)  IL2  LXN/CCY          </t>
  </si>
  <si>
    <t xml:space="preserve">XP4034-BK1041-BAG    20000KG   22019027    (94692791)  IC1  CCY          </t>
  </si>
  <si>
    <t xml:space="preserve">LS1-701-BAG    10000KG   22041018    (200558314)  IL2  LXN/CCY          </t>
  </si>
  <si>
    <t xml:space="preserve">C1200HF-701-BAG    20000KG   22022222    (90033780)  IY1  CCY          </t>
  </si>
  <si>
    <t xml:space="preserve">XCY620-BK1005-BAG    20000KG   22025061    (94714326)  IY1  CCY          </t>
  </si>
  <si>
    <t xml:space="preserve">XP4034-GY1E811-BAG    10000KG   22019030    (200508774)  IC2  CCY          </t>
  </si>
  <si>
    <t xml:space="preserve">XCY620S-76701-BAG    20000KG   22037308    (97125725)  IY1  CCY          </t>
  </si>
  <si>
    <t xml:space="preserve">XCY620-BK1G372-BAG    10000KG   22041153    (200537540)  IY2  CCY          </t>
  </si>
  <si>
    <t xml:space="preserve">XCY620S-76701-BAG    20000KG   22037308    (97124245)  IY1  CCY          </t>
  </si>
  <si>
    <t xml:space="preserve">XCY620S-76701-BAG    20000KG   22037308    (97125726)  IY1  CCY          </t>
  </si>
  <si>
    <t xml:space="preserve">XCY620S-76701-BAG    20000KG   22037308    (97125728)  IY1  CCY          </t>
  </si>
  <si>
    <t xml:space="preserve">FXD141R-NA1D001X-BAG    2080KG   22030318    (200514393)  IX2  LXN/CCY          </t>
  </si>
  <si>
    <t xml:space="preserve">FXD121R-WH6E008X-BAG    2080KG   22036130    (200496048)  IX2  LXN/CCY          </t>
  </si>
  <si>
    <t xml:space="preserve">FXD123R-WH3C015X-BAG    3120KG   22032499    (200559224)  IX2  LXN/CCY          </t>
  </si>
  <si>
    <t xml:space="preserve">FXD123R-WH3C015X-BAG    6240KG   22032499    (200546601)  IX2  LXN/CCY          </t>
  </si>
  <si>
    <t xml:space="preserve">FXD121R-WH6E008X-BAG    2080KG   22036130    (200549127)  IX2  LXN/CCY          </t>
  </si>
  <si>
    <t xml:space="preserve">FXD121R-WH6E008X-BAG    2080KG   22036130    (200540940)  IX2  LXN/CCY          </t>
  </si>
  <si>
    <t xml:space="preserve">FXD121R-WH6E008X-BAG    2080KG   22036130    (200496049)  IX2  LXN/CCY          </t>
  </si>
  <si>
    <t xml:space="preserve">FXD121R-WH6E008X-BAG    2080KG   22036130    (200540939)  IX2  LXN/CCY          </t>
  </si>
  <si>
    <t xml:space="preserve">FXD123R-WH3C015X-BAG    962KG   22032499    (200571897)  IX2  LXN/CCY          </t>
  </si>
  <si>
    <t xml:space="preserve">LUX9610-NA9G155T-BAG    6214KG   22036943    (200572711)  IL2  LXN          </t>
  </si>
  <si>
    <t xml:space="preserve">FXD171R-7T7A1935X-BAG    520KG   22097825    (200566102)  IX2  LXN/CCY          </t>
  </si>
  <si>
    <t xml:space="preserve">LUX2114G-WH5B140X-BAG    1040KG   22023831    (200530593)  IL2  LXN          </t>
  </si>
  <si>
    <t xml:space="preserve">FXD121R-8A8D016X-BAG    728KG   22036120    (200559494)  IX2  LXN/CCY          </t>
  </si>
  <si>
    <t xml:space="preserve">LUX2114G-WH8G625X-BAG    5200KG   22032676    (200534747)  IL2  LXN          </t>
  </si>
  <si>
    <t xml:space="preserve">223S-WH4113-BAG    200KG   22030856    (200570311)  IL2  CCY          </t>
  </si>
  <si>
    <t xml:space="preserve">SLX2471T-NA9E172T-BAG    806KG   22060075    (200559058)  IX2  LXN          </t>
  </si>
  <si>
    <t xml:space="preserve">LUX2114G-WH5B140X-BAG    1040KG   22023831    (200549506)  IL2  LXN          </t>
  </si>
  <si>
    <t xml:space="preserve">FXD171R-WH7D264X-BAG    338KG   22040730    (200550336)  IX2  LXN/CCY          </t>
  </si>
  <si>
    <t xml:space="preserve">LUX9130T-NAT-BAG    10400KG   22036940    (200421463)  IX2  LXN          </t>
  </si>
  <si>
    <t xml:space="preserve">FXD171R-WH7E306X-BAG    2054KG   22017394    (200569564)  IX2  LXN/CCY          </t>
  </si>
  <si>
    <t xml:space="preserve">LUX2114G-WH8B508X-BAG    2080KG   22020466    (200509337)  IL2  LXN          </t>
  </si>
  <si>
    <t xml:space="preserve">143R-WH7D381X-BAG    3120KG   22017275    (200528316)  IL2  LXN/CCY          </t>
  </si>
  <si>
    <t xml:space="preserve">950A-116-BAG    1000KG   22018296    (200536980)  IL2  LXN/CCY         含Br/Cl        </t>
  </si>
  <si>
    <t xml:space="preserve">EXL1434T-NA8A005T-BAG    312KG   22022883    (200571994)  IX2  CCY          </t>
  </si>
  <si>
    <t xml:space="preserve">EXL9134-7A8D006-BAG    858KG   22023110    (200572866)  IX2  CCY          </t>
  </si>
  <si>
    <t xml:space="preserve">121R-1A9D007T-BAG    1200KG   22037448    (200543585)  IL2  LXN/CCY          </t>
  </si>
  <si>
    <t xml:space="preserve">953A-116-BAG    1000KG   22022088    (200534777)  IL2  LXN/CCY         含Br/Cl        </t>
  </si>
  <si>
    <t xml:space="preserve">141-111-BAG    2080KG   22027982    (200552699)  IL2  LXN/CCY          </t>
  </si>
  <si>
    <t xml:space="preserve">SLX2471T-NA9E166T-BAG    1560KG   22024953    (200571743)  IX2  LXN          </t>
  </si>
  <si>
    <t xml:space="preserve">SLX2471T-NA9E166T-BAG    1000KG   22024953    (200554902)  IX2  LXN          </t>
  </si>
  <si>
    <t xml:space="preserve">LUX9610-111N-BAG    1675KG   22041065    (200548737)  IL2  LXN          </t>
  </si>
  <si>
    <t xml:space="preserve">FXD171R-WH7E306X-BAG    500KG   22017394    (200551271)  IX2  LXN/CCY          </t>
  </si>
  <si>
    <t xml:space="preserve">LUX9616G-WH5A140X-BAG    350KG   22020473    (200568362)  IL2  LXN          </t>
  </si>
  <si>
    <t xml:space="preserve">103-111-BAG    5000KG   22028578    (200523571)  IL2      </t>
  </si>
  <si>
    <t xml:space="preserve">C2951-111-BAG    520KG   22022505    (200570637)  IY2  CCY          </t>
  </si>
  <si>
    <t xml:space="preserve">945U-NC-BAG    10000KG   22039271    (200554900)  IL2  CCY          </t>
  </si>
  <si>
    <t xml:space="preserve">LUX9130T-NAT-BAG    10000KG   22036940    (200421445)  IX2  LXN          </t>
  </si>
  <si>
    <t xml:space="preserve">9925A-NA1A0036-BAG    2000KG   22034701    (200549117)  IL2  LXN          </t>
  </si>
  <si>
    <t xml:space="preserve">CS9610-WH9G775-BAG    500KG   22043871    (200573474)  IY2  CCY          </t>
  </si>
  <si>
    <t xml:space="preserve">LUX2114G-WH4G020X-BAG    3000KG   22036929    (200426612)  IL2  LXN          </t>
  </si>
  <si>
    <t xml:space="preserve">LUX2114G-WH5B140X-BAG    2000KG   22023831    (200530651)  IL2  LXN          </t>
  </si>
  <si>
    <t xml:space="preserve">LUX2114G-WH8B491X-BAG    3120KG   22023832    (200570669)  IL2  LXN          </t>
  </si>
  <si>
    <t xml:space="preserve">123R-WH5C051X-BAG    10400KG   22033096    (200570609)    LXN/CCY          </t>
  </si>
  <si>
    <t xml:space="preserve">XCY620S-100-BAG    10000KG   22025073    (86435842)  IY1  CCY          </t>
  </si>
  <si>
    <t xml:space="preserve">LS2-BL8B041T-BAG    208KG   22036914    (200571750)    LXN/CCY          </t>
  </si>
  <si>
    <t xml:space="preserve">923A-116-BAG    500KG   22022183    (200561340)  IL2  LXN/CCY         含Br/Cl  粒子/confirm/NS2_NO      </t>
  </si>
  <si>
    <t xml:space="preserve">923A-116-BAG    500KG   22022183    (200569752)  IL2  LXN/CCY         含Br/Cl  粒子/confirm/NS2_NO      </t>
  </si>
  <si>
    <t xml:space="preserve">LUX9130T-NAT-BAG    10000KG   22036940    (200421444)  IX2  LXN          </t>
  </si>
  <si>
    <t xml:space="preserve">LUX7630C-NAT-BAG    1000KG   22023838    (200559171)  IX2  LXN          </t>
  </si>
  <si>
    <t xml:space="preserve">LUX7636C-WH5E143X-BAG    2000KG   22028318    (200559384)    LXN          </t>
  </si>
  <si>
    <t xml:space="preserve">164H-111FC-BAG    2000KG   22031018    (200495973)    LXN/CCY          粒子FDA      </t>
  </si>
  <si>
    <t xml:space="preserve">LUX9610-NA9G155T-BAG    1040KG   22036943    (200570789)  IL2  LXN          </t>
  </si>
  <si>
    <t xml:space="preserve">LUX9130T-NAT-BAG    10400KG   22036940    (200570751)  IX2  LXN          </t>
  </si>
  <si>
    <t xml:space="preserve">LUX9610-111N-BAG    1768KG   22041065    (200572854)  IL2  LXN          </t>
  </si>
  <si>
    <t xml:space="preserve">LUX7430C-NA8E061T-BAG    1040KG   22023837    (200572730)    LXN          </t>
  </si>
  <si>
    <t xml:space="preserve">EXL9330-BK1334-BAG    3484KG   22020016    (200560498)  IX2  CCY          </t>
  </si>
  <si>
    <t xml:space="preserve">HFD1830-7N1A3286-    5356KG   299903627    (200553512)  IX2  LXN/CCY          </t>
  </si>
  <si>
    <t xml:space="preserve">D2000P-BK1A644-BAG    2080KG   22027937    (200559103)  IT2  CCY          </t>
  </si>
  <si>
    <t xml:space="preserve">HF1110R-7M1D104-BAG    1040KG   22030472    (200552671)  IL2  CCY          </t>
  </si>
  <si>
    <t xml:space="preserve">121-7A1D052-BAG    1040KG   22032974    (200559194)  IL2  LXN/CCY          </t>
  </si>
  <si>
    <t xml:space="preserve">EXL1434-BK1A068-BAG    1040KG   22039766    (200547389)  IX2  CCY          </t>
  </si>
  <si>
    <t xml:space="preserve">C6600-BK1D834-BAG    3120KG   22031674    (200547386)  IY2  CCY          </t>
  </si>
  <si>
    <t xml:space="preserve">HF1110-7A1D291-BAG    2080KG   22043938    (200561395)  IL2  LXN/CCY          </t>
  </si>
  <si>
    <t xml:space="preserve">C2950HF-701-BAG    2392KG   22018347    (200555886)  IY2  CCY          </t>
  </si>
  <si>
    <t xml:space="preserve">RCY6214-7M1D182-BAG    3120KG   22040925    (200556945)  IY2  CCY          </t>
  </si>
  <si>
    <t xml:space="preserve">C6600-7A1A1745-    7540KG   299901899    (200555838)  IY2  CCY          </t>
  </si>
  <si>
    <t xml:space="preserve">C2950HF-GY1291-BAG    1040KG   22031568    (200532614)  IY2  CCY          </t>
  </si>
  <si>
    <t xml:space="preserve">C6600-7T1D434-BAG    1560KG   22085413    (200548391)  IY2  CCY         含Br/Cl        </t>
  </si>
  <si>
    <t xml:space="preserve">EXL1414-7A1D157-BAG    1560KG   22022855    (200560086)  IX2  CCY          </t>
  </si>
  <si>
    <t xml:space="preserve">ENH2901RC-7A1D332-BAG    325KG   22084251    (200570253)  IV2  CCY          </t>
  </si>
  <si>
    <t xml:space="preserve">4701R-700001-BAG    2080KG   22019391    (200560553)  IX2  LXN/CCY(Nature item only use LXN)          </t>
  </si>
  <si>
    <t xml:space="preserve">XP4034-BK1E477-BAG    2080KG   22032854    (200520325)  IC2  CCY          </t>
  </si>
  <si>
    <t xml:space="preserve">121R-BK1G122-BAG    1040KG   22037469    (200545310)  IL2  LXN/CCY          </t>
  </si>
  <si>
    <t xml:space="preserve">121-7A1D052-BAG    1040KG   22032974    (200558913)  IL2  LXN/CCY          </t>
  </si>
  <si>
    <t xml:space="preserve">C1200HF-7T1D193-BAG    5200KG   22039385    (200571724)  IY2  CCY          </t>
  </si>
  <si>
    <t xml:space="preserve">C6600-7T1D319-BAG    2600KG   22034780    (200558953)  IY2  CCY          </t>
  </si>
  <si>
    <t xml:space="preserve">EXL8483-7A1D262-BAG    3120KG   22040537    (200547362)  IX2  CCY          </t>
  </si>
  <si>
    <t xml:space="preserve">ML6411-7T1D043-BAG    2080KG   22036796    (200547544)  IX2  CCY          粒子_confirm/NS2_No      </t>
  </si>
  <si>
    <t xml:space="preserve">EXL1414T-7A1D194-BAG    1040KG   22039730    (200571924)  IX2  CCY          </t>
  </si>
  <si>
    <t xml:space="preserve">943-GY1B340-BAG    2000KG   22029971    (200549232)  IL2  CCY         含Br/Cl        </t>
  </si>
  <si>
    <t xml:space="preserve">EXL9330-GY2E289-BAG    1700KG   22030407    (200568689)  IX2  CCY          </t>
  </si>
  <si>
    <t xml:space="preserve">BPL1000-BK1C294-BAG    5200KG   22038527    (200554481)  IL2  CCY          </t>
  </si>
  <si>
    <t xml:space="preserve">BX7241-7A1D330-BAG    2080KG   22072651    (200547276)  IY2  CCY          </t>
  </si>
  <si>
    <t xml:space="preserve">EXL9330-BK2E002-BAG    1000KG   22036348    (200553703)  IX2  CCY          </t>
  </si>
  <si>
    <t xml:space="preserve">BX7241-7A1D330-BAG    4000KG   22072651    (200556947)  IY2  CCY          </t>
  </si>
  <si>
    <t xml:space="preserve">CX7240U-7M1D051-BAG    3120KG   22022738    (200561468)  IY2  CCY          </t>
  </si>
  <si>
    <t xml:space="preserve">121-7A1D052-BAG    1000KG   22032974    (200567369)  IL2  LXN/CCY          </t>
  </si>
  <si>
    <t xml:space="preserve">BX7241-7A1D330-BAG    1200KG   22072651    (200568498)  IY2  CCY          </t>
  </si>
  <si>
    <t xml:space="preserve">EXL1414-7A1D157-BAG    1800KG   22022855    (200568619)  IX2  CCY          </t>
  </si>
  <si>
    <t xml:space="preserve">EXL8414-7A1D363-BAG    1000KG   22086298    (200567120)  IX2  CCY          </t>
  </si>
  <si>
    <t xml:space="preserve">RCY6214-7A1D133-BAG    2080KG   22030648    (200572957)  IY2  CCY          </t>
  </si>
  <si>
    <t xml:space="preserve">121-7A1D052-BAG    1040KG   22032974    (200571854)  IL2  LXN/CCY          </t>
  </si>
  <si>
    <t xml:space="preserve">121-7A1D052-BAG    3120KG   22032974    (200571845)  IL2  LXN/CCY          </t>
  </si>
  <si>
    <t xml:space="preserve">C2800-701-BAG    300KG   22017334    (200569580)  IY2  CCY          </t>
  </si>
  <si>
    <t xml:space="preserve">C2950HF-GY1291-BAG    1000KG   22031568    (200564671)  IY2  CCY          </t>
  </si>
  <si>
    <t xml:space="preserve">EXL1414T-7A1D194-BAG    1000KG   22039730    (200554982)  IX2  CCY          </t>
  </si>
  <si>
    <t xml:space="preserve">CX7241-7R1D180-BAG    2000KG   22072855    (200532750)  IY2  CCY          </t>
  </si>
  <si>
    <t xml:space="preserve">EXL8483-7A1D262-BAG    4784KG   22040537    (200572714)  IX2  CCY          </t>
  </si>
  <si>
    <t xml:space="preserve">925U-BK1B205-BAG    2080KG   22034107    (200550103)  IL2  CCY          </t>
  </si>
  <si>
    <t xml:space="preserve">CX7240-7T1D434-BAG    2028KG   22067443    (200560001)  IY2  CCY         含Br/Cl        </t>
  </si>
  <si>
    <t xml:space="preserve">EXL8483-7A1D262-BAG    4000KG   22040537    (200556911)  IX2  CCY          </t>
  </si>
  <si>
    <t xml:space="preserve">945-7A1A2480-    2000KG   299902726    (200543608)  IL2  CCY          </t>
  </si>
  <si>
    <t xml:space="preserve">C6200-71722-BAG    1040KG   22019709    (200571739)  IY2  CCY          </t>
  </si>
  <si>
    <t xml:space="preserve">121-7A1D052-BAG    1040KG   22032974    (200572895)  IL2  LXN/CCY          </t>
  </si>
  <si>
    <t xml:space="preserve">943-701-BAG    2132KG   22022046    (200571690)  IL2  CCY         含Br/Cl        </t>
  </si>
  <si>
    <t xml:space="preserve">CX7240-BK1A382-BAG    2080KG   22039248    (200572820)  IY2  CCY          </t>
  </si>
  <si>
    <t xml:space="preserve">C6600-GY3395-BAG    312KG   22031691    (200572719)  IY2  CCY          </t>
  </si>
  <si>
    <t xml:space="preserve">RCY6214-7M1D182-BAG    10400KG   22040925    (200572715)  IY2  CCY          </t>
  </si>
  <si>
    <t xml:space="preserve">C2800-7T1D203-BAG    20000KG   22034977    (200566271)  IY2  CCY          </t>
  </si>
  <si>
    <t xml:space="preserve">D2000-BK1A643-BAG    600KG   22027936    (200569989)  IT2  CCY          </t>
  </si>
  <si>
    <t xml:space="preserve">C2950HF-GY1291-BAG    7700KG   22031568    (200561291)  IY2  CCY          </t>
  </si>
  <si>
    <t xml:space="preserve">RCX7233-7A1D142-BAG    1000KG   22024710    (200569612)  IY2  CCY          </t>
  </si>
  <si>
    <t xml:space="preserve">C6200-7T1D306-BAG    10000KG   22035116    (200560244)  IY2  CCY          </t>
  </si>
  <si>
    <t xml:space="preserve">EXL9330-BK2E002-BAG    1000KG   22036348    (200562605)  IX2  CCY          </t>
  </si>
  <si>
    <t xml:space="preserve">EXL9134-7T2D205-BAG    2000KG   22029393    (200551356)  IX2  CCY          </t>
  </si>
  <si>
    <t xml:space="preserve">C2950HF-GY1291-BAG    1000KG   22031568    (200568282)  IY2  CCY          </t>
  </si>
  <si>
    <t xml:space="preserve">C2950HF-GY1291-BAG    1000KG   22031568    (200568264)  IY2  CCY          </t>
  </si>
  <si>
    <t xml:space="preserve">925-701-BAG    500KG   22022189    (200555908)    CCY          </t>
  </si>
  <si>
    <t xml:space="preserve">C6200-7T1D306-BAG    10400KG   22035116    (200570605)  IY2  CCY          </t>
  </si>
  <si>
    <t xml:space="preserve">RCY6214-7M1D182-BAG    20799.999KG   22040925    (200572795)  IY2  CCY          </t>
  </si>
  <si>
    <t xml:space="preserve">C2950HF-GY1291-BAG    1000KG   22031568    (200568265)  IY2  CCY          </t>
  </si>
  <si>
    <t xml:space="preserve">C2800-701-BAG    1000KG   22017334    (200560132)  IY2  CCY          </t>
  </si>
  <si>
    <t xml:space="preserve">C1200HF-GY2E337-BAG    2000KG   22031630    (200558345)    CCY          </t>
  </si>
  <si>
    <t xml:space="preserve">XCY620-BK1G372-BAG    3000KG   22041153    (200537925)  IY2  CCY          </t>
  </si>
  <si>
    <t xml:space="preserve">953-701-BAG    5000KG   22019593    (200529075)  IL2  CCY         含Br/Cl        </t>
  </si>
  <si>
    <t xml:space="preserve">C1200HF-GY1G005-BAG    3120KG   22044899    (200530678)  IY2  CCY          </t>
  </si>
  <si>
    <t xml:space="preserve">C2950HF-GY1291-BAG    1000KG   22031568    (200568221)  IY2  CCY          </t>
  </si>
  <si>
    <t xml:space="preserve">RCY6214-7M1D182-BAG    2000KG   22040925    (200567162)  IY2  CCY          </t>
  </si>
  <si>
    <t xml:space="preserve">EXL9330-GY1D675-BAG    1040KG   22036357    (200571709)  IX2  CCY          </t>
  </si>
  <si>
    <t xml:space="preserve">C1200HF-BK1G372-BAG    5200KG   22045182    (200570426)    CCY          </t>
  </si>
  <si>
    <t xml:space="preserve">C2950HF-GY1291-BAG    1000KG   22031568    (200568251)  IY2  CCY          </t>
  </si>
  <si>
    <t xml:space="preserve">CFR7630-7T1D227-BAG    2028KG   22043570    (97826663)    LXN/CCY          </t>
  </si>
  <si>
    <t xml:space="preserve">C2950HF-GY1291-BAG    1000KG   22031568    (200568283)  IY2  CCY          </t>
  </si>
  <si>
    <t xml:space="preserve">LG9000-BK1044-BAG    1000KG   22018724    (200479758)  IY2  CCY          粒子similar as LG9000-BK1044MX / _NS2禁用      </t>
  </si>
  <si>
    <t xml:space="preserve">HF1110R-701-BAG    1000KG   22023557    (200560120)    CCY          </t>
  </si>
  <si>
    <t xml:space="preserve">C2800-7T1D203-BAG    20799.999KG   22034977    (200573607)  IY2  CCY          </t>
  </si>
  <si>
    <t xml:space="preserve">WF006N-7A1A0666-SBG    1417.5KG   22098412    (200572767)  IT2  GF          </t>
  </si>
  <si>
    <t xml:space="preserve">D251RC-7A1D379-BAG    16969.25KG   22097758    (200557988)  IT2  GF          </t>
  </si>
  <si>
    <t xml:space="preserve">D151RC-7A1D378-BAG    11500KG   22097757    (200557512)  IT2  GF          </t>
  </si>
  <si>
    <t xml:space="preserve">D251RC-7A1D379-BAG    2060KG   22097758    (200573228)  IT2  GF          </t>
  </si>
  <si>
    <t xml:space="preserve">WF006N-7A1A0666-SBG    9450KG   22098412    (200567187)  IT2  GF          </t>
  </si>
  <si>
    <t xml:space="preserve">WF006N-7A1A0666-SBG    2100KG   22098412    (200567353)  IT2  GF          </t>
  </si>
  <si>
    <t xml:space="preserve">D151RC-7A1D378-BAG    1030KG   22097757    (200567215)  IT2  GF          </t>
  </si>
  <si>
    <t xml:space="preserve">D251RC-7A1D379-BAG    14986.5KG   22097758    (200565998)  IT2  GF          </t>
  </si>
  <si>
    <t xml:space="preserve">D151RC-7A1D378-BAG    1030KG   22097757    (200568227)  IT2  GF          </t>
  </si>
  <si>
    <t xml:space="preserve">D251RC-7A1D379-BAG    10300KG   22097758    (200557981)  IT2  GF          </t>
  </si>
  <si>
    <t xml:space="preserve">D251RC-7A1D379-BAG    10000KG   22097758    (200565956)  IT2  GF          </t>
  </si>
  <si>
    <t xml:space="preserve">D151RC-7A1D378-BAG    19500KG   22097757    (200566005)  IT2  GF          </t>
  </si>
  <si>
    <t xml:space="preserve">WF006N-7A1A0666-SBG    2000KG   22098412    (200567348)  IT2  GF          </t>
  </si>
  <si>
    <t xml:space="preserve">D251RC-7A1D379-BAG    5000KG   22097758    (200568661)  IT2  GF          </t>
  </si>
  <si>
    <t xml:space="preserve">D251-7A1D310-BAG    6411.75KG   22045050    (200570917)  IT2  GF          </t>
  </si>
  <si>
    <t xml:space="preserve">D151RC-7A1D378-BAG    4120KG   22097757    (200570923)  IT2  GF          </t>
  </si>
  <si>
    <t xml:space="preserve">D151RC-7A1D378-BAG    4120KG   22097757    (200570710)  IT2  GF          </t>
  </si>
  <si>
    <t xml:space="preserve">WF006N-7A1A0666-SBG    3150KG   22098412    (200571861)  IT2  GF          </t>
  </si>
  <si>
    <t xml:space="preserve">D151-7A1D317-BAG    2060KG   22046329    (200573341)  IT2  GF          </t>
  </si>
  <si>
    <t xml:space="preserve">D251RC-7A1D379-BAG    15424.25KG   22097758    (200571614)  IT2  GF          </t>
  </si>
  <si>
    <t xml:space="preserve">D151RC-7A1D378-BAG    18540KG   22097757    (200571777)  IT2  GF          </t>
  </si>
  <si>
    <t xml:space="preserve">D251RC-7A1D379-BAG    18540KG   22097758    (200571926)  IT2  GF          </t>
  </si>
  <si>
    <t xml:space="preserve">EXL9330P-BK1E649-BAG    20000KG   22035991    (92846408)    CCY          </t>
  </si>
  <si>
    <t xml:space="preserve">EXL9330-BK1A068-BAG    20600KG   22018508    (97947104)  IX1  CCY          </t>
  </si>
  <si>
    <t xml:space="preserve">EXL9330P-BK1E649-BAG    20600KG   22035991    (98019064)    CCY          </t>
  </si>
  <si>
    <t xml:space="preserve">EXL9330P-BK1E649-BAG    20600KG   22035991    (98019065)    CCY          </t>
  </si>
  <si>
    <t xml:space="preserve">C4220-76701-BAG    5000KG   22030087    (200547546)    GF          </t>
  </si>
  <si>
    <t xml:space="preserve">EXL9330P-BK1E649-BAG    20600KG   22035991    (97695097)    CCY          </t>
  </si>
  <si>
    <t xml:space="preserve">D551RC-701-SBG    10000KG   22086246    (96281789)  IT1  GF          </t>
  </si>
  <si>
    <t xml:space="preserve">DX11355-BKNAT-FBG    20000KG   22082385    (96280870)  IT1  GF          </t>
  </si>
  <si>
    <t xml:space="preserve">D451RC-7A1D376-SBG    5250KG   22097827    (200573520)  IT2  GF          </t>
  </si>
  <si>
    <t xml:space="preserve">RCP36-BK1A862-SBG    2520KG   22040918    (92477791)  IT2  GL          </t>
  </si>
  <si>
    <t xml:space="preserve">D551-701-SBG    6500KG   22032152    (200557882)  IT2  GF          </t>
  </si>
  <si>
    <t xml:space="preserve">DX11355-BKNAT-FBG    20000KG   22082385    (94691478)  IT1  GF          </t>
  </si>
  <si>
    <t xml:space="preserve">D551RC-701-SBG    10300KG   22086246    (97969593)  IT1  GF          </t>
  </si>
  <si>
    <t xml:space="preserve">3414R-739-BAG    1050KG   22021743    (200572748)    GF         含Br/Cl        </t>
  </si>
  <si>
    <t xml:space="preserve">RCP36-BK1A862-SBG    3360KG   22040918    (92477792)  IT2  GL          </t>
  </si>
  <si>
    <t xml:space="preserve">DX10311-7B1D125-SBG    5775KG   22029221    (200550412)  IT2  GF          </t>
  </si>
  <si>
    <t xml:space="preserve">DX10311-7B1D125-SBG    11655KG   22029221    (200568219)  IT2  GF          </t>
  </si>
  <si>
    <t xml:space="preserve">ML7682-BK1E214-BAG    2625KG   22032772    (200562632)  IL2  CCY         含Br/Cl        </t>
  </si>
  <si>
    <t xml:space="preserve">RL003-BK8115-FBG    1050KG   22065320    (200572157)  IT2  FR          </t>
  </si>
  <si>
    <t xml:space="preserve">WF008N-2N1A4633-    252KG   299905854    (200572680)  IT2  GF          </t>
  </si>
  <si>
    <t xml:space="preserve">D251RC-7A1D379-BAG    1000KG   22097758    (200561236)  IT2  GF          </t>
  </si>
  <si>
    <t xml:space="preserve">ML6411-BK1A382-BAG    350KG   22040674    (200570309)  IX2  CCY          粒子_confirm/NS2_No      </t>
  </si>
  <si>
    <t xml:space="preserve">500ECR-73198-BAG    1155KG   22038709    (200559108)  IL2  GF          粒子      </t>
  </si>
  <si>
    <t xml:space="preserve">6370C-7A1A3113-BAG    2100KG   22103041    (200571911)  IT2  GF          </t>
  </si>
  <si>
    <t xml:space="preserve">C2800-BK2E016-BAG    1000KG   22034993    (200568555)  IY2  CCY          </t>
  </si>
  <si>
    <t xml:space="preserve">945-7T1D298-BAG    2000KG   22031457    (200566263)  IL2  CCY          </t>
  </si>
  <si>
    <t xml:space="preserve">MC5220-7001-BAG    2100KG   22030554    (200573045)  IY2  GF          </t>
  </si>
  <si>
    <t xml:space="preserve">D251RC-7A1D379-BAG    1000KG   22097758    (200559202)  IT2  GF          </t>
  </si>
  <si>
    <t xml:space="preserve">3413R-739-SBG    315KG   22033632    (200572747)  IL2  GF         含Br/Cl        </t>
  </si>
  <si>
    <t xml:space="preserve">MC5220-7001-BAG    2000KG   22030554    (200549055)  IY2  GF          </t>
  </si>
  <si>
    <t xml:space="preserve">C1200HF-BK1E685-BAG    5250KG   22034871    (200572710)  IY2  CCY          </t>
  </si>
  <si>
    <t xml:space="preserve">223R-BK1E283-BAG    6300KG   22037756    (200571656)  IL2  LXN/CCY          </t>
  </si>
  <si>
    <t xml:space="preserve">C2950HF-BL2082-BAG    500KG   22039549    (200562555)  IY2  CCY          粒子      </t>
  </si>
  <si>
    <t xml:space="preserve">ER007485-2G2A4425-SBG    200KG   22106792    (97218312)    FARADEX          </t>
  </si>
  <si>
    <t xml:space="preserve">CX7240-7T5D172-BAG    1050KG   22085534    (200571884)  IY2  CCY          </t>
  </si>
  <si>
    <t xml:space="preserve">CX7240U-7T1D359-BAG    20000KG   22035659    (200562795)  IY2  CCY          </t>
  </si>
  <si>
    <t xml:space="preserve">DX10311-701-SBG    2050KG   22035924    (200564779)  IT2  GF          </t>
  </si>
  <si>
    <t xml:space="preserve">DF006ER-NC-SBG    1000KG   22031882    (200568292)    GF/GL          </t>
  </si>
  <si>
    <t xml:space="preserve">RFL36S-BK1A842-SBG    5250KG   22028388    (200516576)  IT2  GL          </t>
  </si>
  <si>
    <t xml:space="preserve">MC5220-7001-BAG    2100KG   22030554    (200572916)  IY2  GF          </t>
  </si>
  <si>
    <t xml:space="preserve">DEP23FXC-BK8167-SBG    300KG   22039344    (200566349)    GL          </t>
  </si>
  <si>
    <t xml:space="preserve">C2950HF-BL2082-BAG    500KG   22039549    (200562556)  IY2  CCY          粒子      </t>
  </si>
  <si>
    <t xml:space="preserve">R2000-GYMDNAT-SBG    1000KG   22041327    (200548370)  IT2  FR          </t>
  </si>
  <si>
    <t xml:space="preserve">950-701-BAG    1000KG   22022079    (200541734)    CCY         含Br/Cl        </t>
  </si>
  <si>
    <t xml:space="preserve">ER007485-2G2A4425-    1070KG   299905676    (200555813)  IT2  FARADEX          </t>
  </si>
  <si>
    <t xml:space="preserve">ER007485-2G2A4425-    428KG   299905676    (200560362)  IT2  FARADEX          </t>
  </si>
  <si>
    <t xml:space="preserve">RFP36-BK1A856-SBG    1070KG   22040935    (85966981)  IT2  GL          </t>
  </si>
  <si>
    <t xml:space="preserve">D351-GY8G224-SBG    749KG   22039324    (200571831)  IT2  GF          </t>
  </si>
  <si>
    <t xml:space="preserve">DX10311-WH6F023-SBG    2632.2KG   22035932    (200569499)  IT2  GF          </t>
  </si>
  <si>
    <t xml:space="preserve">500ECR-7T7D100-BAG    5000KG   22038711    (200561620)  IL2  GF          粒子      </t>
  </si>
  <si>
    <t xml:space="preserve">D151-7M4D046-BAG    1043.25KG   22046330    (200568337)  IT2  GF          </t>
  </si>
  <si>
    <t xml:space="preserve">D251-7A8A2874-    4253.25KG   299903056    (200558983)  IT2  GF          </t>
  </si>
  <si>
    <t xml:space="preserve">3412ECR-7G6A2073-    1524.75KG   299902403    (200567575)  IL2  GF          </t>
  </si>
  <si>
    <t xml:space="preserve">DX10311-WH6F023-SBG    2140KG   22035932    (200573501)  IT2  GF          </t>
  </si>
  <si>
    <t xml:space="preserve">EXL4419-WH9D245-BAG    1391KG   22039803    (200571823)  IX2  GF          </t>
  </si>
  <si>
    <t xml:space="preserve">CY6012-6M1D009-BAG    3025KG   22072870    (200561385)  IY2  CCY          </t>
  </si>
  <si>
    <t xml:space="preserve">D151-7M4D046-BAG    500KG   22046330    (200560256)  IT2  GF          </t>
  </si>
  <si>
    <t xml:space="preserve">WF006N-8A8A1122-SBG    1070KG   22104379    (200573528)  IT2  GF          </t>
  </si>
  <si>
    <t xml:space="preserve">BFL2010-8A5A2508-BAG    20677.751KG   22102201    (200568639)  IL2  GF          </t>
  </si>
  <si>
    <t xml:space="preserve">ML6411-7T8D707-BAG    500KG   22040673    (200555858)  IX2  CCY          粒子_confirm/NS2_No      </t>
  </si>
  <si>
    <t xml:space="preserve">WF006N-6A4A3348-SBG    1412.4KG   22104377    (200570695)  IT2  GF          </t>
  </si>
  <si>
    <t xml:space="preserve">C6600-GY9A016-BAG    1000KG   22039826    (200560089)  IY2  CCY          粒子      </t>
  </si>
  <si>
    <t xml:space="preserve">EXCY0325-NA9G167T-BAG    2140KG   22032258    (200528258)  IV2  GF          </t>
  </si>
  <si>
    <t xml:space="preserve">WF006N-8A8A1122-SBG    1000KG   22104379    (200557796)  IT2  GF          </t>
  </si>
  <si>
    <t xml:space="preserve">BPL1000-GY6E054-BAG    1000KG   22038531    (92134647)    CCY          </t>
  </si>
  <si>
    <t xml:space="preserve">EXL9330-795143-BAG    1070KG   22023123    (200571794)  IX2  CCY          </t>
  </si>
  <si>
    <t xml:space="preserve">UFL36AS-YWLTNAT-SBG    1000KG   22037570    (97081540)    GL          </t>
  </si>
  <si>
    <t xml:space="preserve">CX7240-GY8D348-BAG    2000KG   22032089    (200559286)    CCY          </t>
  </si>
  <si>
    <t xml:space="preserve">500R-WH5F014-BAG    5350KG   22033760    (200571675)    GF         含Br/Cl        </t>
  </si>
  <si>
    <t xml:space="preserve">UFL36S-BKNAT-SBG    1000KG   22041363    (86521991)  IT2  GL          </t>
  </si>
  <si>
    <t xml:space="preserve">UFL36AS-YWLTNAT-SBG    1000KG   22037570    (94493587)    GL          </t>
  </si>
  <si>
    <t xml:space="preserve">LS1-701-BAG    20000KG   22041018    (200516705)  IL2  LXN/CCY          </t>
  </si>
  <si>
    <t xml:space="preserve">CY6012-7M4D051-BAG    4000KG   22065217    (200567608)  IY2  CCY          </t>
  </si>
  <si>
    <t xml:space="preserve">LS1-701-BAG    20000KG   22041018    (200516636)  IL2  LXN/CCY          </t>
  </si>
  <si>
    <t xml:space="preserve">DX89406-BKNAT-BPK    10000KG   22039467    (92302282)  IT1  3M          </t>
  </si>
  <si>
    <t xml:space="preserve">DX11355-BKNAT-FBG    20999.999KG   22082385    (98017031)  IT1  GF          </t>
  </si>
  <si>
    <t xml:space="preserve">DX89406-BKNAT-BPK    10000KG   22039467    (92302280)  IT1  3M          </t>
  </si>
  <si>
    <t xml:space="preserve">LS1-701-BAG    20000KG   22041018    (200516678)  IL2  LXN/CCY          </t>
  </si>
  <si>
    <t xml:space="preserve">DX89406-BKNAT-BPK    10000KG   22039467    (92302277)  IT1  3M          </t>
  </si>
  <si>
    <t xml:space="preserve">DX89406-BKNAT-BPK    10000KG   22039467    (92302273)  IT1  3M          </t>
  </si>
  <si>
    <t xml:space="preserve">DX89406-BKNAT-BPK    10000KG   22039467    (92302275)  IT1  3M          </t>
  </si>
  <si>
    <t xml:space="preserve">DX89406-BKNAT-BPK    10000KG   22039467    (92302270)  IT1  3M          </t>
  </si>
  <si>
    <t xml:space="preserve">FXD171R-8A9D013X-BAG    35KG   22036504    (200569891)  IX2  LXN/CCY          </t>
  </si>
  <si>
    <t xml:space="preserve">CFR9111-7M1D204T-BAG    200KG   22045972    (200561271)  IX2  CCY          </t>
  </si>
  <si>
    <t xml:space="preserve">LUX2614-WH6G048X-BAG    175KG   22036933    (200569676)  IL2  LXN          </t>
  </si>
  <si>
    <t xml:space="preserve">BX7241-7A1D330-BAG    35KG   22072651    (200572789)  IY2  CCY          </t>
  </si>
  <si>
    <t xml:space="preserve">C1200HFC-4T7D060-    25KG   299903861    (200568816)  IT2  CCY          </t>
  </si>
  <si>
    <t xml:space="preserve">C1200HFC-4T7D060-    25KG   299903861    (200568815)  IT2  CCY          </t>
  </si>
  <si>
    <t xml:space="preserve">923-NC-BAG    50KG   22022181    (200569921)  IL2  CCY         含Br/Cl        </t>
  </si>
  <si>
    <t xml:space="preserve">241R-BR6G173-BAG    75KG   22046023    (200570237)  IL2  LXN/CCY          粒子      </t>
  </si>
  <si>
    <t xml:space="preserve">C1200HF-BL2G043-BAG    25KG   22034421    (200570238)  IY2  CCY          粒子      </t>
  </si>
  <si>
    <t xml:space="preserve">MG47-NA1000-BAG    75KG   22024011    (200570343)  IC2  CCY          </t>
  </si>
  <si>
    <t xml:space="preserve">143R-WH7D381X-BAG    175KG   22017275    (200570800)  IL2  LXN/CCY          </t>
  </si>
  <si>
    <t xml:space="preserve">LS2-414-BAG    210KG   22018729    (200570356)  IL2  LXN/CCY          粒子      </t>
  </si>
  <si>
    <t xml:space="preserve">FXD1414T-8N7D004X-BAG    70KG   22040041    (200565896)  IX2  CCY          </t>
  </si>
  <si>
    <t xml:space="preserve">CFR7630-NA8E061T-BAG    420KG   22022427    (200566482)  IX2  LXN/CCY          </t>
  </si>
  <si>
    <t xml:space="preserve">9925A-NA9E163T-BAG    280KG   22031399    (200562848)  IL2  LXN          </t>
  </si>
  <si>
    <t xml:space="preserve">953A-116-BAG    420KG   22022088    (200562606)  IL2  LXN/CCY         含Br/Cl        </t>
  </si>
  <si>
    <t xml:space="preserve">CX7240-8B6D009-BAG    35KG   22035230    (200571208)  IY2  CCY          </t>
  </si>
  <si>
    <t xml:space="preserve">C2950-YW8295S-BAG    35KG   22022286    (200571227)  IY2  CCY          </t>
  </si>
  <si>
    <t xml:space="preserve">FXD123R-WH6E008X-BAG    100KG   22045258    (200566223)  IX2  LXN/CCY          </t>
  </si>
  <si>
    <t xml:space="preserve">ML0992-2N2A3647-BAG    35KG   22106903    (200573571)  IX2      </t>
  </si>
  <si>
    <t xml:space="preserve">EXL1414-3N7A4138-    100KG   299904782    (200548438)  IX2  CCY          </t>
  </si>
  <si>
    <t xml:space="preserve">D2000P-BK1A644-BAG    70KG   22027937    (200573419)  IT2  CCY          </t>
  </si>
  <si>
    <t xml:space="preserve">LS2-6162-BAG    70KG   22018730    (200573220)  IL2  LXN/CCY          粒子  黑点    </t>
  </si>
  <si>
    <t xml:space="preserve">EXL1414-2G2A4760-    100KG   299905871    (200573500)  IX2  CCY          </t>
  </si>
  <si>
    <t xml:space="preserve">EXL9330-7T1A3165-    100KG   299903580    (200570844)  IX2  CCY          </t>
  </si>
  <si>
    <t xml:space="preserve">EXL1433T-NA8A005T-BAG    100KG   22019987    (200551150)  IX2  CCY          </t>
  </si>
  <si>
    <t xml:space="preserve">925A-7R4D001T-BAG    50KG   22034414    (200569876)  IL2  LXN/CCY          </t>
  </si>
  <si>
    <t xml:space="preserve">CY6012-7M8D042-BAG    100KG   22045378    (200569514)  IY2  CCY          粒子      </t>
  </si>
  <si>
    <t xml:space="preserve">CY6012-7M6D036-BAG    100KG   22066418    (200569475)  IY2  CCY          </t>
  </si>
  <si>
    <t xml:space="preserve">SLX2271T-NA9E166T-BAG    100KG   22024947    (200548570)  IX2  LXN/CCY          </t>
  </si>
  <si>
    <t xml:space="preserve">9925A-NA9E163T-BAG    100KG   22031399    (200570277)  IL2  LXN          </t>
  </si>
  <si>
    <t xml:space="preserve">945-7T4A4637-    35KG   299905941    (200571843)    CCY          </t>
  </si>
  <si>
    <t xml:space="preserve">ML6411-3T5D024-BAG    100KG   22040670    (200567439)    CCY         含Br/Cl  粒子_confirm/NS2_No      </t>
  </si>
  <si>
    <t xml:space="preserve">LUX9612-WH8E508X-BAG    25KG   22017108    (200562541)  IL2  LXN          </t>
  </si>
  <si>
    <t xml:space="preserve">141R-701-BAG    125KG   22021359    (200564647)  IL2  LXN/CCY          </t>
  </si>
  <si>
    <t xml:space="preserve">ER007906-2G3A4538-    200KG   299905711    (200570674)  IX2  CCY          </t>
  </si>
  <si>
    <t xml:space="preserve">EXL1414T-BK1G628-BAG    385KG   22045511    (200561346)  IX2  CCY          </t>
  </si>
  <si>
    <t xml:space="preserve">EXL9330-BL3C034-BAG    70KG   22028636    (200553774)  IX2  CCY          </t>
  </si>
  <si>
    <t xml:space="preserve">EXL9330-GY1D675-BAG    105KG   22036357    (200570445)  IX2  CCY          </t>
  </si>
  <si>
    <t xml:space="preserve">C2800-8T7D067-BAG    35KG   22034985    (200570922)  IY2  CCY          粒子      </t>
  </si>
  <si>
    <t xml:space="preserve">EXL9111-6G2A4777-    25KG   299905759    (200570944)  IX2      </t>
  </si>
  <si>
    <t xml:space="preserve">945-3T3A4127-    70KG   299905523    (200572409)  IL2  CCY          </t>
  </si>
  <si>
    <t xml:space="preserve">EXL9330-BL4D142-BAG    100KG   22039900    (200570335)  IX2  CCY          </t>
  </si>
  <si>
    <t xml:space="preserve">EXL9111-2G1A4776-    25KG   299905758    (200570893)  IX2      </t>
  </si>
  <si>
    <t xml:space="preserve">C6600-7M3D029-BAG    70KG   22031791    (200570341)  IY2  CCY          </t>
  </si>
  <si>
    <t xml:space="preserve">925A-21051-BAG    70KG   22029181    (200573551)  IL2  LXN/CCY          </t>
  </si>
  <si>
    <t xml:space="preserve">EXL1414T-WH9E305-BAG    210KG   22032378    (200570819)  IX2  CCY          </t>
  </si>
  <si>
    <t xml:space="preserve">EXL1434-WH9G202-BAG    105KG   22029383    (200570649)  IX2  CCY          </t>
  </si>
  <si>
    <t xml:space="preserve">EXL1132T-701-BAG    70KG   22017371    (200572864)  IX2  CCY          </t>
  </si>
  <si>
    <t xml:space="preserve">EXL1132T-701-BAG    70KG   22017371    (200572739)  IX2  CCY          </t>
  </si>
  <si>
    <t xml:space="preserve">945-WH9G424-BAG    100KG   22034275    (200568694)  IL2  CCY          </t>
  </si>
  <si>
    <t xml:space="preserve">945-BK2D142-BAG    100KG   22031474    (200569892)  IL2  CCY          </t>
  </si>
  <si>
    <t xml:space="preserve">CY6012-7M1D221-BAG    150KG   22074160    (200569501)  IY2  CCY          </t>
  </si>
  <si>
    <t xml:space="preserve">EXL1414-GY1G336-BAG    500KG   22028749    (200561511)  IX2  CCY          </t>
  </si>
  <si>
    <t xml:space="preserve">C6600-6B5D001-BAG    100KG   22034747    (200560344)  IY2  CCY          粒子      </t>
  </si>
  <si>
    <t xml:space="preserve">920-701-BAG    35KG   22018262    (200572968)  IL2  CCY         含Br/Cl        </t>
  </si>
  <si>
    <t xml:space="preserve">C2800-7T2D256-BAG    100KG   22031509    (200564696)  IY2  CCY          </t>
  </si>
  <si>
    <t xml:space="preserve">NL001-BK1B643-BAG    25KG   22036885    (200555884)  IT2  CCY          </t>
  </si>
  <si>
    <t xml:space="preserve">940-WH9G555-BAG    100KG   22039131    (200556893)  IL2  CCY         含Br/Cl  粒子      </t>
  </si>
  <si>
    <t xml:space="preserve">223R-BR2G132-BAG    500KG   22044053    (200548727)  IL2  LXN/CCY          </t>
  </si>
  <si>
    <t xml:space="preserve">ENH2900-WH6G038-BAG    35KG   22040325    (91762082)  IV2  CCY          </t>
  </si>
  <si>
    <t xml:space="preserve">EXL9330-8R6D007-BAG    490KG   22045549    (200571851)    CCY          </t>
  </si>
  <si>
    <t xml:space="preserve">C2950HF-GY1291-BAG    175KG   22031568    (200564632)  IY2  CCY          </t>
  </si>
  <si>
    <t xml:space="preserve">ER007906-2N2A2997-    35KG   299903243    (200572807)  IX2  CCY          </t>
  </si>
  <si>
    <t xml:space="preserve">EXL9330-WH8E554-BAG    25KG   22039935    (200566621)  IX2  CCY          </t>
  </si>
  <si>
    <t xml:space="preserve">123R-GN5G017-BAG    25KG   22044538    (200568536)  IL2  LXN/CCY          粒子      </t>
  </si>
  <si>
    <t xml:space="preserve">ER007515-1G9A3562T-    35KG   299903969    (200571695)  IX2  LXN/CCY          </t>
  </si>
  <si>
    <t xml:space="preserve">RCX7233-7A1D142-BAG    245KG   22024710    (200570473)  IY2  CCY          </t>
  </si>
  <si>
    <t xml:space="preserve">HF1110C-6M4D044-    300KG   299903309    (200561376)  IT2  LXN/CCY          </t>
  </si>
  <si>
    <t xml:space="preserve">C2950HF-6T2D025-BAG    35KG   22034628    (200573263)  IY2  CCY          </t>
  </si>
  <si>
    <t xml:space="preserve">EXL1414T-7N1A3204-    100KG   299903534    (200548479)  IX2  CCY          </t>
  </si>
  <si>
    <t xml:space="preserve">C2950-7T7D279-BAG    25KG   22044924    (200568543)  IY2  CCY          </t>
  </si>
  <si>
    <t xml:space="preserve">CFR9111-7M1D228T-BAG    300KG   22083871    (200566002)  IX2  CCY          </t>
  </si>
  <si>
    <t xml:space="preserve">945-WH5185-BAG    25KG   22038419    (200553741)  IL2  CCY          </t>
  </si>
  <si>
    <t xml:space="preserve">EXL9330-7T3D128-BAG    100KG   22036326    (200544628)  IX2  CCY          </t>
  </si>
  <si>
    <t xml:space="preserve">C2800-GY6B278-BAG    50KG   22038683    (200534803)  IY2  CCY          </t>
  </si>
  <si>
    <t xml:space="preserve">C2950HF-BK1D834-BAG    100KG   22034639    (200547469)    CCY          </t>
  </si>
  <si>
    <t xml:space="preserve">ML7694-WH8G785-BAG    300KG   22037112    (200562868)    GF         含Br/Cl        </t>
  </si>
  <si>
    <t xml:space="preserve">DX14354X-WH9G545-FBG    50KG   22080357    (200562676)  IT2  GF          </t>
  </si>
  <si>
    <t xml:space="preserve">WF006N-4A8A3915-    168KG   299904429    (200561537)  IT2  GF          </t>
  </si>
  <si>
    <t xml:space="preserve">6370C-7A7A3379-BAG    210KG   22103296    (200572679)  IT2  GF          </t>
  </si>
  <si>
    <t xml:space="preserve">420HP-1001-BAG    35KG   22033663    (200571863)  IV2  GF          </t>
  </si>
  <si>
    <t xml:space="preserve">EXCY0325-NA9G167T-BAG    35KG   22032258    (200572264)  IV2  GF          </t>
  </si>
  <si>
    <t xml:space="preserve">V4760-100-BAG    35KG   22064645    (200572658)  IV2  GF         含Br/Cl        </t>
  </si>
  <si>
    <t xml:space="preserve">NX11302-WH9E641-FBG    35KG   22082338    (200572709)  IT2  GF          </t>
  </si>
  <si>
    <t xml:space="preserve">WF009NA-7A5A4812-    28KG   299905923    (200572736)  IT2  GF          </t>
  </si>
  <si>
    <t xml:space="preserve">ER8285-701-    105KG   299904387    (200555032)  IT2      </t>
  </si>
  <si>
    <t xml:space="preserve">RFL36-NA9E042-SBG    28KG   22040933    (200569553)  IT2  GL          </t>
  </si>
  <si>
    <t xml:space="preserve">503-739-BAG    25KG   22029843    (200570342)  IL2  GF         含Br/Cl        </t>
  </si>
  <si>
    <t xml:space="preserve">ER8285-701-    35KG   299904387    (200570779)  IT2      </t>
  </si>
  <si>
    <t xml:space="preserve">DE0029-BKNAT-SBG    84KG   22030281    (200572830)  IT2  GL         含Br/Cl        </t>
  </si>
  <si>
    <t xml:space="preserve">DX10313-701-SBG    560KG   22039459    (314858258)  IT2  GF          </t>
  </si>
  <si>
    <t xml:space="preserve">503R-WH9G567-    35KG   299905810    (200573565)  IL2  GF          </t>
  </si>
  <si>
    <t xml:space="preserve">HFD4271-BR6G154-BAG    70KG   22045404    (200573340)  IX2  GF          </t>
  </si>
  <si>
    <t xml:space="preserve">WF006N-7A1A0666-SBG    336KG   22098412    (314926242)  IT2  GF          </t>
  </si>
  <si>
    <t xml:space="preserve">DF002PSI-BK1066-    35KG   299905015    (200571820)  IT2      </t>
  </si>
  <si>
    <t xml:space="preserve">HFD4271-9G7A4722-    35KG   299905791    (200571805)  IX2  GF          </t>
  </si>
  <si>
    <t xml:space="preserve">WF006N-7A1A0666-SBG    100KG   22098412    (97734046)  IT2  GF          </t>
  </si>
  <si>
    <t xml:space="preserve">WF006N-2A5A3909-    84KG   299904428    (200570657)  IT2  GF          </t>
  </si>
  <si>
    <t xml:space="preserve">EXL4419-7G7A3788-    70KG   299904414    (200571791)  IX2  GF          </t>
  </si>
  <si>
    <t xml:space="preserve">WF006N-4A8A3915-    84KG   299904429    (200570692)  IT2  GF          </t>
  </si>
  <si>
    <t xml:space="preserve">DF006ER-BK1A625-SBG    280KG   22035817    (200573476)  IT2  GF/GL          </t>
  </si>
  <si>
    <t xml:space="preserve">D151-6M2A1665-    150KG   299901854    (200559000)  IT2  GF          </t>
  </si>
  <si>
    <t xml:space="preserve">C6200-7T4D018-BAG    300KG   22038790    (200551214)  IY2  CCY          </t>
  </si>
  <si>
    <t xml:space="preserve">DFL22-BK8115-BAG    100KG   22031886    (200550045)  IT2  GL          </t>
  </si>
  <si>
    <t xml:space="preserve">500ECR-73198-BAG    210KG   22038709    (200572910)  IL2  GF          粒子      </t>
  </si>
  <si>
    <t xml:space="preserve">ER007485-6G7A4244-SBG    160KG   22106886    (200572790)  IT2  FARADEX          </t>
  </si>
  <si>
    <t xml:space="preserve">D151-7G2A4433-    25KG   299905850    (200573561)    GF          </t>
  </si>
  <si>
    <t xml:space="preserve">R2000-BK1A831-SBG    100KG   22037395    (200552287)    FR          </t>
  </si>
  <si>
    <t xml:space="preserve">420SE0-GN4B079-BAG    25KG   22033684    (200561373)    GF         含Br/Cl        </t>
  </si>
  <si>
    <t xml:space="preserve">3413R-YW7G114-SBG    224KG   22031145    (200571986)    GF         含Br/Cl        </t>
  </si>
  <si>
    <t xml:space="preserve">201R-111-BAG    20600KG   22017278    (200522273)  IL2  LXN/CCY        TEST_PO_REMARK        </t>
  </si>
  <si>
    <t>000200550052</t>
  </si>
  <si>
    <t>000200563871</t>
  </si>
  <si>
    <t>000200569749</t>
  </si>
  <si>
    <t>000200534687</t>
  </si>
  <si>
    <t>000200572893</t>
  </si>
  <si>
    <t>000200522273</t>
  </si>
  <si>
    <t>000200553466</t>
  </si>
  <si>
    <t>000200523475</t>
  </si>
  <si>
    <t>000200523474</t>
  </si>
  <si>
    <t>000200522272</t>
  </si>
  <si>
    <t>000200569810</t>
  </si>
  <si>
    <t>000200558215</t>
  </si>
  <si>
    <t>000200563816</t>
  </si>
  <si>
    <t>000200571581</t>
  </si>
  <si>
    <t>000200569685</t>
  </si>
  <si>
    <t>0097255057</t>
  </si>
  <si>
    <t>000200566093</t>
  </si>
  <si>
    <t>000200558279</t>
  </si>
  <si>
    <t>000200570597</t>
  </si>
  <si>
    <t>000200572872</t>
  </si>
  <si>
    <t>000200465970</t>
  </si>
  <si>
    <t>000200465994</t>
  </si>
  <si>
    <t>000200567455</t>
  </si>
  <si>
    <t>000200553334</t>
  </si>
  <si>
    <t>000200553505</t>
  </si>
  <si>
    <t>000200553622</t>
  </si>
  <si>
    <t>000200548511</t>
  </si>
  <si>
    <t>000200498164</t>
  </si>
  <si>
    <t>000200560057</t>
  </si>
  <si>
    <t>000200561614</t>
  </si>
  <si>
    <t>000200520048</t>
  </si>
  <si>
    <t>000200570838</t>
  </si>
  <si>
    <t>000200571726</t>
  </si>
  <si>
    <t>000200567149</t>
  </si>
  <si>
    <t>000200562924</t>
  </si>
  <si>
    <t>000200562801</t>
  </si>
  <si>
    <t>000200568680</t>
  </si>
  <si>
    <t>000200567498</t>
  </si>
  <si>
    <t>000200533826</t>
  </si>
  <si>
    <t>000200498154</t>
  </si>
  <si>
    <t>000200555837</t>
  </si>
  <si>
    <t>000200547370</t>
  </si>
  <si>
    <t>000200548772</t>
  </si>
  <si>
    <t>000200567282</t>
  </si>
  <si>
    <t>000200514578</t>
  </si>
  <si>
    <t>000200559111</t>
  </si>
  <si>
    <t>000200558103</t>
  </si>
  <si>
    <t>000200557761</t>
  </si>
  <si>
    <t>000200561283</t>
  </si>
  <si>
    <t>000200498129</t>
  </si>
  <si>
    <t>000200556059</t>
  </si>
  <si>
    <t>000200566300</t>
  </si>
  <si>
    <t>000200548434</t>
  </si>
  <si>
    <t>000200498132</t>
  </si>
  <si>
    <t>000200559146</t>
  </si>
  <si>
    <t>000200572750</t>
  </si>
  <si>
    <t>000200571976</t>
  </si>
  <si>
    <t>000200498114</t>
  </si>
  <si>
    <t>000200544340</t>
  </si>
  <si>
    <t>000200551140</t>
  </si>
  <si>
    <t>000200528496</t>
  </si>
  <si>
    <t>000200548773</t>
  </si>
  <si>
    <t>0086435844</t>
  </si>
  <si>
    <t>000200566327</t>
  </si>
  <si>
    <t>0086435845</t>
  </si>
  <si>
    <t>000200566116</t>
  </si>
  <si>
    <t>000200498133</t>
  </si>
  <si>
    <t>000200548369</t>
  </si>
  <si>
    <t>000200548380</t>
  </si>
  <si>
    <t>000200566364</t>
  </si>
  <si>
    <t>000200304498</t>
  </si>
  <si>
    <t>000200542091</t>
  </si>
  <si>
    <t>000200498168</t>
  </si>
  <si>
    <t>000200498059</t>
  </si>
  <si>
    <t>000200550097</t>
  </si>
  <si>
    <t>000200572783</t>
  </si>
  <si>
    <t>000200534768</t>
  </si>
  <si>
    <t>000200553882</t>
  </si>
  <si>
    <t>000200570258</t>
  </si>
  <si>
    <t>000200561278</t>
  </si>
  <si>
    <t>000200570259</t>
  </si>
  <si>
    <t>000200560230</t>
  </si>
  <si>
    <t>000200546332</t>
  </si>
  <si>
    <t>000200573558</t>
  </si>
  <si>
    <t>000200561545</t>
  </si>
  <si>
    <t>000200566118</t>
  </si>
  <si>
    <t>000200558170</t>
  </si>
  <si>
    <t>000200556072</t>
  </si>
  <si>
    <t>000200558169</t>
  </si>
  <si>
    <t>000200561872</t>
  </si>
  <si>
    <t>000200510569</t>
  </si>
  <si>
    <t>000200550000</t>
  </si>
  <si>
    <t>0096281545</t>
  </si>
  <si>
    <t>0096103111</t>
  </si>
  <si>
    <t>000200536239</t>
  </si>
  <si>
    <t>0096125948</t>
  </si>
  <si>
    <t>000200573471</t>
  </si>
  <si>
    <t>000200571957</t>
  </si>
  <si>
    <t>000200569617</t>
  </si>
  <si>
    <t>000200572939</t>
  </si>
  <si>
    <t>000200572811</t>
  </si>
  <si>
    <t>000200572638</t>
  </si>
  <si>
    <t>000200543497</t>
  </si>
  <si>
    <t>0082933313</t>
  </si>
  <si>
    <t>0096126398</t>
  </si>
  <si>
    <t>000200566414</t>
  </si>
  <si>
    <t>000200566284</t>
  </si>
  <si>
    <t>000200556112</t>
  </si>
  <si>
    <t>000200570796</t>
  </si>
  <si>
    <t>000200548470</t>
  </si>
  <si>
    <t>000200563831</t>
  </si>
  <si>
    <t>000200545170</t>
  </si>
  <si>
    <t>0090053025</t>
  </si>
  <si>
    <t>000200570765</t>
  </si>
  <si>
    <t>000200562455</t>
  </si>
  <si>
    <t>000200558989</t>
  </si>
  <si>
    <t>000200570750</t>
  </si>
  <si>
    <t>0097125724</t>
  </si>
  <si>
    <t>000200549284</t>
  </si>
  <si>
    <t>0097124241</t>
  </si>
  <si>
    <t>0097124242</t>
  </si>
  <si>
    <t>0097124243</t>
  </si>
  <si>
    <t>000200570619</t>
  </si>
  <si>
    <t>0097124244</t>
  </si>
  <si>
    <t>000200557139</t>
  </si>
  <si>
    <t>0097125727</t>
  </si>
  <si>
    <t>0097125729</t>
  </si>
  <si>
    <t>000200471669</t>
  </si>
  <si>
    <t>000200562501</t>
  </si>
  <si>
    <t>000200531622</t>
  </si>
  <si>
    <t>000200567148</t>
  </si>
  <si>
    <t>000200561467</t>
  </si>
  <si>
    <t>000200568586</t>
  </si>
  <si>
    <t>000200516704</t>
  </si>
  <si>
    <t>000200536212</t>
  </si>
  <si>
    <t>000200571640</t>
  </si>
  <si>
    <t>000200471705</t>
  </si>
  <si>
    <t>0098017027</t>
  </si>
  <si>
    <t>0098021561</t>
  </si>
  <si>
    <t>0098022605</t>
  </si>
  <si>
    <t>000200536265</t>
  </si>
  <si>
    <t>0095369668</t>
  </si>
  <si>
    <t>0096280953</t>
  </si>
  <si>
    <t>000200559107</t>
  </si>
  <si>
    <t>0095369669</t>
  </si>
  <si>
    <t>0095369670</t>
  </si>
  <si>
    <t>0097255631</t>
  </si>
  <si>
    <t>0097254799</t>
  </si>
  <si>
    <t>000200569487</t>
  </si>
  <si>
    <t>000200569712</t>
  </si>
  <si>
    <t>000200566086</t>
  </si>
  <si>
    <t>000200559484</t>
  </si>
  <si>
    <t>000200559401</t>
  </si>
  <si>
    <t>000200561474</t>
  </si>
  <si>
    <t>000200572897</t>
  </si>
  <si>
    <t>000200537774</t>
  </si>
  <si>
    <t>000200537143</t>
  </si>
  <si>
    <t>000200560405</t>
  </si>
  <si>
    <t>000200566012</t>
  </si>
  <si>
    <t>000200560052</t>
  </si>
  <si>
    <t>000200559116</t>
  </si>
  <si>
    <t>0097970616</t>
  </si>
  <si>
    <t>000200561602</t>
  </si>
  <si>
    <t>000200561317</t>
  </si>
  <si>
    <t>000200551018</t>
  </si>
  <si>
    <t>000200561392</t>
  </si>
  <si>
    <t>000200560290</t>
  </si>
  <si>
    <t>000200561297</t>
  </si>
  <si>
    <t>000200571835</t>
  </si>
  <si>
    <t>000200549052</t>
  </si>
  <si>
    <t>000200562908</t>
  </si>
  <si>
    <t>000200562590</t>
  </si>
  <si>
    <t>000200537058</t>
  </si>
  <si>
    <t>000200537129</t>
  </si>
  <si>
    <t>000200563002</t>
  </si>
  <si>
    <t>000200569481</t>
  </si>
  <si>
    <t>000200569650</t>
  </si>
  <si>
    <t>000200569594</t>
  </si>
  <si>
    <t>000200562519</t>
  </si>
  <si>
    <t>000200569568</t>
  </si>
  <si>
    <t>000200569622</t>
  </si>
  <si>
    <t>000200566390</t>
  </si>
  <si>
    <t>000200566001</t>
  </si>
  <si>
    <t>000200562800</t>
  </si>
  <si>
    <t>000200557070</t>
  </si>
  <si>
    <t>000200548339</t>
  </si>
  <si>
    <t>000200567368</t>
  </si>
  <si>
    <t>000200567331</t>
  </si>
  <si>
    <t>000200567180</t>
  </si>
  <si>
    <t>0096190371</t>
  </si>
  <si>
    <t>000200566043</t>
  </si>
  <si>
    <t>000200571783</t>
  </si>
  <si>
    <t>000200568159</t>
  </si>
  <si>
    <t>000200569582</t>
  </si>
  <si>
    <t>000200558799</t>
  </si>
  <si>
    <t>000200569500</t>
  </si>
  <si>
    <t>000200569536</t>
  </si>
  <si>
    <t>000200571674</t>
  </si>
  <si>
    <t>000200570593</t>
  </si>
  <si>
    <t>000200537147</t>
  </si>
  <si>
    <t>000200554759</t>
  </si>
  <si>
    <t>000200572804</t>
  </si>
  <si>
    <t>000200567078</t>
  </si>
  <si>
    <t>000200566215</t>
  </si>
  <si>
    <t>000200559980</t>
  </si>
  <si>
    <t>000200561528</t>
  </si>
  <si>
    <t>000200562685</t>
  </si>
  <si>
    <t>000200559899</t>
  </si>
  <si>
    <t>000200559959</t>
  </si>
  <si>
    <t>000200566070</t>
  </si>
  <si>
    <t>000200549100</t>
  </si>
  <si>
    <t>000200524763</t>
  </si>
  <si>
    <t>0096032102</t>
  </si>
  <si>
    <t>000200562544</t>
  </si>
  <si>
    <t>000200554547</t>
  </si>
  <si>
    <t>0098023131</t>
  </si>
  <si>
    <t>000200513088</t>
  </si>
  <si>
    <t>000200571903</t>
  </si>
  <si>
    <t>000200567454</t>
  </si>
  <si>
    <t>000200553320</t>
  </si>
  <si>
    <t>000200568771</t>
  </si>
  <si>
    <t>000200571882</t>
  </si>
  <si>
    <t>000200572915</t>
  </si>
  <si>
    <t>000200559285</t>
  </si>
  <si>
    <t>000200537813</t>
  </si>
  <si>
    <t>000200566614</t>
  </si>
  <si>
    <t>000200568576</t>
  </si>
  <si>
    <t>0088398244</t>
  </si>
  <si>
    <t>0097695062</t>
  </si>
  <si>
    <t>000200530237</t>
  </si>
  <si>
    <t>000200470140</t>
  </si>
  <si>
    <t>000200545169</t>
  </si>
  <si>
    <t>000200543766</t>
  </si>
  <si>
    <t>000200466005</t>
  </si>
  <si>
    <t>000200542985</t>
  </si>
  <si>
    <t>0094691987</t>
  </si>
  <si>
    <t>0094676108</t>
  </si>
  <si>
    <t>0094676109</t>
  </si>
  <si>
    <t>000200573478</t>
  </si>
  <si>
    <t>000200503072</t>
  </si>
  <si>
    <t>0094676110</t>
  </si>
  <si>
    <t>000200494097</t>
  </si>
  <si>
    <t>000200536187</t>
  </si>
  <si>
    <t>000200530327</t>
  </si>
  <si>
    <t>0094679206</t>
  </si>
  <si>
    <t>000200497039</t>
  </si>
  <si>
    <t>000200566206</t>
  </si>
  <si>
    <t>000200566208</t>
  </si>
  <si>
    <t>000200569596</t>
  </si>
  <si>
    <t>000200563793</t>
  </si>
  <si>
    <t>000200555876</t>
  </si>
  <si>
    <t>000200558270</t>
  </si>
  <si>
    <t>000200565969</t>
  </si>
  <si>
    <t>000200561438</t>
  </si>
  <si>
    <t>000200559418</t>
  </si>
  <si>
    <t>000200566011</t>
  </si>
  <si>
    <t>000200549174</t>
  </si>
  <si>
    <t>000200561642</t>
  </si>
  <si>
    <t>000200561489</t>
  </si>
  <si>
    <t>000200563827</t>
  </si>
  <si>
    <t>000200556078</t>
  </si>
  <si>
    <t>000200556077</t>
  </si>
  <si>
    <t>000200570756</t>
  </si>
  <si>
    <t>000200549141</t>
  </si>
  <si>
    <t>000200571900</t>
  </si>
  <si>
    <t>000200566310</t>
  </si>
  <si>
    <t>000200571881</t>
  </si>
  <si>
    <t>000200571809</t>
  </si>
  <si>
    <t>000200533869</t>
  </si>
  <si>
    <t>000200569746</t>
  </si>
  <si>
    <t>000200571796</t>
  </si>
  <si>
    <t>000200572947</t>
  </si>
  <si>
    <t>000200572927</t>
  </si>
  <si>
    <t>000200567228</t>
  </si>
  <si>
    <t>000200535943</t>
  </si>
  <si>
    <t>000200561384</t>
  </si>
  <si>
    <t>000200548667</t>
  </si>
  <si>
    <t>000200541599</t>
  </si>
  <si>
    <t>000200556019</t>
  </si>
  <si>
    <t>000200538639</t>
  </si>
  <si>
    <t>000200555859</t>
  </si>
  <si>
    <t>000200559015</t>
  </si>
  <si>
    <t>000200555846</t>
  </si>
  <si>
    <t>000200550432</t>
  </si>
  <si>
    <t>000200570667</t>
  </si>
  <si>
    <t>000200537688</t>
  </si>
  <si>
    <t>000200562420</t>
  </si>
  <si>
    <t>000200572913</t>
  </si>
  <si>
    <t>000200571047</t>
  </si>
  <si>
    <t>000200566099</t>
  </si>
  <si>
    <t>000200569911</t>
  </si>
  <si>
    <t>000200558077</t>
  </si>
  <si>
    <t>000200559979</t>
  </si>
  <si>
    <t>000200566112</t>
  </si>
  <si>
    <t>000200568360</t>
  </si>
  <si>
    <t>0092466148</t>
  </si>
  <si>
    <t>000200480859</t>
  </si>
  <si>
    <t>000200535984</t>
  </si>
  <si>
    <t>000200572951</t>
  </si>
  <si>
    <t>000200557043</t>
  </si>
  <si>
    <t>000200571849</t>
  </si>
  <si>
    <t>000200566630</t>
  </si>
  <si>
    <t>000200566171</t>
  </si>
  <si>
    <t>000200563864</t>
  </si>
  <si>
    <t>000200570895</t>
  </si>
  <si>
    <t>000200572773</t>
  </si>
  <si>
    <t>000200562665</t>
  </si>
  <si>
    <t>000200572917</t>
  </si>
  <si>
    <t>000200568209</t>
  </si>
  <si>
    <t>000200513875</t>
  </si>
  <si>
    <t>000200569533</t>
  </si>
  <si>
    <t>000200559419</t>
  </si>
  <si>
    <t>000200565900</t>
  </si>
  <si>
    <t>000200558967</t>
  </si>
  <si>
    <t>000200559280</t>
  </si>
  <si>
    <t>000200568367</t>
  </si>
  <si>
    <t>000200560083</t>
  </si>
  <si>
    <t>000200556135</t>
  </si>
  <si>
    <t>000200562661</t>
  </si>
  <si>
    <t>000200570757</t>
  </si>
  <si>
    <t>000200568722</t>
  </si>
  <si>
    <t>000200529057</t>
  </si>
  <si>
    <t>000200567550</t>
  </si>
  <si>
    <t>000200571892</t>
  </si>
  <si>
    <t>000200567161</t>
  </si>
  <si>
    <t>000200570678</t>
  </si>
  <si>
    <t>000200570825</t>
  </si>
  <si>
    <t>000200568298</t>
  </si>
  <si>
    <t>000200562828</t>
  </si>
  <si>
    <t>000200513876</t>
  </si>
  <si>
    <t>000200566107</t>
  </si>
  <si>
    <t>000200538637</t>
  </si>
  <si>
    <t>000200568158</t>
  </si>
  <si>
    <t>000200569497</t>
  </si>
  <si>
    <t>000200555877</t>
  </si>
  <si>
    <t>000200498192</t>
  </si>
  <si>
    <t>000200555919</t>
  </si>
  <si>
    <t>000200562402</t>
  </si>
  <si>
    <t>000200571613</t>
  </si>
  <si>
    <t>000200526321</t>
  </si>
  <si>
    <t>000200572983</t>
  </si>
  <si>
    <t>000200572901</t>
  </si>
  <si>
    <t>000200568765</t>
  </si>
  <si>
    <t>000200566315</t>
  </si>
  <si>
    <t>000200562757</t>
  </si>
  <si>
    <t>000200558001</t>
  </si>
  <si>
    <t>000200558045</t>
  </si>
  <si>
    <t>000200549057</t>
  </si>
  <si>
    <t>000200567340</t>
  </si>
  <si>
    <t>000200550250</t>
  </si>
  <si>
    <t>000200545606</t>
  </si>
  <si>
    <t>000200548634</t>
  </si>
  <si>
    <t>000200570824</t>
  </si>
  <si>
    <t>0096245775</t>
  </si>
  <si>
    <t>000200470262</t>
  </si>
  <si>
    <t>000200563832</t>
  </si>
  <si>
    <t>000200563863</t>
  </si>
  <si>
    <t>000200559182</t>
  </si>
  <si>
    <t>000200559302</t>
  </si>
  <si>
    <t>000200559265</t>
  </si>
  <si>
    <t>000200538817</t>
  </si>
  <si>
    <t>000200561367</t>
  </si>
  <si>
    <t>000200548418</t>
  </si>
  <si>
    <t>000200530684</t>
  </si>
  <si>
    <t>000200562520</t>
  </si>
  <si>
    <t>000200566114</t>
  </si>
  <si>
    <t>000200559319</t>
  </si>
  <si>
    <t>000200497136</t>
  </si>
  <si>
    <t>000200528588</t>
  </si>
  <si>
    <t>000200554958</t>
  </si>
  <si>
    <t>000200560310</t>
  </si>
  <si>
    <t>000200555913</t>
  </si>
  <si>
    <t>000200531650</t>
  </si>
  <si>
    <t>000200562502</t>
  </si>
  <si>
    <t>000200561484</t>
  </si>
  <si>
    <t>000200562569</t>
  </si>
  <si>
    <t>000200567542</t>
  </si>
  <si>
    <t>000200551243</t>
  </si>
  <si>
    <t>000200569519</t>
  </si>
  <si>
    <t>000200500465</t>
  </si>
  <si>
    <t>000200572049</t>
  </si>
  <si>
    <t>000200572752</t>
  </si>
  <si>
    <t>000200572819</t>
  </si>
  <si>
    <t>000200503093</t>
  </si>
  <si>
    <t>000200569479</t>
  </si>
  <si>
    <t>000200567220</t>
  </si>
  <si>
    <t>000200567423</t>
  </si>
  <si>
    <t>000200562536</t>
  </si>
  <si>
    <t>0096103514</t>
  </si>
  <si>
    <t>000200548537</t>
  </si>
  <si>
    <t>0097968549</t>
  </si>
  <si>
    <t>000200559093</t>
  </si>
  <si>
    <t>0094674075</t>
  </si>
  <si>
    <t>000200559001</t>
  </si>
  <si>
    <t>0098019066</t>
  </si>
  <si>
    <t>0098017024</t>
  </si>
  <si>
    <t>000200560280</t>
  </si>
  <si>
    <t>0097950077</t>
  </si>
  <si>
    <t>000200554800</t>
  </si>
  <si>
    <t>000200570694</t>
  </si>
  <si>
    <t>000200572851</t>
  </si>
  <si>
    <t>000200558932</t>
  </si>
  <si>
    <t>000200546344</t>
  </si>
  <si>
    <t>0096286256</t>
  </si>
  <si>
    <t>0097968550</t>
  </si>
  <si>
    <t>000200567371</t>
  </si>
  <si>
    <t>000200567462</t>
  </si>
  <si>
    <t>000200566193</t>
  </si>
  <si>
    <t>0094716356</t>
  </si>
  <si>
    <t>000200554584</t>
  </si>
  <si>
    <t>000200558229</t>
  </si>
  <si>
    <t>000200568250</t>
  </si>
  <si>
    <t>000200568374</t>
  </si>
  <si>
    <t>000200549387</t>
  </si>
  <si>
    <t>0097251086</t>
  </si>
  <si>
    <t>000200570610</t>
  </si>
  <si>
    <t>000200566044</t>
  </si>
  <si>
    <t>0097928547</t>
  </si>
  <si>
    <t>0096018769</t>
  </si>
  <si>
    <t>000200570429</t>
  </si>
  <si>
    <t>000200508439</t>
  </si>
  <si>
    <t>000200572761</t>
  </si>
  <si>
    <t>000200542705</t>
  </si>
  <si>
    <t>0092464767</t>
  </si>
  <si>
    <t>000200541939</t>
  </si>
  <si>
    <t>000200551407</t>
  </si>
  <si>
    <t>000200571734</t>
  </si>
  <si>
    <t>000200571753</t>
  </si>
  <si>
    <t>000200568306</t>
  </si>
  <si>
    <t>0092464768</t>
  </si>
  <si>
    <t>000200560374</t>
  </si>
  <si>
    <t>000200569589</t>
  </si>
  <si>
    <t>000200572810</t>
  </si>
  <si>
    <t>000200570866</t>
  </si>
  <si>
    <t>0096016250</t>
  </si>
  <si>
    <t>000200563800</t>
  </si>
  <si>
    <t>000200558028</t>
  </si>
  <si>
    <t>0092464769</t>
  </si>
  <si>
    <t>000200552313</t>
  </si>
  <si>
    <t>000200504557</t>
  </si>
  <si>
    <t>000200553712</t>
  </si>
  <si>
    <t>000200552399</t>
  </si>
  <si>
    <t>000200568706</t>
  </si>
  <si>
    <t>000200491998</t>
  </si>
  <si>
    <t>000200491997</t>
  </si>
  <si>
    <t>000200571875</t>
  </si>
  <si>
    <t>000200572945</t>
  </si>
  <si>
    <t>000200491976</t>
  </si>
  <si>
    <t>0092302298</t>
  </si>
  <si>
    <t>0092302299</t>
  </si>
  <si>
    <t>0092302300</t>
  </si>
  <si>
    <t>0092302296</t>
  </si>
  <si>
    <t>0092302297</t>
  </si>
  <si>
    <t>0092302295</t>
  </si>
  <si>
    <t>0092302294</t>
  </si>
  <si>
    <t>0092302293</t>
  </si>
  <si>
    <t>0092302290</t>
  </si>
  <si>
    <t>0092302291</t>
  </si>
  <si>
    <t>0092302292</t>
  </si>
  <si>
    <t>000200548411</t>
  </si>
  <si>
    <t>000200547798</t>
  </si>
  <si>
    <t>000200552705</t>
  </si>
  <si>
    <t>000200554457</t>
  </si>
  <si>
    <t>000200557918</t>
  </si>
  <si>
    <t>000200568547</t>
  </si>
  <si>
    <t>000200562417</t>
  </si>
  <si>
    <t>000200562512</t>
  </si>
  <si>
    <t>000200562523</t>
  </si>
  <si>
    <t>000200565972</t>
  </si>
  <si>
    <t>000200545549</t>
  </si>
  <si>
    <t>000200572955</t>
  </si>
  <si>
    <t>000200568612</t>
  </si>
  <si>
    <t>000200502901</t>
  </si>
  <si>
    <t>000200555946</t>
  </si>
  <si>
    <t>0098017032</t>
  </si>
  <si>
    <t>000200571662</t>
  </si>
  <si>
    <t>000200559480</t>
  </si>
  <si>
    <t>000200562407</t>
  </si>
  <si>
    <t>000200544477</t>
  </si>
  <si>
    <t>000200568534</t>
  </si>
  <si>
    <t>000200551360</t>
  </si>
  <si>
    <t>000200554492</t>
  </si>
  <si>
    <t>000200562460</t>
  </si>
  <si>
    <t>000200562484</t>
  </si>
  <si>
    <t>000200546328</t>
  </si>
  <si>
    <t>000200554493</t>
  </si>
  <si>
    <t>000200561389</t>
  </si>
  <si>
    <t>000200562701</t>
  </si>
  <si>
    <t>000200566045</t>
  </si>
  <si>
    <t>000200544478</t>
  </si>
  <si>
    <t>0097733002</t>
  </si>
  <si>
    <t>0095342795</t>
  </si>
  <si>
    <t>000200571668</t>
  </si>
  <si>
    <t>0097120976</t>
  </si>
  <si>
    <t>000200571844</t>
  </si>
  <si>
    <t>0097120977</t>
  </si>
  <si>
    <t>000200571792</t>
  </si>
  <si>
    <t>000200558005</t>
  </si>
  <si>
    <t>000200571970</t>
  </si>
  <si>
    <t>000200554525</t>
  </si>
  <si>
    <t>000200568608</t>
  </si>
  <si>
    <t>000200568602</t>
  </si>
  <si>
    <t>000200568605</t>
  </si>
  <si>
    <t>000200568572</t>
  </si>
  <si>
    <t>000200568604</t>
  </si>
  <si>
    <t>000200557933</t>
  </si>
  <si>
    <t>0093290780</t>
  </si>
  <si>
    <t>000200568746</t>
  </si>
  <si>
    <t>000200566380</t>
  </si>
  <si>
    <t>0093290781</t>
  </si>
  <si>
    <t>000200559196</t>
  </si>
  <si>
    <t>0093290782</t>
  </si>
  <si>
    <t>000200497208</t>
  </si>
  <si>
    <t>0097832541</t>
  </si>
  <si>
    <t>000200568296</t>
  </si>
  <si>
    <t>000200553500</t>
  </si>
  <si>
    <t>0085806441</t>
  </si>
  <si>
    <t>0082962837</t>
  </si>
  <si>
    <t>0082962838</t>
  </si>
  <si>
    <t>0082962870</t>
  </si>
  <si>
    <t>000200497262</t>
  </si>
  <si>
    <t>000200570066</t>
  </si>
  <si>
    <t>000200553562</t>
  </si>
  <si>
    <t>0097733803</t>
  </si>
  <si>
    <t>000200508722</t>
  </si>
  <si>
    <t>000200497209</t>
  </si>
  <si>
    <t>0097251247</t>
  </si>
  <si>
    <t>000200497210</t>
  </si>
  <si>
    <t>000200568626</t>
  </si>
  <si>
    <t>000200545534</t>
  </si>
  <si>
    <t>000200519091</t>
  </si>
  <si>
    <t>000200560020</t>
  </si>
  <si>
    <t>000200561343</t>
  </si>
  <si>
    <t>000200572045</t>
  </si>
  <si>
    <t>000200568609</t>
  </si>
  <si>
    <t>000200555794</t>
  </si>
  <si>
    <t>000200497126</t>
  </si>
  <si>
    <t>000200570718</t>
  </si>
  <si>
    <t>000200569692</t>
  </si>
  <si>
    <t>000200566227</t>
  </si>
  <si>
    <t>0096280868</t>
  </si>
  <si>
    <t>0082962864</t>
  </si>
  <si>
    <t>0082962875</t>
  </si>
  <si>
    <t>0082962848</t>
  </si>
  <si>
    <t>0082962849</t>
  </si>
  <si>
    <t>000200537177</t>
  </si>
  <si>
    <t>000200572803</t>
  </si>
  <si>
    <t>0082962853</t>
  </si>
  <si>
    <t>0082962852</t>
  </si>
  <si>
    <t>0082962851</t>
  </si>
  <si>
    <t>0082962850</t>
  </si>
  <si>
    <t>0071618761</t>
  </si>
  <si>
    <t>0082957941</t>
  </si>
  <si>
    <t>0082957942</t>
  </si>
  <si>
    <t>0090054452</t>
  </si>
  <si>
    <t>0097947103</t>
  </si>
  <si>
    <t>000200537202</t>
  </si>
  <si>
    <t>0082962876</t>
  </si>
  <si>
    <t>0082962877</t>
  </si>
  <si>
    <t>0082962878</t>
  </si>
  <si>
    <t>0082962879</t>
  </si>
  <si>
    <t>000200537264</t>
  </si>
  <si>
    <t>0082962880</t>
  </si>
  <si>
    <t>000200547619</t>
  </si>
  <si>
    <t>000200557894</t>
  </si>
  <si>
    <t>000200557896</t>
  </si>
  <si>
    <t>000200557895</t>
  </si>
  <si>
    <t>000200557900</t>
  </si>
  <si>
    <t>000200568539</t>
  </si>
  <si>
    <t>000200557899</t>
  </si>
  <si>
    <t>000200529111</t>
  </si>
  <si>
    <t>000200568715</t>
  </si>
  <si>
    <t>0097218306</t>
  </si>
  <si>
    <t>000200570813</t>
  </si>
  <si>
    <t>0093290248</t>
  </si>
  <si>
    <t>000200558064</t>
  </si>
  <si>
    <t>0096016715</t>
  </si>
  <si>
    <t>0097218307</t>
  </si>
  <si>
    <t>000200555906</t>
  </si>
  <si>
    <t>000200560180</t>
  </si>
  <si>
    <t>000200527627</t>
  </si>
  <si>
    <t>0097101193</t>
  </si>
  <si>
    <t>0097218308</t>
  </si>
  <si>
    <t>000200497370</t>
  </si>
  <si>
    <t>0097926621</t>
  </si>
  <si>
    <t>000200446072</t>
  </si>
  <si>
    <t>0097218309</t>
  </si>
  <si>
    <t>000200570811</t>
  </si>
  <si>
    <t>000200570279</t>
  </si>
  <si>
    <t>000200570812</t>
  </si>
  <si>
    <t>000200569633</t>
  </si>
  <si>
    <t>000200552762</t>
  </si>
  <si>
    <t>000200552763</t>
  </si>
  <si>
    <t>000200552681</t>
  </si>
  <si>
    <t>000200566100</t>
  </si>
  <si>
    <t>000200559318</t>
  </si>
  <si>
    <t>000200559462</t>
  </si>
  <si>
    <t>000200531578</t>
  </si>
  <si>
    <t>000200531580</t>
  </si>
  <si>
    <t>000200564878</t>
  </si>
  <si>
    <t>000200572712</t>
  </si>
  <si>
    <t>000200497123</t>
  </si>
  <si>
    <t>000200500299</t>
  </si>
  <si>
    <t>000200571712</t>
  </si>
  <si>
    <t>000200571708</t>
  </si>
  <si>
    <t>000200573026</t>
  </si>
  <si>
    <t>0097218310</t>
  </si>
  <si>
    <t>000200566060</t>
  </si>
  <si>
    <t>000200559106</t>
  </si>
  <si>
    <t>000200561723</t>
  </si>
  <si>
    <t>0094727000</t>
  </si>
  <si>
    <t>000200558139</t>
  </si>
  <si>
    <t>000200548766</t>
  </si>
  <si>
    <t>000200573466</t>
  </si>
  <si>
    <t>0096247168</t>
  </si>
  <si>
    <t>000200497052</t>
  </si>
  <si>
    <t>0097218311</t>
  </si>
  <si>
    <t>000200570608</t>
  </si>
  <si>
    <t>000200497053</t>
  </si>
  <si>
    <t>000200571685</t>
  </si>
  <si>
    <t>000200497104</t>
  </si>
  <si>
    <t>000200497054</t>
  </si>
  <si>
    <t>000200555836</t>
  </si>
  <si>
    <t>000200555835</t>
  </si>
  <si>
    <t>000200500576</t>
  </si>
  <si>
    <t>000200568585</t>
  </si>
  <si>
    <t>000200572861</t>
  </si>
  <si>
    <t>000200568584</t>
  </si>
  <si>
    <t>000200568513</t>
  </si>
  <si>
    <t>000200568583</t>
  </si>
  <si>
    <t>000200568514</t>
  </si>
  <si>
    <t>000200526353</t>
  </si>
  <si>
    <t>000200526354</t>
  </si>
  <si>
    <t>000200526409</t>
  </si>
  <si>
    <t>000200537101</t>
  </si>
  <si>
    <t>000200497069</t>
  </si>
  <si>
    <t>000200561877</t>
  </si>
  <si>
    <t>0094699040</t>
  </si>
  <si>
    <t>0094699041</t>
  </si>
  <si>
    <t>000200559993</t>
  </si>
  <si>
    <t>000200559207</t>
  </si>
  <si>
    <t>000200570901</t>
  </si>
  <si>
    <t>000200549460</t>
  </si>
  <si>
    <t>0094678264</t>
  </si>
  <si>
    <t>0096219574</t>
  </si>
  <si>
    <t>0094678265</t>
  </si>
  <si>
    <t>0094678266</t>
  </si>
  <si>
    <t>000200572909</t>
  </si>
  <si>
    <t>000200549461</t>
  </si>
  <si>
    <t>000200497070</t>
  </si>
  <si>
    <t>0088398245</t>
  </si>
  <si>
    <t>0094700527</t>
  </si>
  <si>
    <t>0094700528</t>
  </si>
  <si>
    <t>0094700529</t>
  </si>
  <si>
    <t>0094700530</t>
  </si>
  <si>
    <t>0094700531</t>
  </si>
  <si>
    <t>000200569647</t>
  </si>
  <si>
    <t>0094699063</t>
  </si>
  <si>
    <t>0094699057</t>
  </si>
  <si>
    <t>0094699056</t>
  </si>
  <si>
    <t>000200547654</t>
  </si>
  <si>
    <t>000200553481</t>
  </si>
  <si>
    <t>000200438844</t>
  </si>
  <si>
    <t>000200560639</t>
  </si>
  <si>
    <t>000200562434</t>
  </si>
  <si>
    <t>000200572965</t>
  </si>
  <si>
    <t>000200510608</t>
  </si>
  <si>
    <t>000200569457</t>
  </si>
  <si>
    <t>000200525722</t>
  </si>
  <si>
    <t>000200478881</t>
  </si>
  <si>
    <t>000200538948</t>
  </si>
  <si>
    <t>000200539042</t>
  </si>
  <si>
    <t>000200568554</t>
  </si>
  <si>
    <t>000200556116</t>
  </si>
  <si>
    <t>000200503118</t>
  </si>
  <si>
    <t>000200547393</t>
  </si>
  <si>
    <t>000200505772</t>
  </si>
  <si>
    <t>000200568517</t>
  </si>
  <si>
    <t>000200547417</t>
  </si>
  <si>
    <t>000200538947</t>
  </si>
  <si>
    <t>000200531796</t>
  </si>
  <si>
    <t>000200550422</t>
  </si>
  <si>
    <t>000200550423</t>
  </si>
  <si>
    <t>000200557227</t>
  </si>
  <si>
    <t>000200470141</t>
  </si>
  <si>
    <t>0085647844</t>
  </si>
  <si>
    <t>000200502927</t>
  </si>
  <si>
    <t>000200570731</t>
  </si>
  <si>
    <t>000200560189</t>
  </si>
  <si>
    <t>000200572812</t>
  </si>
  <si>
    <t>000200529089</t>
  </si>
  <si>
    <t>000200509387</t>
  </si>
  <si>
    <t>000200553646</t>
  </si>
  <si>
    <t>000200561488</t>
  </si>
  <si>
    <t>000200528331</t>
  </si>
  <si>
    <t>000200572832</t>
  </si>
  <si>
    <t>000200570614</t>
  </si>
  <si>
    <t>000200568720</t>
  </si>
  <si>
    <t>000200504666</t>
  </si>
  <si>
    <t>000200567244</t>
  </si>
  <si>
    <t>0094699042</t>
  </si>
  <si>
    <t>0094699043</t>
  </si>
  <si>
    <t>000200568592</t>
  </si>
  <si>
    <t>0082962869</t>
  </si>
  <si>
    <t>000200560221</t>
  </si>
  <si>
    <t>000200504690</t>
  </si>
  <si>
    <t>0094678267</t>
  </si>
  <si>
    <t>0082962847</t>
  </si>
  <si>
    <t>0082962846</t>
  </si>
  <si>
    <t>0082962845</t>
  </si>
  <si>
    <t>0082962835</t>
  </si>
  <si>
    <t>0082962836</t>
  </si>
  <si>
    <t>0094678268</t>
  </si>
  <si>
    <t>0094678269</t>
  </si>
  <si>
    <t>000200559251</t>
  </si>
  <si>
    <t>0094678270</t>
  </si>
  <si>
    <t>000200570836</t>
  </si>
  <si>
    <t>0094678271</t>
  </si>
  <si>
    <t>0094700208</t>
  </si>
  <si>
    <t>0094678272</t>
  </si>
  <si>
    <t>0094678273</t>
  </si>
  <si>
    <t>000200504766</t>
  </si>
  <si>
    <t>0082957931</t>
  </si>
  <si>
    <t>0082962884</t>
  </si>
  <si>
    <t>0094700209</t>
  </si>
  <si>
    <t>0094699062</t>
  </si>
  <si>
    <t>000200570740</t>
  </si>
  <si>
    <t>0094699061</t>
  </si>
  <si>
    <t>0094699060</t>
  </si>
  <si>
    <t>0094699059</t>
  </si>
  <si>
    <t>0094699058</t>
  </si>
  <si>
    <t>0094699055</t>
  </si>
  <si>
    <t>0094699054</t>
  </si>
  <si>
    <t>0094699053</t>
  </si>
  <si>
    <t>0094699052</t>
  </si>
  <si>
    <t>0094699051</t>
  </si>
  <si>
    <t>0094699049</t>
  </si>
  <si>
    <t>0094699050</t>
  </si>
  <si>
    <t>000200568551</t>
  </si>
  <si>
    <t>000200534693</t>
  </si>
  <si>
    <t>000200559805</t>
  </si>
  <si>
    <t>000200498112</t>
  </si>
  <si>
    <t>000200557983</t>
  </si>
  <si>
    <t>000200557982</t>
  </si>
  <si>
    <t>000200557841</t>
  </si>
  <si>
    <t>000200568593</t>
  </si>
  <si>
    <t>000200557919</t>
  </si>
  <si>
    <t>000200533839</t>
  </si>
  <si>
    <t>000200539706</t>
  </si>
  <si>
    <t>000200571999</t>
  </si>
  <si>
    <t>000200502316</t>
  </si>
  <si>
    <t>000200547735</t>
  </si>
  <si>
    <t>000200548508</t>
  </si>
  <si>
    <t>000200550037</t>
  </si>
  <si>
    <t>000200553373</t>
  </si>
  <si>
    <t>000200541157</t>
  </si>
  <si>
    <t>000200496387</t>
  </si>
  <si>
    <t>000200568587</t>
  </si>
  <si>
    <t>000200470305</t>
  </si>
  <si>
    <t>000200553469</t>
  </si>
  <si>
    <t>000200560022</t>
  </si>
  <si>
    <t>000200560391</t>
  </si>
  <si>
    <t>000200568588</t>
  </si>
  <si>
    <t>000200537204</t>
  </si>
  <si>
    <t>000200554522</t>
  </si>
  <si>
    <t>0094692688</t>
  </si>
  <si>
    <t>000200568589</t>
  </si>
  <si>
    <t>000200568591</t>
  </si>
  <si>
    <t>000200562500</t>
  </si>
  <si>
    <t>000200544598</t>
  </si>
  <si>
    <t>000200549493</t>
  </si>
  <si>
    <t>000200521960</t>
  </si>
  <si>
    <t>000200551142</t>
  </si>
  <si>
    <t>000200508695</t>
  </si>
  <si>
    <t>000200551079</t>
  </si>
  <si>
    <t>000200549471</t>
  </si>
  <si>
    <t>0094692789</t>
  </si>
  <si>
    <t>0094692790</t>
  </si>
  <si>
    <t>000200568504</t>
  </si>
  <si>
    <t>000200549400</t>
  </si>
  <si>
    <t>000200570846</t>
  </si>
  <si>
    <t>000200496374</t>
  </si>
  <si>
    <t>000200561871</t>
  </si>
  <si>
    <t>000200558256</t>
  </si>
  <si>
    <t>000200549507</t>
  </si>
  <si>
    <t>000200551123</t>
  </si>
  <si>
    <t>000200566296</t>
  </si>
  <si>
    <t>000200549528</t>
  </si>
  <si>
    <t>000200558282</t>
  </si>
  <si>
    <t>000200520422</t>
  </si>
  <si>
    <t>000200551017</t>
  </si>
  <si>
    <t>0094714325</t>
  </si>
  <si>
    <t>000200549459</t>
  </si>
  <si>
    <t>000200570942</t>
  </si>
  <si>
    <t>000200540824</t>
  </si>
  <si>
    <t>000200558326</t>
  </si>
  <si>
    <t>000200570896</t>
  </si>
  <si>
    <t>000200566332</t>
  </si>
  <si>
    <t>000200539808</t>
  </si>
  <si>
    <t>000200538791</t>
  </si>
  <si>
    <t>000200558235</t>
  </si>
  <si>
    <t>000200566150</t>
  </si>
  <si>
    <t>000200537625</t>
  </si>
  <si>
    <t>000200535117</t>
  </si>
  <si>
    <t>000200558300</t>
  </si>
  <si>
    <t>0094692791</t>
  </si>
  <si>
    <t>000200558314</t>
  </si>
  <si>
    <t>0090033780</t>
  </si>
  <si>
    <t>0094714326</t>
  </si>
  <si>
    <t>000200508774</t>
  </si>
  <si>
    <t>0097125725</t>
  </si>
  <si>
    <t>000200537540</t>
  </si>
  <si>
    <t>0097124245</t>
  </si>
  <si>
    <t>0097125726</t>
  </si>
  <si>
    <t>0097125728</t>
  </si>
  <si>
    <t>000200514393</t>
  </si>
  <si>
    <t>000200496048</t>
  </si>
  <si>
    <t>000200559224</t>
  </si>
  <si>
    <t>000200546601</t>
  </si>
  <si>
    <t>000200549127</t>
  </si>
  <si>
    <t>000200540940</t>
  </si>
  <si>
    <t>000200496049</t>
  </si>
  <si>
    <t>000200540939</t>
  </si>
  <si>
    <t>000200571897</t>
  </si>
  <si>
    <t>000200572711</t>
  </si>
  <si>
    <t>000200566102</t>
  </si>
  <si>
    <t>000200530593</t>
  </si>
  <si>
    <t>000200559494</t>
  </si>
  <si>
    <t>000200534747</t>
  </si>
  <si>
    <t>000200570311</t>
  </si>
  <si>
    <t>000200559058</t>
  </si>
  <si>
    <t>000200549506</t>
  </si>
  <si>
    <t>000200550336</t>
  </si>
  <si>
    <t>000200421463</t>
  </si>
  <si>
    <t>000200569564</t>
  </si>
  <si>
    <t>000200509337</t>
  </si>
  <si>
    <t>000200528316</t>
  </si>
  <si>
    <t>000200536980</t>
  </si>
  <si>
    <t>000200571994</t>
  </si>
  <si>
    <t>000200572866</t>
  </si>
  <si>
    <t>000200543585</t>
  </si>
  <si>
    <t>000200571800</t>
  </si>
  <si>
    <t>000200534777</t>
  </si>
  <si>
    <t>000200552699</t>
  </si>
  <si>
    <t>000200571743</t>
  </si>
  <si>
    <t>000200566336</t>
  </si>
  <si>
    <t>000200554902</t>
  </si>
  <si>
    <t>000200548737</t>
  </si>
  <si>
    <t>000200573431</t>
  </si>
  <si>
    <t>000200551271</t>
  </si>
  <si>
    <t>000200572806</t>
  </si>
  <si>
    <t>000200568362</t>
  </si>
  <si>
    <t>000200523571</t>
  </si>
  <si>
    <t>000200570637</t>
  </si>
  <si>
    <t>000200554900</t>
  </si>
  <si>
    <t>000200421445</t>
  </si>
  <si>
    <t>000200549117</t>
  </si>
  <si>
    <t>000200573474</t>
  </si>
  <si>
    <t>000200426612</t>
  </si>
  <si>
    <t>000200530651</t>
  </si>
  <si>
    <t>000200570669</t>
  </si>
  <si>
    <t>000200570609</t>
  </si>
  <si>
    <t>0086435842</t>
  </si>
  <si>
    <t>000200571750</t>
  </si>
  <si>
    <t>000200561340</t>
  </si>
  <si>
    <t>000200569752</t>
  </si>
  <si>
    <t>000200421444</t>
  </si>
  <si>
    <t>000200559171</t>
  </si>
  <si>
    <t>000200559384</t>
  </si>
  <si>
    <t>000200495973</t>
  </si>
  <si>
    <t>000200570789</t>
  </si>
  <si>
    <t>000200570751</t>
  </si>
  <si>
    <t>000200572854</t>
  </si>
  <si>
    <t>000200572730</t>
  </si>
  <si>
    <t>000200560498</t>
  </si>
  <si>
    <t>000200553512</t>
  </si>
  <si>
    <t>000200559103</t>
  </si>
  <si>
    <t>000200552671</t>
  </si>
  <si>
    <t>000200559194</t>
  </si>
  <si>
    <t>000200547389</t>
  </si>
  <si>
    <t>000200547386</t>
  </si>
  <si>
    <t>000200561395</t>
  </si>
  <si>
    <t>000200555886</t>
  </si>
  <si>
    <t>000200556945</t>
  </si>
  <si>
    <t>000200555838</t>
  </si>
  <si>
    <t>000200532614</t>
  </si>
  <si>
    <t>000200548391</t>
  </si>
  <si>
    <t>000200560086</t>
  </si>
  <si>
    <t>000200570253</t>
  </si>
  <si>
    <t>000200560553</t>
  </si>
  <si>
    <t>000200520325</t>
  </si>
  <si>
    <t>000200545310</t>
  </si>
  <si>
    <t>000200558913</t>
  </si>
  <si>
    <t>000200568596</t>
  </si>
  <si>
    <t>000200571724</t>
  </si>
  <si>
    <t>000200558953</t>
  </si>
  <si>
    <t>000200547362</t>
  </si>
  <si>
    <t>000200552603</t>
  </si>
  <si>
    <t>000200516769</t>
  </si>
  <si>
    <t>000200562896</t>
  </si>
  <si>
    <t>000200547544</t>
  </si>
  <si>
    <t>000200557910</t>
  </si>
  <si>
    <t>000200560229</t>
  </si>
  <si>
    <t>000200540749</t>
  </si>
  <si>
    <t>000200571924</t>
  </si>
  <si>
    <t>000200559303</t>
  </si>
  <si>
    <t>000200549232</t>
  </si>
  <si>
    <t>000200568689</t>
  </si>
  <si>
    <t>000200554481</t>
  </si>
  <si>
    <t>000200547276</t>
  </si>
  <si>
    <t>000200548672</t>
  </si>
  <si>
    <t>000200553703</t>
  </si>
  <si>
    <t>000200556947</t>
  </si>
  <si>
    <t>000200561468</t>
  </si>
  <si>
    <t>000200567369</t>
  </si>
  <si>
    <t>000200568498</t>
  </si>
  <si>
    <t>000200570729</t>
  </si>
  <si>
    <t>000200568619</t>
  </si>
  <si>
    <t>000200567120</t>
  </si>
  <si>
    <t>000200572957</t>
  </si>
  <si>
    <t>000200571854</t>
  </si>
  <si>
    <t>000200571845</t>
  </si>
  <si>
    <t>000200569580</t>
  </si>
  <si>
    <t>000200564671</t>
  </si>
  <si>
    <t>000200554982</t>
  </si>
  <si>
    <t>000200532750</t>
  </si>
  <si>
    <t>000200572714</t>
  </si>
  <si>
    <t>000200550103</t>
  </si>
  <si>
    <t>000200560001</t>
  </si>
  <si>
    <t>000200556911</t>
  </si>
  <si>
    <t>000200543608</t>
  </si>
  <si>
    <t>000200571739</t>
  </si>
  <si>
    <t>000200572895</t>
  </si>
  <si>
    <t>000200571797</t>
  </si>
  <si>
    <t>000200571690</t>
  </si>
  <si>
    <t>000200572820</t>
  </si>
  <si>
    <t>000200572719</t>
  </si>
  <si>
    <t>000200572715</t>
  </si>
  <si>
    <t>000200566271</t>
  </si>
  <si>
    <t>000200569989</t>
  </si>
  <si>
    <t>000200561291</t>
  </si>
  <si>
    <t>000200569612</t>
  </si>
  <si>
    <t>000200560244</t>
  </si>
  <si>
    <t>000200562605</t>
  </si>
  <si>
    <t>000200551356</t>
  </si>
  <si>
    <t>000200568282</t>
  </si>
  <si>
    <t>000200568264</t>
  </si>
  <si>
    <t>000200555908</t>
  </si>
  <si>
    <t>000200570605</t>
  </si>
  <si>
    <t>000200572795</t>
  </si>
  <si>
    <t>000200568265</t>
  </si>
  <si>
    <t>000200560132</t>
  </si>
  <si>
    <t>000200558345</t>
  </si>
  <si>
    <t>000200537925</t>
  </si>
  <si>
    <t>000200529075</t>
  </si>
  <si>
    <t>000200530678</t>
  </si>
  <si>
    <t>000200568221</t>
  </si>
  <si>
    <t>000200567162</t>
  </si>
  <si>
    <t>000200571709</t>
  </si>
  <si>
    <t>000200570426</t>
  </si>
  <si>
    <t>000200568251</t>
  </si>
  <si>
    <t>0097826663</t>
  </si>
  <si>
    <t>000200568283</t>
  </si>
  <si>
    <t>000200479758</t>
  </si>
  <si>
    <t>000200560120</t>
  </si>
  <si>
    <t>000200573607</t>
  </si>
  <si>
    <t>000200572767</t>
  </si>
  <si>
    <t>000200557988</t>
  </si>
  <si>
    <t>000200557512</t>
  </si>
  <si>
    <t>000200573228</t>
  </si>
  <si>
    <t>000200567187</t>
  </si>
  <si>
    <t>000200567353</t>
  </si>
  <si>
    <t>000200567215</t>
  </si>
  <si>
    <t>000200565998</t>
  </si>
  <si>
    <t>000200568227</t>
  </si>
  <si>
    <t>000200557981</t>
  </si>
  <si>
    <t>000200565956</t>
  </si>
  <si>
    <t>000200566005</t>
  </si>
  <si>
    <t>000200560147</t>
  </si>
  <si>
    <t>000200567348</t>
  </si>
  <si>
    <t>000200568661</t>
  </si>
  <si>
    <t>000200570917</t>
  </si>
  <si>
    <t>000200570923</t>
  </si>
  <si>
    <t>000200570710</t>
  </si>
  <si>
    <t>000200568308</t>
  </si>
  <si>
    <t>000200571861</t>
  </si>
  <si>
    <t>000200573341</t>
  </si>
  <si>
    <t>000200571614</t>
  </si>
  <si>
    <t>000200571777</t>
  </si>
  <si>
    <t>000200571926</t>
  </si>
  <si>
    <t>0092846408</t>
  </si>
  <si>
    <t>0097947104</t>
  </si>
  <si>
    <t>0098019064</t>
  </si>
  <si>
    <t>0098019065</t>
  </si>
  <si>
    <t>000200547546</t>
  </si>
  <si>
    <t>0097695097</t>
  </si>
  <si>
    <t>0096281789</t>
  </si>
  <si>
    <t>0097929473</t>
  </si>
  <si>
    <t>0096280870</t>
  </si>
  <si>
    <t>000200573520</t>
  </si>
  <si>
    <t>0092477791</t>
  </si>
  <si>
    <t>000200557882</t>
  </si>
  <si>
    <t>0094691478</t>
  </si>
  <si>
    <t>0097969593</t>
  </si>
  <si>
    <t>000200572748</t>
  </si>
  <si>
    <t>0092477792</t>
  </si>
  <si>
    <t>000200550412</t>
  </si>
  <si>
    <t>000200568219</t>
  </si>
  <si>
    <t>000200562632</t>
  </si>
  <si>
    <t>000200572157</t>
  </si>
  <si>
    <t>000200572680</t>
  </si>
  <si>
    <t>000200561236</t>
  </si>
  <si>
    <t>000200570309</t>
  </si>
  <si>
    <t>000200559108</t>
  </si>
  <si>
    <t>000200556858</t>
  </si>
  <si>
    <t>000200571911</t>
  </si>
  <si>
    <t>000200568555</t>
  </si>
  <si>
    <t>000200566263</t>
  </si>
  <si>
    <t>000200571699</t>
  </si>
  <si>
    <t>000200570739</t>
  </si>
  <si>
    <t>000200573045</t>
  </si>
  <si>
    <t>000200559202</t>
  </si>
  <si>
    <t>000200572747</t>
  </si>
  <si>
    <t>0096286617</t>
  </si>
  <si>
    <t>000200549055</t>
  </si>
  <si>
    <t>000200572710</t>
  </si>
  <si>
    <t>000200571656</t>
  </si>
  <si>
    <t>000200562555</t>
  </si>
  <si>
    <t>0097218312</t>
  </si>
  <si>
    <t>000200571884</t>
  </si>
  <si>
    <t>000200562795</t>
  </si>
  <si>
    <t>000200564779</t>
  </si>
  <si>
    <t>000200568292</t>
  </si>
  <si>
    <t>000200516576</t>
  </si>
  <si>
    <t>000200572916</t>
  </si>
  <si>
    <t>000200566349</t>
  </si>
  <si>
    <t>000200562556</t>
  </si>
  <si>
    <t>000200548370</t>
  </si>
  <si>
    <t>000200541734</t>
  </si>
  <si>
    <t>000200555813</t>
  </si>
  <si>
    <t>000200560362</t>
  </si>
  <si>
    <t>0085966981</t>
  </si>
  <si>
    <t>000200560213</t>
  </si>
  <si>
    <t>000200571831</t>
  </si>
  <si>
    <t>000200569499</t>
  </si>
  <si>
    <t>000200566003</t>
  </si>
  <si>
    <t>000200561620</t>
  </si>
  <si>
    <t>000200568337</t>
  </si>
  <si>
    <t>000200558983</t>
  </si>
  <si>
    <t>000200567575</t>
  </si>
  <si>
    <t>000200543491</t>
  </si>
  <si>
    <t>000200573501</t>
  </si>
  <si>
    <t>000200571823</t>
  </si>
  <si>
    <t>000200561385</t>
  </si>
  <si>
    <t>000200560256</t>
  </si>
  <si>
    <t>000200573528</t>
  </si>
  <si>
    <t>000200568639</t>
  </si>
  <si>
    <t>000200555858</t>
  </si>
  <si>
    <t>000200570695</t>
  </si>
  <si>
    <t>000200560089</t>
  </si>
  <si>
    <t>000200528258</t>
  </si>
  <si>
    <t>000200567464</t>
  </si>
  <si>
    <t>000200557796</t>
  </si>
  <si>
    <t>0092134647</t>
  </si>
  <si>
    <t>000200571794</t>
  </si>
  <si>
    <t>0097081540</t>
  </si>
  <si>
    <t>000200559286</t>
  </si>
  <si>
    <t>000200571675</t>
  </si>
  <si>
    <t>0086521991</t>
  </si>
  <si>
    <t>0094493587</t>
  </si>
  <si>
    <t>000200516705</t>
  </si>
  <si>
    <t>000200567608</t>
  </si>
  <si>
    <t>000200516636</t>
  </si>
  <si>
    <t>0098017031</t>
  </si>
  <si>
    <t>0092302280</t>
  </si>
  <si>
    <t>000200516678</t>
  </si>
  <si>
    <t>0092302277</t>
  </si>
  <si>
    <t>0092302273</t>
  </si>
  <si>
    <t>0092302270</t>
  </si>
  <si>
    <t>000200566147</t>
  </si>
  <si>
    <t>000200569891</t>
  </si>
  <si>
    <t>000200561271</t>
  </si>
  <si>
    <t>000200569676</t>
  </si>
  <si>
    <t>000200572796</t>
  </si>
  <si>
    <t>000200572789</t>
  </si>
  <si>
    <t>0097218320</t>
  </si>
  <si>
    <t>000200568816</t>
  </si>
  <si>
    <t>000200568815</t>
  </si>
  <si>
    <t>000200569921</t>
  </si>
  <si>
    <t>000200570237</t>
  </si>
  <si>
    <t>000200570238</t>
  </si>
  <si>
    <t>000200570343</t>
  </si>
  <si>
    <t>000200570800</t>
  </si>
  <si>
    <t>000200570356</t>
  </si>
  <si>
    <t>000200572738</t>
  </si>
  <si>
    <t>000200572809</t>
  </si>
  <si>
    <t>000200572775</t>
  </si>
  <si>
    <t>000200565896</t>
  </si>
  <si>
    <t>000200566482</t>
  </si>
  <si>
    <t>000200562848</t>
  </si>
  <si>
    <t>000200562606</t>
  </si>
  <si>
    <t>000200571208</t>
  </si>
  <si>
    <t>000200572974</t>
  </si>
  <si>
    <t>000200571227</t>
  </si>
  <si>
    <t>000200566223</t>
  </si>
  <si>
    <t>000200567544</t>
  </si>
  <si>
    <t>000200573571</t>
  </si>
  <si>
    <t>000200567121</t>
  </si>
  <si>
    <t>000200570668</t>
  </si>
  <si>
    <t>000200548438</t>
  </si>
  <si>
    <t>000200573419</t>
  </si>
  <si>
    <t>000200573220</t>
  </si>
  <si>
    <t>000200562486</t>
  </si>
  <si>
    <t>000200568558</t>
  </si>
  <si>
    <t>000200570708</t>
  </si>
  <si>
    <t>0097826667</t>
  </si>
  <si>
    <t>000200573500</t>
  </si>
  <si>
    <t>000200570844</t>
  </si>
  <si>
    <t>000200551150</t>
  </si>
  <si>
    <t>000200569876</t>
  </si>
  <si>
    <t>000200569514</t>
  </si>
  <si>
    <t>000200569475</t>
  </si>
  <si>
    <t>000200548570</t>
  </si>
  <si>
    <t>000200570277</t>
  </si>
  <si>
    <t>000200571843</t>
  </si>
  <si>
    <t>000200567439</t>
  </si>
  <si>
    <t>000200562541</t>
  </si>
  <si>
    <t>000200564647</t>
  </si>
  <si>
    <t>000200570674</t>
  </si>
  <si>
    <t>000200561346</t>
  </si>
  <si>
    <t>000200553774</t>
  </si>
  <si>
    <t>000200570445</t>
  </si>
  <si>
    <t>000200570922</t>
  </si>
  <si>
    <t>000200570944</t>
  </si>
  <si>
    <t>000200572409</t>
  </si>
  <si>
    <t>000200570335</t>
  </si>
  <si>
    <t>000200566335</t>
  </si>
  <si>
    <t>000200566383</t>
  </si>
  <si>
    <t>000200570570</t>
  </si>
  <si>
    <t>000200570893</t>
  </si>
  <si>
    <t>000200562814</t>
  </si>
  <si>
    <t>000200567254</t>
  </si>
  <si>
    <t>000200570341</t>
  </si>
  <si>
    <t>000200567178</t>
  </si>
  <si>
    <t>000200573551</t>
  </si>
  <si>
    <t>000200548487</t>
  </si>
  <si>
    <t>000200569615</t>
  </si>
  <si>
    <t>000200570819</t>
  </si>
  <si>
    <t>000200570649</t>
  </si>
  <si>
    <t>000200571670</t>
  </si>
  <si>
    <t>000200572780</t>
  </si>
  <si>
    <t>000200572864</t>
  </si>
  <si>
    <t>000200572739</t>
  </si>
  <si>
    <t>000200568694</t>
  </si>
  <si>
    <t>000200569892</t>
  </si>
  <si>
    <t>000200569501</t>
  </si>
  <si>
    <t>000200561511</t>
  </si>
  <si>
    <t>000200560344</t>
  </si>
  <si>
    <t>000200572968</t>
  </si>
  <si>
    <t>000200564696</t>
  </si>
  <si>
    <t>000200555884</t>
  </si>
  <si>
    <t>000200556893</t>
  </si>
  <si>
    <t>000200548727</t>
  </si>
  <si>
    <t>0091762082</t>
  </si>
  <si>
    <t>000200571851</t>
  </si>
  <si>
    <t>000200564632</t>
  </si>
  <si>
    <t>000200572807</t>
  </si>
  <si>
    <t>000200566621</t>
  </si>
  <si>
    <t>000200568536</t>
  </si>
  <si>
    <t>000200571695</t>
  </si>
  <si>
    <t>000200571847</t>
  </si>
  <si>
    <t>000200570473</t>
  </si>
  <si>
    <t>000200561376</t>
  </si>
  <si>
    <t>000200567147</t>
  </si>
  <si>
    <t>000200573263</t>
  </si>
  <si>
    <t>000200568825</t>
  </si>
  <si>
    <t>000200568719</t>
  </si>
  <si>
    <t>000200548479</t>
  </si>
  <si>
    <t>000200562488</t>
  </si>
  <si>
    <t>000200563890</t>
  </si>
  <si>
    <t>000200568543</t>
  </si>
  <si>
    <t>000200566002</t>
  </si>
  <si>
    <t>000200553741</t>
  </si>
  <si>
    <t>000200544628</t>
  </si>
  <si>
    <t>000200534803</t>
  </si>
  <si>
    <t>000200547469</t>
  </si>
  <si>
    <t>000200562868</t>
  </si>
  <si>
    <t>000200562676</t>
  </si>
  <si>
    <t>000200561537</t>
  </si>
  <si>
    <t>000200572679</t>
  </si>
  <si>
    <t>000200572727</t>
  </si>
  <si>
    <t>000200571863</t>
  </si>
  <si>
    <t>000200572264</t>
  </si>
  <si>
    <t>000200572658</t>
  </si>
  <si>
    <t>000200572709</t>
  </si>
  <si>
    <t>000200572736</t>
  </si>
  <si>
    <t>000200555032</t>
  </si>
  <si>
    <t>000200569553</t>
  </si>
  <si>
    <t>000200567189</t>
  </si>
  <si>
    <t>000200570342</t>
  </si>
  <si>
    <t>000200570779</t>
  </si>
  <si>
    <t>000200572830</t>
  </si>
  <si>
    <t>000314858258</t>
  </si>
  <si>
    <t>000200573565</t>
  </si>
  <si>
    <t>000200573340</t>
  </si>
  <si>
    <t>000314926242</t>
  </si>
  <si>
    <t>000200571820</t>
  </si>
  <si>
    <t>000200571805</t>
  </si>
  <si>
    <t>000200567662</t>
  </si>
  <si>
    <t>000200561549</t>
  </si>
  <si>
    <t>0097734046</t>
  </si>
  <si>
    <t>000200570657</t>
  </si>
  <si>
    <t>000200571791</t>
  </si>
  <si>
    <t>000200570692</t>
  </si>
  <si>
    <t>000200573476</t>
  </si>
  <si>
    <t>000200559000</t>
  </si>
  <si>
    <t>000200551214</t>
  </si>
  <si>
    <t>000200550045</t>
  </si>
  <si>
    <t>000200572910</t>
  </si>
  <si>
    <t>000200573561</t>
  </si>
  <si>
    <t>000200552287</t>
  </si>
  <si>
    <t>000200561373</t>
  </si>
  <si>
    <t>000200571986</t>
  </si>
  <si>
    <t>Created_On</t>
  </si>
  <si>
    <t xml:space="preserve">244RF-111FC-BAG    10300KG   22028402    (200534687)  IL2  LXN/CCY        TEST_PO_REMARK        粒子FDA      </t>
  </si>
  <si>
    <t xml:space="preserve">244RF-111FC-BAG    15450KG   22028402    (200572893)  IL2  LXN/CCY        TEST_PO_REMARK        粒子FDA      </t>
  </si>
  <si>
    <t>Dur.</t>
  </si>
  <si>
    <t>Line</t>
  </si>
  <si>
    <t>No.</t>
  </si>
  <si>
    <t>000200574815</t>
  </si>
  <si>
    <t>0002436361</t>
  </si>
  <si>
    <t>000200575848</t>
  </si>
  <si>
    <t>000200574907</t>
  </si>
  <si>
    <t>000200573627</t>
  </si>
  <si>
    <t>000200574924</t>
  </si>
  <si>
    <t>0098341358</t>
  </si>
  <si>
    <t>0098073183</t>
  </si>
  <si>
    <t>0098073184</t>
  </si>
  <si>
    <t>0002462913</t>
  </si>
  <si>
    <t>000200573843</t>
  </si>
  <si>
    <t>0002465026</t>
  </si>
  <si>
    <t>000200573842</t>
  </si>
  <si>
    <t>0098071918</t>
  </si>
  <si>
    <t>0002462906</t>
  </si>
  <si>
    <t>0098071919</t>
  </si>
  <si>
    <t>0002462916</t>
  </si>
  <si>
    <t>0098071920</t>
  </si>
  <si>
    <t>0002462918</t>
  </si>
  <si>
    <t>0098071921</t>
  </si>
  <si>
    <t>0002462921</t>
  </si>
  <si>
    <t>0098071922</t>
  </si>
  <si>
    <t>0002462923</t>
  </si>
  <si>
    <t>0098071924</t>
  </si>
  <si>
    <t>0002462924</t>
  </si>
  <si>
    <t>0098071923</t>
  </si>
  <si>
    <t>000200545294</t>
  </si>
  <si>
    <t>0002417404</t>
  </si>
  <si>
    <t>000200545295</t>
  </si>
  <si>
    <t>0/11:30:42</t>
  </si>
  <si>
    <t>000200574947</t>
  </si>
  <si>
    <t>0002466658</t>
  </si>
  <si>
    <t>000200573787</t>
  </si>
  <si>
    <t>22022146</t>
  </si>
  <si>
    <t>915R-WH9G002-BAG-00-00-00</t>
  </si>
  <si>
    <t>0002465058</t>
  </si>
  <si>
    <t>WH9G002</t>
  </si>
  <si>
    <t>000200575080</t>
  </si>
  <si>
    <t>22021049</t>
  </si>
  <si>
    <t>XHT4141-GY8D046-BAG-00-00-00</t>
  </si>
  <si>
    <t>0/06:27:46</t>
  </si>
  <si>
    <t>0002466936</t>
  </si>
  <si>
    <t>000200574725</t>
  </si>
  <si>
    <t>0/02:32:41</t>
  </si>
  <si>
    <t>0002466319</t>
  </si>
  <si>
    <t>000200573597</t>
  </si>
  <si>
    <t>22033706</t>
  </si>
  <si>
    <t>221R-1111-BAG-00-00-00</t>
  </si>
  <si>
    <t>0002463431</t>
  </si>
  <si>
    <t>221R</t>
  </si>
  <si>
    <t>1111</t>
  </si>
  <si>
    <t>0002418072</t>
  </si>
  <si>
    <t>000200575088</t>
  </si>
  <si>
    <t>0002466939</t>
  </si>
  <si>
    <t>000200575090</t>
  </si>
  <si>
    <t>0002466951</t>
  </si>
  <si>
    <t>000200575126</t>
  </si>
  <si>
    <t>0002466942</t>
  </si>
  <si>
    <t>000200574832</t>
  </si>
  <si>
    <t>0002459405</t>
  </si>
  <si>
    <t>000200574831</t>
  </si>
  <si>
    <t>0002459404</t>
  </si>
  <si>
    <t>000200574834</t>
  </si>
  <si>
    <t>0002228268</t>
  </si>
  <si>
    <t>000200574837</t>
  </si>
  <si>
    <t>0002156242</t>
  </si>
  <si>
    <t>000200574835</t>
  </si>
  <si>
    <t>0002434058</t>
  </si>
  <si>
    <t>000200574840</t>
  </si>
  <si>
    <t>000200574841</t>
  </si>
  <si>
    <t>0002228275</t>
  </si>
  <si>
    <t>000200574974</t>
  </si>
  <si>
    <t>22038905</t>
  </si>
  <si>
    <t>C6600-BK1B379-BAG-00-00-00</t>
  </si>
  <si>
    <t>0/10:47:05</t>
  </si>
  <si>
    <t>0002466800</t>
  </si>
  <si>
    <t>BK1B379</t>
  </si>
  <si>
    <t>000200574836</t>
  </si>
  <si>
    <t>000200574838</t>
  </si>
  <si>
    <t>000200574839</t>
  </si>
  <si>
    <t>0/04:14:29</t>
  </si>
  <si>
    <t>000200574828</t>
  </si>
  <si>
    <t>000200574973</t>
  </si>
  <si>
    <t>0002434295</t>
  </si>
  <si>
    <t>0002434284</t>
  </si>
  <si>
    <t>0002459685</t>
  </si>
  <si>
    <t>0098347863</t>
  </si>
  <si>
    <t>000200574678</t>
  </si>
  <si>
    <t>22088894</t>
  </si>
  <si>
    <t>SLX1432-BK1C090-BAG-00-00-00</t>
  </si>
  <si>
    <t>0002466405</t>
  </si>
  <si>
    <t>SLX1432</t>
  </si>
  <si>
    <t>BK1C090</t>
  </si>
  <si>
    <t>000200573738</t>
  </si>
  <si>
    <t>0002464948</t>
  </si>
  <si>
    <t>000200573734</t>
  </si>
  <si>
    <t>0002464914</t>
  </si>
  <si>
    <t>0098341363</t>
  </si>
  <si>
    <t>000200574680</t>
  </si>
  <si>
    <t>0002466418</t>
  </si>
  <si>
    <t>0002418066</t>
  </si>
  <si>
    <t>000200574932</t>
  </si>
  <si>
    <t>22034219</t>
  </si>
  <si>
    <t>945-7T2D197-BAG-00-00-00</t>
  </si>
  <si>
    <t>0002466689</t>
  </si>
  <si>
    <t>7T2D197</t>
  </si>
  <si>
    <t>000200574783</t>
  </si>
  <si>
    <t>22035321</t>
  </si>
  <si>
    <t>CY6012-GY1D109-BAG-00-00-00</t>
  </si>
  <si>
    <t>0002466445</t>
  </si>
  <si>
    <t>GY1D109</t>
  </si>
  <si>
    <t>2001842909</t>
  </si>
  <si>
    <t>0/01:40:35</t>
  </si>
  <si>
    <t>0002253350</t>
  </si>
  <si>
    <t>000200575018</t>
  </si>
  <si>
    <t>000200575108</t>
  </si>
  <si>
    <t>000200575075</t>
  </si>
  <si>
    <t>0/08:01:04</t>
  </si>
  <si>
    <t>000200574996</t>
  </si>
  <si>
    <t>000200574779</t>
  </si>
  <si>
    <t>000200574844</t>
  </si>
  <si>
    <t>000200574800</t>
  </si>
  <si>
    <t>4503063532</t>
  </si>
  <si>
    <t>0098073518</t>
  </si>
  <si>
    <t>000200574902</t>
  </si>
  <si>
    <t>0/08:18:02</t>
  </si>
  <si>
    <t>0098071272</t>
  </si>
  <si>
    <t>0002347221</t>
  </si>
  <si>
    <t>0098073065</t>
  </si>
  <si>
    <t>0098073067</t>
  </si>
  <si>
    <t>0002434527</t>
  </si>
  <si>
    <t>0098073068</t>
  </si>
  <si>
    <t>0/10:30:07</t>
  </si>
  <si>
    <t>0002405931</t>
  </si>
  <si>
    <t>000200574870</t>
  </si>
  <si>
    <t>22098648</t>
  </si>
  <si>
    <t>C2950-2T2D080-BAG-00-00-00</t>
  </si>
  <si>
    <t>2T2D080</t>
  </si>
  <si>
    <t>000200569764</t>
  </si>
  <si>
    <t>299903662</t>
  </si>
  <si>
    <t>HFD1810-7T1A3328</t>
  </si>
  <si>
    <t>0002458228</t>
  </si>
  <si>
    <t>7T1A3328</t>
  </si>
  <si>
    <t>000314938536</t>
  </si>
  <si>
    <t>22041350</t>
  </si>
  <si>
    <t>SLX2271T-BK1B201-BAG-00-00-00</t>
  </si>
  <si>
    <t>0002466324</t>
  </si>
  <si>
    <t>BK1B201</t>
  </si>
  <si>
    <t>000200574633</t>
  </si>
  <si>
    <t>22043512</t>
  </si>
  <si>
    <t>945-4T6D072-BAG-00-00-00</t>
  </si>
  <si>
    <t>0/03:26:42</t>
  </si>
  <si>
    <t>0002466209</t>
  </si>
  <si>
    <t>4T6D072</t>
  </si>
  <si>
    <t>0002454685</t>
  </si>
  <si>
    <t>000200574734</t>
  </si>
  <si>
    <t>000200573669</t>
  </si>
  <si>
    <t>22035594</t>
  </si>
  <si>
    <t>EXCY0324-NA9G166T-BAG-00-00-00</t>
  </si>
  <si>
    <t>0002464722</t>
  </si>
  <si>
    <t>EXCY0324</t>
  </si>
  <si>
    <t>NA9G166T</t>
  </si>
  <si>
    <t>000200574769</t>
  </si>
  <si>
    <t>299901881</t>
  </si>
  <si>
    <t>EXL1414-7A8A1502</t>
  </si>
  <si>
    <t>000200576485</t>
  </si>
  <si>
    <t>22040720</t>
  </si>
  <si>
    <t>FXD171R-8A8D035X-BAG-00-00-00</t>
  </si>
  <si>
    <t>0002468439</t>
  </si>
  <si>
    <t>8A8D035X</t>
  </si>
  <si>
    <t>000200574713</t>
  </si>
  <si>
    <t>22089135</t>
  </si>
  <si>
    <t>SLX1432-GN3G080-BAG-00-00-00</t>
  </si>
  <si>
    <t>0002466409</t>
  </si>
  <si>
    <t>GN3G080</t>
  </si>
  <si>
    <t>000200573648</t>
  </si>
  <si>
    <t>22040736</t>
  </si>
  <si>
    <t>FXD921A-NA8D023X-BAG-00-00-00</t>
  </si>
  <si>
    <t>0002461908</t>
  </si>
  <si>
    <t>FXD921A</t>
  </si>
  <si>
    <t>NA8D023X</t>
  </si>
  <si>
    <t>000200576417</t>
  </si>
  <si>
    <t>22018343</t>
  </si>
  <si>
    <t>C2950-71839-BAG-00-00-00</t>
  </si>
  <si>
    <t>0002468432</t>
  </si>
  <si>
    <t>71839</t>
  </si>
  <si>
    <t>000200573780</t>
  </si>
  <si>
    <t>0002464426</t>
  </si>
  <si>
    <t>2001833694</t>
  </si>
  <si>
    <t>000200574873</t>
  </si>
  <si>
    <t>000200574778</t>
  </si>
  <si>
    <t>0002450574</t>
  </si>
  <si>
    <t>000200574872</t>
  </si>
  <si>
    <t>000200574876</t>
  </si>
  <si>
    <t>000200574780</t>
  </si>
  <si>
    <t>0002323388</t>
  </si>
  <si>
    <t>000200575086</t>
  </si>
  <si>
    <t>000200575124</t>
  </si>
  <si>
    <t>000200574878</t>
  </si>
  <si>
    <t>000200574882</t>
  </si>
  <si>
    <t>000200575111</t>
  </si>
  <si>
    <t>0002464354</t>
  </si>
  <si>
    <t>000200574796</t>
  </si>
  <si>
    <t>000200574801</t>
  </si>
  <si>
    <t>000200574877</t>
  </si>
  <si>
    <t>0002361114</t>
  </si>
  <si>
    <t>000200574879</t>
  </si>
  <si>
    <t>0002444755</t>
  </si>
  <si>
    <t>0/04:30:00</t>
  </si>
  <si>
    <t>000200574875</t>
  </si>
  <si>
    <t>0/02:27:00</t>
  </si>
  <si>
    <t>0002336228</t>
  </si>
  <si>
    <t>000200573844</t>
  </si>
  <si>
    <t>0002465051</t>
  </si>
  <si>
    <t>0002335584</t>
  </si>
  <si>
    <t>0002466351</t>
  </si>
  <si>
    <t>000200573770</t>
  </si>
  <si>
    <t>0002464996</t>
  </si>
  <si>
    <t>0002245379</t>
  </si>
  <si>
    <t>0002328456</t>
  </si>
  <si>
    <t>000200574700</t>
  </si>
  <si>
    <t>299900453</t>
  </si>
  <si>
    <t>121-6A3A0256</t>
  </si>
  <si>
    <t>0/04:19:25</t>
  </si>
  <si>
    <t>6A3A0256</t>
  </si>
  <si>
    <t>000200574645</t>
  </si>
  <si>
    <t>22045072</t>
  </si>
  <si>
    <t>945-2T1D068-BAG-00-00-00</t>
  </si>
  <si>
    <t>0/05:55:46</t>
  </si>
  <si>
    <t>0002466208</t>
  </si>
  <si>
    <t>2T1D068</t>
  </si>
  <si>
    <t>000200574826</t>
  </si>
  <si>
    <t>000200574742</t>
  </si>
  <si>
    <t>299900850</t>
  </si>
  <si>
    <t>EXL1414T-2G1A0236T</t>
  </si>
  <si>
    <t>0/06:10:35</t>
  </si>
  <si>
    <t>LEXX2DT</t>
  </si>
  <si>
    <t>0002466302</t>
  </si>
  <si>
    <t>2G1A0236T</t>
  </si>
  <si>
    <t>000200574581</t>
  </si>
  <si>
    <t>0/08:14:07</t>
  </si>
  <si>
    <t>0002465095</t>
  </si>
  <si>
    <t>000200573913</t>
  </si>
  <si>
    <t>0/00:42:21</t>
  </si>
  <si>
    <t>0002465383</t>
  </si>
  <si>
    <t>000200573537</t>
  </si>
  <si>
    <t>0/01:47:28</t>
  </si>
  <si>
    <t>0002464509</t>
  </si>
  <si>
    <t>000200575072</t>
  </si>
  <si>
    <t>0002466831</t>
  </si>
  <si>
    <t>000200573683</t>
  </si>
  <si>
    <t>299902948</t>
  </si>
  <si>
    <t>EXL9330-7T3A2421</t>
  </si>
  <si>
    <t>0002464593</t>
  </si>
  <si>
    <t>7T3A2421</t>
  </si>
  <si>
    <t>000200574911</t>
  </si>
  <si>
    <t>0002466634</t>
  </si>
  <si>
    <t>000200574948</t>
  </si>
  <si>
    <t>22017317</t>
  </si>
  <si>
    <t>923-701-BAG-00-00-00</t>
  </si>
  <si>
    <t>0002466683</t>
  </si>
  <si>
    <t>000200574640</t>
  </si>
  <si>
    <t>22031860</t>
  </si>
  <si>
    <t>CX7240-7T1D164-BAG-00-00-00</t>
  </si>
  <si>
    <t>0/00:56:28</t>
  </si>
  <si>
    <t>0002466232</t>
  </si>
  <si>
    <t>7T1D164</t>
  </si>
  <si>
    <t>000200573588</t>
  </si>
  <si>
    <t>22039166</t>
  </si>
  <si>
    <t>943-GY3G341-BAG-00-00-00</t>
  </si>
  <si>
    <t>0002464503</t>
  </si>
  <si>
    <t>GY3G341</t>
  </si>
  <si>
    <t>000200573769</t>
  </si>
  <si>
    <t>22030007</t>
  </si>
  <si>
    <t>945U-BL6A210-BAG-00-00-00</t>
  </si>
  <si>
    <t>LEXFR2DO</t>
  </si>
  <si>
    <t>0002464978</t>
  </si>
  <si>
    <t>BL6A210</t>
  </si>
  <si>
    <t>000200574694</t>
  </si>
  <si>
    <t>22029884</t>
  </si>
  <si>
    <t>BY2710X-4N5D017-BAG-00-00-00</t>
  </si>
  <si>
    <t>0002466307</t>
  </si>
  <si>
    <t>4N5D017</t>
  </si>
  <si>
    <t>000200574750</t>
  </si>
  <si>
    <t>0/13:09:21</t>
  </si>
  <si>
    <t>0002466412</t>
  </si>
  <si>
    <t>000200574858</t>
  </si>
  <si>
    <t>22031493</t>
  </si>
  <si>
    <t>945A-BL5D091T-BAG-00-00-00</t>
  </si>
  <si>
    <t>0002466665</t>
  </si>
  <si>
    <t>BL5D091T</t>
  </si>
  <si>
    <t>000200576250</t>
  </si>
  <si>
    <t>22025006</t>
  </si>
  <si>
    <t>X11-4051-BAG-00-00-00</t>
  </si>
  <si>
    <t>0002468291</t>
  </si>
  <si>
    <t>X11</t>
  </si>
  <si>
    <t>4051</t>
  </si>
  <si>
    <t>0/06:06:53</t>
  </si>
  <si>
    <t>0/04:52:45</t>
  </si>
  <si>
    <t>000200575014</t>
  </si>
  <si>
    <t>0/01:43:46</t>
  </si>
  <si>
    <t>0002466833</t>
  </si>
  <si>
    <t>000200574639</t>
  </si>
  <si>
    <t>22035231</t>
  </si>
  <si>
    <t>CX7240-8B9D106-BAG-00-00-00</t>
  </si>
  <si>
    <t>0/12:43:25</t>
  </si>
  <si>
    <t>0002466223</t>
  </si>
  <si>
    <t>8B9D106</t>
  </si>
  <si>
    <t>000200574703</t>
  </si>
  <si>
    <t>299903128</t>
  </si>
  <si>
    <t>EXL1414-7N9A2710</t>
  </si>
  <si>
    <t>0/19:27:21</t>
  </si>
  <si>
    <t>0002461532</t>
  </si>
  <si>
    <t>7N9A2710</t>
  </si>
  <si>
    <t>000200574772</t>
  </si>
  <si>
    <t>22067591</t>
  </si>
  <si>
    <t>EXL1414-GY3G406-BAG-00-00-00</t>
  </si>
  <si>
    <t>0002466505</t>
  </si>
  <si>
    <t>GY3G406</t>
  </si>
  <si>
    <t>2001845277</t>
  </si>
  <si>
    <t>000200574711</t>
  </si>
  <si>
    <t>299905993</t>
  </si>
  <si>
    <t>ER007485-6G5A4940</t>
  </si>
  <si>
    <t>0002466382</t>
  </si>
  <si>
    <t>6G5A4940</t>
  </si>
  <si>
    <t>0098110605</t>
  </si>
  <si>
    <t>2001875863</t>
  </si>
  <si>
    <t>0/01:57:52</t>
  </si>
  <si>
    <t>000200574124</t>
  </si>
  <si>
    <t>2001828952</t>
  </si>
  <si>
    <t>000200574854</t>
  </si>
  <si>
    <t>0098206068</t>
  </si>
  <si>
    <t>0/00:47:09</t>
  </si>
  <si>
    <t>000200574971</t>
  </si>
  <si>
    <t>0002466775</t>
  </si>
  <si>
    <t>0/07:27:52</t>
  </si>
  <si>
    <t>000200574874</t>
  </si>
  <si>
    <t>0002466593</t>
  </si>
  <si>
    <t>000200574806</t>
  </si>
  <si>
    <t>22035480</t>
  </si>
  <si>
    <t>DP0039EF-BK8115-BAG-00-00-00</t>
  </si>
  <si>
    <t>0002466491</t>
  </si>
  <si>
    <t>DP0039EF</t>
  </si>
  <si>
    <t>000200574816</t>
  </si>
  <si>
    <t>0089893513</t>
  </si>
  <si>
    <t>000200574729</t>
  </si>
  <si>
    <t>290012304</t>
  </si>
  <si>
    <t>EXL5689-7T6D103</t>
  </si>
  <si>
    <t>0002466415</t>
  </si>
  <si>
    <t>7T6D103</t>
  </si>
  <si>
    <t>000200574922</t>
  </si>
  <si>
    <t>000200573882</t>
  </si>
  <si>
    <t>22039445</t>
  </si>
  <si>
    <t>DX07323-BK1D817-SBG-00-00-00</t>
  </si>
  <si>
    <t>0002465105</t>
  </si>
  <si>
    <t>DX07323</t>
  </si>
  <si>
    <t>BK1D817</t>
  </si>
  <si>
    <t>4503079151</t>
  </si>
  <si>
    <t>000200574738</t>
  </si>
  <si>
    <t>22040715</t>
  </si>
  <si>
    <t>ML7672-739-BAG-00-00-00</t>
  </si>
  <si>
    <t>0002466525</t>
  </si>
  <si>
    <t>000200574534</t>
  </si>
  <si>
    <t>1/15:17:09</t>
  </si>
  <si>
    <t>0002459739</t>
  </si>
  <si>
    <t>000200573644</t>
  </si>
  <si>
    <t>0002464636</t>
  </si>
  <si>
    <t>000200573937</t>
  </si>
  <si>
    <t>0002465411</t>
  </si>
  <si>
    <t>000200573924</t>
  </si>
  <si>
    <t>0/07:04:17</t>
  </si>
  <si>
    <t>0002465316</t>
  </si>
  <si>
    <t>000200574041</t>
  </si>
  <si>
    <t>000200574062</t>
  </si>
  <si>
    <t>0002465426</t>
  </si>
  <si>
    <t>000200573922</t>
  </si>
  <si>
    <t>0/11:47:09</t>
  </si>
  <si>
    <t>0002465306</t>
  </si>
  <si>
    <t>4503064767</t>
  </si>
  <si>
    <t>000200574764</t>
  </si>
  <si>
    <t>22035808</t>
  </si>
  <si>
    <t>DEL329XF-BK8115-SBG-00-00-00</t>
  </si>
  <si>
    <t>0002466436</t>
  </si>
  <si>
    <t>DEL329XF</t>
  </si>
  <si>
    <t>000200573599</t>
  </si>
  <si>
    <t>0002464649</t>
  </si>
  <si>
    <t>2001831833</t>
  </si>
  <si>
    <t>000200573803</t>
  </si>
  <si>
    <t>1/08:18:27</t>
  </si>
  <si>
    <t>000200573802</t>
  </si>
  <si>
    <t>000200573681</t>
  </si>
  <si>
    <t>000200574818</t>
  </si>
  <si>
    <t>000200574821</t>
  </si>
  <si>
    <t>0002316703</t>
  </si>
  <si>
    <t>000200574820</t>
  </si>
  <si>
    <t>000200574819</t>
  </si>
  <si>
    <t>2001845449</t>
  </si>
  <si>
    <t>2001832227</t>
  </si>
  <si>
    <t>2001845532</t>
  </si>
  <si>
    <t>2001832201</t>
  </si>
  <si>
    <t>2001832204</t>
  </si>
  <si>
    <t>000200574822</t>
  </si>
  <si>
    <t>0002446753</t>
  </si>
  <si>
    <t>000200574848</t>
  </si>
  <si>
    <t>0002446936</t>
  </si>
  <si>
    <t>000200574847</t>
  </si>
  <si>
    <t>000200575061</t>
  </si>
  <si>
    <t>0098039755</t>
  </si>
  <si>
    <t>0098039756</t>
  </si>
  <si>
    <t>0002445271</t>
  </si>
  <si>
    <t>000200574794</t>
  </si>
  <si>
    <t>000200574795</t>
  </si>
  <si>
    <t>000200574793</t>
  </si>
  <si>
    <t>4503036419</t>
  </si>
  <si>
    <t>000200574765</t>
  </si>
  <si>
    <t>0/10:34:42</t>
  </si>
  <si>
    <t>0002466441</t>
  </si>
  <si>
    <t>0098040176</t>
  </si>
  <si>
    <t>0098040177</t>
  </si>
  <si>
    <t>0002448562</t>
  </si>
  <si>
    <t>0098343641</t>
  </si>
  <si>
    <t>000200573725</t>
  </si>
  <si>
    <t>0/02:19:22</t>
  </si>
  <si>
    <t>000200574864</t>
  </si>
  <si>
    <t>000200574863</t>
  </si>
  <si>
    <t>000200574943</t>
  </si>
  <si>
    <t>0098335288</t>
  </si>
  <si>
    <t>4</t>
  </si>
  <si>
    <t>000200574942</t>
  </si>
  <si>
    <t>0098335280</t>
  </si>
  <si>
    <t>000200574944</t>
  </si>
  <si>
    <t>0098335277</t>
  </si>
  <si>
    <t>000200574904</t>
  </si>
  <si>
    <t>000200574865</t>
  </si>
  <si>
    <t>0098335273</t>
  </si>
  <si>
    <t>0098038707</t>
  </si>
  <si>
    <t>000200574688</t>
  </si>
  <si>
    <t>0002466229</t>
  </si>
  <si>
    <t>000200574681</t>
  </si>
  <si>
    <t>22066411</t>
  </si>
  <si>
    <t>CX7240-2M5D017-BAG-00-00-00</t>
  </si>
  <si>
    <t>0/03:19:56</t>
  </si>
  <si>
    <t>0002466422</t>
  </si>
  <si>
    <t>2M5D017</t>
  </si>
  <si>
    <t>0098038708</t>
  </si>
  <si>
    <t>0002253299</t>
  </si>
  <si>
    <t>000200574777</t>
  </si>
  <si>
    <t>000200574776</t>
  </si>
  <si>
    <t>0002459657</t>
  </si>
  <si>
    <t>0/10:02:52</t>
  </si>
  <si>
    <t>000200574883</t>
  </si>
  <si>
    <t>0002253292</t>
  </si>
  <si>
    <t>0002434090</t>
  </si>
  <si>
    <t>0002422231</t>
  </si>
  <si>
    <t>0098038709</t>
  </si>
  <si>
    <t>0002314472</t>
  </si>
  <si>
    <t>0002287121</t>
  </si>
  <si>
    <t>2001842735</t>
  </si>
  <si>
    <t>0002361118</t>
  </si>
  <si>
    <t>0002436581</t>
  </si>
  <si>
    <t>0002418146</t>
  </si>
  <si>
    <t>0002340241</t>
  </si>
  <si>
    <t>0002253364</t>
  </si>
  <si>
    <t>0002253376</t>
  </si>
  <si>
    <t>0002253334</t>
  </si>
  <si>
    <t>000200574908</t>
  </si>
  <si>
    <t>0092430287</t>
  </si>
  <si>
    <t>0002449011</t>
  </si>
  <si>
    <t>0/04:06:54</t>
  </si>
  <si>
    <t>000200574758</t>
  </si>
  <si>
    <t>0002466506</t>
  </si>
  <si>
    <t>0098344433</t>
  </si>
  <si>
    <t>0098344247</t>
  </si>
  <si>
    <t>0098344025</t>
  </si>
  <si>
    <t>0098526051</t>
  </si>
  <si>
    <t>0098344250</t>
  </si>
  <si>
    <t>0098527493</t>
  </si>
  <si>
    <t>0098526052</t>
  </si>
  <si>
    <t>0098344251</t>
  </si>
  <si>
    <t>000200573745</t>
  </si>
  <si>
    <t>0002464753</t>
  </si>
  <si>
    <t>000200573744</t>
  </si>
  <si>
    <t>0002464745</t>
  </si>
  <si>
    <t>000200573709</t>
  </si>
  <si>
    <t>0002464735</t>
  </si>
  <si>
    <t>000200573671</t>
  </si>
  <si>
    <t>0002464732</t>
  </si>
  <si>
    <t>000200573710</t>
  </si>
  <si>
    <t>0002464817</t>
  </si>
  <si>
    <t>000200573748</t>
  </si>
  <si>
    <t>0002464801</t>
  </si>
  <si>
    <t>000200573747</t>
  </si>
  <si>
    <t>0002464769</t>
  </si>
  <si>
    <t>000200573624</t>
  </si>
  <si>
    <t>0002464501</t>
  </si>
  <si>
    <t>000200573591</t>
  </si>
  <si>
    <t>000200574731</t>
  </si>
  <si>
    <t>0002466456</t>
  </si>
  <si>
    <t>0098344349</t>
  </si>
  <si>
    <t>3</t>
  </si>
  <si>
    <t>000200573722</t>
  </si>
  <si>
    <t>0002464705</t>
  </si>
  <si>
    <t>000200573668</t>
  </si>
  <si>
    <t>0002464708</t>
  </si>
  <si>
    <t>0098025688</t>
  </si>
  <si>
    <t>0098335293</t>
  </si>
  <si>
    <t>000200576194</t>
  </si>
  <si>
    <t>0002464542</t>
  </si>
  <si>
    <t>000200548759</t>
  </si>
  <si>
    <t>0002422907</t>
  </si>
  <si>
    <t>000200548826</t>
  </si>
  <si>
    <t>0002422914</t>
  </si>
  <si>
    <t>000200548814</t>
  </si>
  <si>
    <t>0002422916</t>
  </si>
  <si>
    <t>000200549230</t>
  </si>
  <si>
    <t>0002423810</t>
  </si>
  <si>
    <t>000200549231</t>
  </si>
  <si>
    <t>000200548787</t>
  </si>
  <si>
    <t>0002422901</t>
  </si>
  <si>
    <t>000200549229</t>
  </si>
  <si>
    <t>000200551182</t>
  </si>
  <si>
    <t>0002427415</t>
  </si>
  <si>
    <t>000200550096</t>
  </si>
  <si>
    <t>0002425527</t>
  </si>
  <si>
    <t>000200551183</t>
  </si>
  <si>
    <t>000200551202</t>
  </si>
  <si>
    <t>0002427417</t>
  </si>
  <si>
    <t>000200551184</t>
  </si>
  <si>
    <t>000200574851</t>
  </si>
  <si>
    <t>0002234668</t>
  </si>
  <si>
    <t>4503059090</t>
  </si>
  <si>
    <t>000200574850</t>
  </si>
  <si>
    <t>0002216876</t>
  </si>
  <si>
    <t>0002253110</t>
  </si>
  <si>
    <t>0098128776</t>
  </si>
  <si>
    <t>0002466577</t>
  </si>
  <si>
    <t>4503063499</t>
  </si>
  <si>
    <t>0002253114</t>
  </si>
  <si>
    <t>0002428041</t>
  </si>
  <si>
    <t>0002450477</t>
  </si>
  <si>
    <t>2001833903</t>
  </si>
  <si>
    <t>000200575143</t>
  </si>
  <si>
    <t>0002466930</t>
  </si>
  <si>
    <t>000200575079</t>
  </si>
  <si>
    <t>0002466929</t>
  </si>
  <si>
    <t>000200574923</t>
  </si>
  <si>
    <t>0098039530</t>
  </si>
  <si>
    <t>0/20:36:00</t>
  </si>
  <si>
    <t>000200574740</t>
  </si>
  <si>
    <t>0002466548</t>
  </si>
  <si>
    <t>000200549250</t>
  </si>
  <si>
    <t>0002423818</t>
  </si>
  <si>
    <t>000200549251</t>
  </si>
  <si>
    <t>000200551203</t>
  </si>
  <si>
    <t>000200573733</t>
  </si>
  <si>
    <t>0/17:01:02</t>
  </si>
  <si>
    <t>000200575071</t>
  </si>
  <si>
    <t>000200574813</t>
  </si>
  <si>
    <t>0098344299</t>
  </si>
  <si>
    <t>000200573732</t>
  </si>
  <si>
    <t>0098025687</t>
  </si>
  <si>
    <t>4/17:52:05</t>
  </si>
  <si>
    <t>0002253112</t>
  </si>
  <si>
    <t>0002352850</t>
  </si>
  <si>
    <t>0002409820</t>
  </si>
  <si>
    <t>0002275937</t>
  </si>
  <si>
    <t>0002292360</t>
  </si>
  <si>
    <t>4503030742</t>
  </si>
  <si>
    <t>0002253113</t>
  </si>
  <si>
    <t>0002253370</t>
  </si>
  <si>
    <t>0002428056</t>
  </si>
  <si>
    <t>2001834197</t>
  </si>
  <si>
    <t>4503030743</t>
  </si>
  <si>
    <t>2001834193</t>
  </si>
  <si>
    <t>0002335864</t>
  </si>
  <si>
    <t>0/13:26:06</t>
  </si>
  <si>
    <t>000200574833</t>
  </si>
  <si>
    <t>0/09:24:16</t>
  </si>
  <si>
    <t>000200574862</t>
  </si>
  <si>
    <t>0002385765</t>
  </si>
  <si>
    <t>0002353853</t>
  </si>
  <si>
    <t>4503054578</t>
  </si>
  <si>
    <t>0002253282</t>
  </si>
  <si>
    <t>0002247376</t>
  </si>
  <si>
    <t>0002164327</t>
  </si>
  <si>
    <t>0098071451</t>
  </si>
  <si>
    <t>0098073070</t>
  </si>
  <si>
    <t>0098073071</t>
  </si>
  <si>
    <t>0/19:42:16</t>
  </si>
  <si>
    <t>0098069725</t>
  </si>
  <si>
    <t>0002361119</t>
  </si>
  <si>
    <t>000200575057</t>
  </si>
  <si>
    <t>0002466863</t>
  </si>
  <si>
    <t>000200575017</t>
  </si>
  <si>
    <t>0002466855</t>
  </si>
  <si>
    <t>000200574654</t>
  </si>
  <si>
    <t>0002464585</t>
  </si>
  <si>
    <t>000200573867</t>
  </si>
  <si>
    <t>22036574</t>
  </si>
  <si>
    <t>LG9000-BK1001-BAG-00-00-00</t>
  </si>
  <si>
    <t>0002465179</t>
  </si>
  <si>
    <t>BK1001</t>
  </si>
  <si>
    <t>000200574722</t>
  </si>
  <si>
    <t>0002449034</t>
  </si>
  <si>
    <t>000200574697</t>
  </si>
  <si>
    <t>0/03:34:57</t>
  </si>
  <si>
    <t>0002466318</t>
  </si>
  <si>
    <t>000200574705</t>
  </si>
  <si>
    <t>0002466315</t>
  </si>
  <si>
    <t>0098071398</t>
  </si>
  <si>
    <t>0002424303</t>
  </si>
  <si>
    <t>0002335587</t>
  </si>
  <si>
    <t>0098071397</t>
  </si>
  <si>
    <t>0002459588</t>
  </si>
  <si>
    <t>000200575076</t>
  </si>
  <si>
    <t>0002466908</t>
  </si>
  <si>
    <t>000200575059</t>
  </si>
  <si>
    <t>0002466867</t>
  </si>
  <si>
    <t>000200575112</t>
  </si>
  <si>
    <t>0002466914</t>
  </si>
  <si>
    <t>000200575142</t>
  </si>
  <si>
    <t>0002466917</t>
  </si>
  <si>
    <t>0002253383</t>
  </si>
  <si>
    <t>000200574995</t>
  </si>
  <si>
    <t>0002466871</t>
  </si>
  <si>
    <t>000200575077</t>
  </si>
  <si>
    <t>0002466920</t>
  </si>
  <si>
    <t>000200575109</t>
  </si>
  <si>
    <t>0002466877</t>
  </si>
  <si>
    <t>0002253344</t>
  </si>
  <si>
    <t>000200575078</t>
  </si>
  <si>
    <t>0002466925</t>
  </si>
  <si>
    <t>000200574997</t>
  </si>
  <si>
    <t>0002466879</t>
  </si>
  <si>
    <t>0/09:42:33</t>
  </si>
  <si>
    <t>000200573438</t>
  </si>
  <si>
    <t>000200574884</t>
  </si>
  <si>
    <t>4503081181</t>
  </si>
  <si>
    <t>000200574761</t>
  </si>
  <si>
    <t>0098332471</t>
  </si>
  <si>
    <t>0098329928</t>
  </si>
  <si>
    <t>0098310111</t>
  </si>
  <si>
    <t>0/01:08:15</t>
  </si>
  <si>
    <t>000200574026</t>
  </si>
  <si>
    <t>0/01:32:38</t>
  </si>
  <si>
    <t>000200573654</t>
  </si>
  <si>
    <t>22029421</t>
  </si>
  <si>
    <t>FXD121R-WH4408X-BAG-00-00-00</t>
  </si>
  <si>
    <t>0002464846</t>
  </si>
  <si>
    <t>WH4408X</t>
  </si>
  <si>
    <t>000200575045</t>
  </si>
  <si>
    <t>22035976</t>
  </si>
  <si>
    <t>EXL9330-GY8C104-BAG-00-00-00</t>
  </si>
  <si>
    <t>0002466806</t>
  </si>
  <si>
    <t>GY8C104</t>
  </si>
  <si>
    <t>0/01:10:41</t>
  </si>
  <si>
    <t>000200574843</t>
  </si>
  <si>
    <t>0002466553</t>
  </si>
  <si>
    <t>000200574698</t>
  </si>
  <si>
    <t>0002466321</t>
  </si>
  <si>
    <t>000200574787</t>
  </si>
  <si>
    <t>000200576263</t>
  </si>
  <si>
    <t>22038105</t>
  </si>
  <si>
    <t>123R-715238-BAG-00-00-00</t>
  </si>
  <si>
    <t>LEX8T</t>
  </si>
  <si>
    <t>0002459301</t>
  </si>
  <si>
    <t>715238</t>
  </si>
  <si>
    <t>000314932810</t>
  </si>
  <si>
    <t>22039315</t>
  </si>
  <si>
    <t>D20001-GYLTNAT-BAG-00-00-00</t>
  </si>
  <si>
    <t>0002464497</t>
  </si>
  <si>
    <t>GYLTNAT</t>
  </si>
  <si>
    <t>000314934254</t>
  </si>
  <si>
    <t>0002464723</t>
  </si>
  <si>
    <t>0098112933</t>
  </si>
  <si>
    <t>000200574817</t>
  </si>
  <si>
    <t>0/04:50:03</t>
  </si>
  <si>
    <t>000200573689</t>
  </si>
  <si>
    <t>0002403705</t>
  </si>
  <si>
    <t>000200573726</t>
  </si>
  <si>
    <t>0002464767</t>
  </si>
  <si>
    <t>000200574965</t>
  </si>
  <si>
    <t>0/06:32:26</t>
  </si>
  <si>
    <t>0002466631</t>
  </si>
  <si>
    <t>000200574786</t>
  </si>
  <si>
    <t>000200573850</t>
  </si>
  <si>
    <t>0/06:30:00</t>
  </si>
  <si>
    <t>0002465093</t>
  </si>
  <si>
    <t>000200573723</t>
  </si>
  <si>
    <t>0002464748</t>
  </si>
  <si>
    <t>000200573638</t>
  </si>
  <si>
    <t>0002464575</t>
  </si>
  <si>
    <t>000200574812</t>
  </si>
  <si>
    <t>22021201</t>
  </si>
  <si>
    <t>101R-701-BAG-00-00-00</t>
  </si>
  <si>
    <t>0002451740</t>
  </si>
  <si>
    <t>101R</t>
  </si>
  <si>
    <t>000200574802</t>
  </si>
  <si>
    <t>0/03:12:34</t>
  </si>
  <si>
    <t>0002463049</t>
  </si>
  <si>
    <t>000200573785</t>
  </si>
  <si>
    <t>0002464960</t>
  </si>
  <si>
    <t>000200573675</t>
  </si>
  <si>
    <t>2001846311</t>
  </si>
  <si>
    <t>000200573717</t>
  </si>
  <si>
    <t>0/03:31:30</t>
  </si>
  <si>
    <t>000200574739</t>
  </si>
  <si>
    <t>299901122</t>
  </si>
  <si>
    <t>D551RC-7A1D347</t>
  </si>
  <si>
    <t>0002466542</t>
  </si>
  <si>
    <t>000200573749</t>
  </si>
  <si>
    <t>22072091</t>
  </si>
  <si>
    <t>D551-7M1D203-SBG-00-00-00</t>
  </si>
  <si>
    <t>0002464836</t>
  </si>
  <si>
    <t>7M1D203</t>
  </si>
  <si>
    <t>000200573830</t>
  </si>
  <si>
    <t>0/03:18:17</t>
  </si>
  <si>
    <t>0002465240</t>
  </si>
  <si>
    <t>000200573754</t>
  </si>
  <si>
    <t>0002465034</t>
  </si>
  <si>
    <t>000200574693</t>
  </si>
  <si>
    <t>0002466292</t>
  </si>
  <si>
    <t>000200574671</t>
  </si>
  <si>
    <t>0002466255</t>
  </si>
  <si>
    <t>000200574649</t>
  </si>
  <si>
    <t>0002466252</t>
  </si>
  <si>
    <t>000200574670</t>
  </si>
  <si>
    <t>0002466251</t>
  </si>
  <si>
    <t>000315943568</t>
  </si>
  <si>
    <t>000200574803</t>
  </si>
  <si>
    <t>0/03:22:15</t>
  </si>
  <si>
    <t>0002466475</t>
  </si>
  <si>
    <t>0002249438</t>
  </si>
  <si>
    <t>0002350453</t>
  </si>
  <si>
    <t>000200574753</t>
  </si>
  <si>
    <t>000200574660</t>
  </si>
  <si>
    <t>0002449122</t>
  </si>
  <si>
    <t>000200574867</t>
  </si>
  <si>
    <t>000200573665</t>
  </si>
  <si>
    <t>0/14:56:22</t>
  </si>
  <si>
    <t>000200574888</t>
  </si>
  <si>
    <t>000200574946</t>
  </si>
  <si>
    <t>000200573653</t>
  </si>
  <si>
    <t>0002464800</t>
  </si>
  <si>
    <t>000200573695</t>
  </si>
  <si>
    <t>0/02:00:26</t>
  </si>
  <si>
    <t>0002464738</t>
  </si>
  <si>
    <t>000200573586</t>
  </si>
  <si>
    <t>0002464491</t>
  </si>
  <si>
    <t>000200573700</t>
  </si>
  <si>
    <t>0002464853</t>
  </si>
  <si>
    <t>0002447132</t>
  </si>
  <si>
    <t>4503020559</t>
  </si>
  <si>
    <t>0/20:04:25</t>
  </si>
  <si>
    <t>000200554576</t>
  </si>
  <si>
    <t>22040901</t>
  </si>
  <si>
    <t>HFD4413-BK1E711-SBG-00-00-00</t>
  </si>
  <si>
    <t>0/01:28:14</t>
  </si>
  <si>
    <t>0002434041</t>
  </si>
  <si>
    <t>HFD4413</t>
  </si>
  <si>
    <t>BK1E711</t>
  </si>
  <si>
    <t>0089907762</t>
  </si>
  <si>
    <t>000200573659</t>
  </si>
  <si>
    <t>0002464921</t>
  </si>
  <si>
    <t>0/05:31:34</t>
  </si>
  <si>
    <t>0/01:31:12</t>
  </si>
  <si>
    <t>0/11:03:10</t>
  </si>
  <si>
    <t>000200574849</t>
  </si>
  <si>
    <t>000200575982</t>
  </si>
  <si>
    <t>000200574887</t>
  </si>
  <si>
    <t>000200573642</t>
  </si>
  <si>
    <t>0002464591</t>
  </si>
  <si>
    <t>0/05:24:57</t>
  </si>
  <si>
    <t>000200576486</t>
  </si>
  <si>
    <t>22072090</t>
  </si>
  <si>
    <t>D551-7A1D272-SBG-00-00-00</t>
  </si>
  <si>
    <t>0002468438</t>
  </si>
  <si>
    <t>7A1D272</t>
  </si>
  <si>
    <t>2/07:15:48</t>
  </si>
  <si>
    <t>000200574933</t>
  </si>
  <si>
    <t>22035028</t>
  </si>
  <si>
    <t>C2950-7T1D302-BAG-00-00-00</t>
  </si>
  <si>
    <t>0002466702</t>
  </si>
  <si>
    <t>7T1D302</t>
  </si>
  <si>
    <t>2/09:09:28</t>
  </si>
  <si>
    <t>000200574955</t>
  </si>
  <si>
    <t>22034218</t>
  </si>
  <si>
    <t>945-7T1D266-BAG-00-00-00</t>
  </si>
  <si>
    <t>0/16:34:44</t>
  </si>
  <si>
    <t>0002466709</t>
  </si>
  <si>
    <t>7T1D266</t>
  </si>
  <si>
    <t>000200574988</t>
  </si>
  <si>
    <t>0/06:13:32</t>
  </si>
  <si>
    <t>0002466811</t>
  </si>
  <si>
    <t>000200574641</t>
  </si>
  <si>
    <t>1/11:53:37</t>
  </si>
  <si>
    <t>1/04:47:09</t>
  </si>
  <si>
    <t>0/01:45:03</t>
  </si>
  <si>
    <t>6/14:37:01</t>
  </si>
  <si>
    <t>000200573539</t>
  </si>
  <si>
    <t>0002464592</t>
  </si>
  <si>
    <t>000200574669</t>
  </si>
  <si>
    <t>0002466247</t>
  </si>
  <si>
    <t>000200574695</t>
  </si>
  <si>
    <t>0/05:50:11</t>
  </si>
  <si>
    <t>0002466312</t>
  </si>
  <si>
    <t>4503016538</t>
  </si>
  <si>
    <t>000200575085</t>
  </si>
  <si>
    <t>0/22:40:48</t>
  </si>
  <si>
    <t>000200575073</t>
  </si>
  <si>
    <t>000200575074</t>
  </si>
  <si>
    <t>1/03:39:00</t>
  </si>
  <si>
    <t>11/04:00:00</t>
  </si>
  <si>
    <t>0/17:51:00</t>
  </si>
  <si>
    <t>000200574656</t>
  </si>
  <si>
    <t>0002466323</t>
  </si>
  <si>
    <t>000200573694</t>
  </si>
  <si>
    <t>000200576004</t>
  </si>
  <si>
    <t>000200576119</t>
  </si>
  <si>
    <t>000200576202</t>
  </si>
  <si>
    <t>000200576129</t>
  </si>
  <si>
    <t>000200576313</t>
  </si>
  <si>
    <t>299905054</t>
  </si>
  <si>
    <t>945-5T2A4118</t>
  </si>
  <si>
    <t>0002466552</t>
  </si>
  <si>
    <t>5T2A4118</t>
  </si>
  <si>
    <t>000200576128</t>
  </si>
  <si>
    <t>000200576468</t>
  </si>
  <si>
    <t>299901832</t>
  </si>
  <si>
    <t>C2800-8T9A1281</t>
  </si>
  <si>
    <t>0002468437</t>
  </si>
  <si>
    <t>8T9A1281</t>
  </si>
  <si>
    <t>000200576074</t>
  </si>
  <si>
    <t>000200576002</t>
  </si>
  <si>
    <t>000200574637</t>
  </si>
  <si>
    <t>0002466219</t>
  </si>
  <si>
    <t>000200574635</t>
  </si>
  <si>
    <t>22039947</t>
  </si>
  <si>
    <t>EXL9414T-NA8E034T-BAG-00-00-00</t>
  </si>
  <si>
    <t>0002466213</t>
  </si>
  <si>
    <t>NA8E034T</t>
  </si>
  <si>
    <t>000200575116</t>
  </si>
  <si>
    <t>22040776</t>
  </si>
  <si>
    <t>FXE1414L-WH9D155-BAG-00-00-00</t>
  </si>
  <si>
    <t>0002466977</t>
  </si>
  <si>
    <t>WH9D155</t>
  </si>
  <si>
    <t>000200575102</t>
  </si>
  <si>
    <t>22020243</t>
  </si>
  <si>
    <t>HFD1830-NA9E109T-BAG-00-00-00</t>
  </si>
  <si>
    <t>0002466832</t>
  </si>
  <si>
    <t>000200575462</t>
  </si>
  <si>
    <t>000200574790</t>
  </si>
  <si>
    <t>000200576361</t>
  </si>
  <si>
    <t>000200576385</t>
  </si>
  <si>
    <t>000200574554</t>
  </si>
  <si>
    <t>000200574624</t>
  </si>
  <si>
    <t>000200574827</t>
  </si>
  <si>
    <t>000200575110</t>
  </si>
  <si>
    <t>22032183</t>
  </si>
  <si>
    <t>EXL9330-GN7B043-BAG-00-00-00</t>
  </si>
  <si>
    <t>0002466882</t>
  </si>
  <si>
    <t>GN7B043</t>
  </si>
  <si>
    <t>000200573576</t>
  </si>
  <si>
    <t>0002464587</t>
  </si>
  <si>
    <t>000200574976</t>
  </si>
  <si>
    <t>22035557</t>
  </si>
  <si>
    <t>CS9610-WH9G410-BAG-00-00-00</t>
  </si>
  <si>
    <t>0002466813</t>
  </si>
  <si>
    <t>WH9G410</t>
  </si>
  <si>
    <t>000200574798</t>
  </si>
  <si>
    <t>000200574748</t>
  </si>
  <si>
    <t>299905935</t>
  </si>
  <si>
    <t>EXL9330-4T7A4252</t>
  </si>
  <si>
    <t>0002466279</t>
  </si>
  <si>
    <t>4T7A4252</t>
  </si>
  <si>
    <t>000200576376</t>
  </si>
  <si>
    <t>0098522655</t>
  </si>
  <si>
    <t>000200576233</t>
  </si>
  <si>
    <t>000200576217</t>
  </si>
  <si>
    <t>0/04:22:30</t>
  </si>
  <si>
    <t>000200576138</t>
  </si>
  <si>
    <t>000200576022</t>
  </si>
  <si>
    <t>0/06:07:30</t>
  </si>
  <si>
    <t>000200574880</t>
  </si>
  <si>
    <t>000200575984</t>
  </si>
  <si>
    <t>000200574891</t>
  </si>
  <si>
    <t>22040551</t>
  </si>
  <si>
    <t>EXL9134-7B5D003-BAG-00-00-00</t>
  </si>
  <si>
    <t>0002466633</t>
  </si>
  <si>
    <t>7B5D003</t>
  </si>
  <si>
    <t>000200575114</t>
  </si>
  <si>
    <t>22030337</t>
  </si>
  <si>
    <t>FXE1414L-WH9D279-BAG-00-00-00</t>
  </si>
  <si>
    <t>0002466974</t>
  </si>
  <si>
    <t>WH9D279</t>
  </si>
  <si>
    <t>0098114161</t>
  </si>
  <si>
    <t>22083288</t>
  </si>
  <si>
    <t>EXL1414-RD7H023-BAG-00-00-00</t>
  </si>
  <si>
    <t>0002466304</t>
  </si>
  <si>
    <t>RD7H023</t>
  </si>
  <si>
    <t>000200574092</t>
  </si>
  <si>
    <t>0098075118</t>
  </si>
  <si>
    <t>0/00:02:06</t>
  </si>
  <si>
    <t>000200573858</t>
  </si>
  <si>
    <t>0002446695</t>
  </si>
  <si>
    <t>000200574852</t>
  </si>
  <si>
    <t>000200573917</t>
  </si>
  <si>
    <t>0002465396</t>
  </si>
  <si>
    <t>000200573896</t>
  </si>
  <si>
    <t>0002465351</t>
  </si>
  <si>
    <t>000200574928</t>
  </si>
  <si>
    <t>22032083</t>
  </si>
  <si>
    <t>CX7240-GY2D293-BAG-00-00-00</t>
  </si>
  <si>
    <t>0002466684</t>
  </si>
  <si>
    <t>GY2D293</t>
  </si>
  <si>
    <t>000200574702</t>
  </si>
  <si>
    <t>299905922</t>
  </si>
  <si>
    <t>945-7M1A4642</t>
  </si>
  <si>
    <t>0002466248</t>
  </si>
  <si>
    <t>7M1A4642</t>
  </si>
  <si>
    <t>0098287992</t>
  </si>
  <si>
    <t>000200574598</t>
  </si>
  <si>
    <t>000200574601</t>
  </si>
  <si>
    <t>22023114</t>
  </si>
  <si>
    <t>EXL9134-BK1A068-BAG-00-00-00</t>
  </si>
  <si>
    <t>0002466300</t>
  </si>
  <si>
    <t>000200574727</t>
  </si>
  <si>
    <t>22030254</t>
  </si>
  <si>
    <t>CX7720-BK1G328-BAG-00-00-00</t>
  </si>
  <si>
    <t>0002466325</t>
  </si>
  <si>
    <t>BK1G328</t>
  </si>
  <si>
    <t>000200575443</t>
  </si>
  <si>
    <t>000200575243</t>
  </si>
  <si>
    <t>000200573685</t>
  </si>
  <si>
    <t>22031763</t>
  </si>
  <si>
    <t>C6200-OR3C107-BAG-00-00-00</t>
  </si>
  <si>
    <t>COYFROO</t>
  </si>
  <si>
    <t>0002456777</t>
  </si>
  <si>
    <t>OR3C107</t>
  </si>
  <si>
    <t>000200574668</t>
  </si>
  <si>
    <t>0002465015</t>
  </si>
  <si>
    <t>000200573593</t>
  </si>
  <si>
    <t>299905861</t>
  </si>
  <si>
    <t>EXL9111-2G3A4538</t>
  </si>
  <si>
    <t>0002464583</t>
  </si>
  <si>
    <t>000200574712</t>
  </si>
  <si>
    <t>0002466390</t>
  </si>
  <si>
    <t>000314938931</t>
  </si>
  <si>
    <t>22030271</t>
  </si>
  <si>
    <t>D20009-BK1A646-BAG-00-00-00</t>
  </si>
  <si>
    <t>0002466438</t>
  </si>
  <si>
    <t>D20009</t>
  </si>
  <si>
    <t>BK1A646</t>
  </si>
  <si>
    <t>000200574811</t>
  </si>
  <si>
    <t>22023844</t>
  </si>
  <si>
    <t>LUX9612G-WH8A490X-BAG-00-00-00</t>
  </si>
  <si>
    <t>0002466489</t>
  </si>
  <si>
    <t>LUX9612G</t>
  </si>
  <si>
    <t>WH8A490X</t>
  </si>
  <si>
    <t>000200574650</t>
  </si>
  <si>
    <t>0002429748</t>
  </si>
  <si>
    <t>000200573577</t>
  </si>
  <si>
    <t>22085771</t>
  </si>
  <si>
    <t>D551-8A9D181-SBG-00-00-00</t>
  </si>
  <si>
    <t>8A9D181</t>
  </si>
  <si>
    <t>000200573578</t>
  </si>
  <si>
    <t>0/14:33:36</t>
  </si>
  <si>
    <t>000200574797</t>
  </si>
  <si>
    <t>000200574962</t>
  </si>
  <si>
    <t>000200573596</t>
  </si>
  <si>
    <t>0002464596</t>
  </si>
  <si>
    <t>000200574667</t>
  </si>
  <si>
    <t>0002466220</t>
  </si>
  <si>
    <t>000200574665</t>
  </si>
  <si>
    <t>0002466216</t>
  </si>
  <si>
    <t>0098158075</t>
  </si>
  <si>
    <t>290030987</t>
  </si>
  <si>
    <t>UX08319-NA3E006</t>
  </si>
  <si>
    <t>000200576311</t>
  </si>
  <si>
    <t>000200573662</t>
  </si>
  <si>
    <t>22066976</t>
  </si>
  <si>
    <t>RP004-BK1A855-FBG-00-00-00</t>
  </si>
  <si>
    <t>0002464469</t>
  </si>
  <si>
    <t>RP004</t>
  </si>
  <si>
    <t>BK1A855</t>
  </si>
  <si>
    <t>000200574631</t>
  </si>
  <si>
    <t>22029209</t>
  </si>
  <si>
    <t>D452-701-SBG-00-00-00</t>
  </si>
  <si>
    <t>0002466203</t>
  </si>
  <si>
    <t>D452</t>
  </si>
  <si>
    <t>000200573670</t>
  </si>
  <si>
    <t>0/07:50:24</t>
  </si>
  <si>
    <t>000200574785</t>
  </si>
  <si>
    <t>0002466476</t>
  </si>
  <si>
    <t>000200573753</t>
  </si>
  <si>
    <t>0002465010</t>
  </si>
  <si>
    <t>UX08319</t>
  </si>
  <si>
    <t>7A8A1502</t>
  </si>
  <si>
    <t>NA3E006</t>
  </si>
  <si>
    <t xml:space="preserve">  粒子GY5 /     </t>
  </si>
  <si>
    <t>IY4</t>
  </si>
  <si>
    <t>IT4</t>
  </si>
  <si>
    <t xml:space="preserve">144R-111FC-BAG    20600KG   22021418    (200574815)  IL1  LXN/CCY          粒子FDA      </t>
  </si>
  <si>
    <t xml:space="preserve">244RF-111FC-BAG    3090KG   22028402    (200575848)  IL2  LXN/CCY          粒子FDA      </t>
  </si>
  <si>
    <t xml:space="preserve">144-111N-BBG    20600KG   22088203    (200574907)  CL1  LXN/CCY          </t>
  </si>
  <si>
    <t xml:space="preserve">HFD1810-NA9E108T-BAG    3090KG   22023584    (200573627)  IX2  LXN          </t>
  </si>
  <si>
    <t xml:space="preserve">201R-111-BAG    20600KG   22017278    (200522272)  IL2  LXN/CCY          </t>
  </si>
  <si>
    <t xml:space="preserve">144-111N-BBG    20600KG   22088203    (200574924)  CL1  LXN/CCY          </t>
  </si>
  <si>
    <t xml:space="preserve">144R-111FC-BAG    20600KG   22021418    (98073183)  IL1  LXN/CCY          粒子FDA      </t>
  </si>
  <si>
    <t xml:space="preserve">144R-111FC-BAG    20600KG   22021418    (98073184)  IL1  LXN/CCY          粒子FDA      </t>
  </si>
  <si>
    <t xml:space="preserve">244RF-111FC-BAG    20600KG   22028402    (200573843)  IL2  LXN/CCY          粒子FDA      </t>
  </si>
  <si>
    <t xml:space="preserve">244RF-111FC-BAG    20600KG   22028402    (200573842)  IL2  LXN/CCY          粒子FDA      </t>
  </si>
  <si>
    <t xml:space="preserve">144R-111FC-BAG    20600KG   22021418    (98071918)  IL1  LXN/CCY          粒子FDA      </t>
  </si>
  <si>
    <t xml:space="preserve">144R-111FC-BAG    20600KG   22021418    (98071919)  IL1  LXN/CCY          粒子FDA      </t>
  </si>
  <si>
    <t xml:space="preserve">144R-111FC-BAG    20600KG   22021418    (98071920)  IL1  LXN/CCY          粒子FDA      </t>
  </si>
  <si>
    <t xml:space="preserve">144R-111FC-BAG    20600KG   22021418    (98071921)  IL1  LXN/CCY          粒子FDA      </t>
  </si>
  <si>
    <t xml:space="preserve">144R-111FC-BAG    20600KG   22021418    (98071922)  IL1  LXN/CCY          粒子FDA      </t>
  </si>
  <si>
    <t xml:space="preserve">144R-111FC-BAG    20600KG   22021418    (98071924)  IL1  LXN/CCY          粒子FDA      </t>
  </si>
  <si>
    <t xml:space="preserve">144R-111FC-BAG    20600KG   22021418    (98071923)  IL1  LXN/CCY          粒子FDA      </t>
  </si>
  <si>
    <t xml:space="preserve">HFD1034-NA9E109T-BAG    20600KG   22040304    (200545294)    LXN          </t>
  </si>
  <si>
    <t xml:space="preserve">HFD1034-NA9E109T-BAG    20600KG   22040304    (200545295)    LXN          </t>
  </si>
  <si>
    <t xml:space="preserve">241R-WH6D069-BAG    10300KG   22030876    (200550423)  IL2  LXN/CCY          粒子      </t>
  </si>
  <si>
    <t xml:space="preserve">LUX2289-WH9G012-BAG    10300KG   22023833    (200498164)  IL2  LXN/CCY          </t>
  </si>
  <si>
    <t xml:space="preserve">CX7240-8T7D033-BAG    10300KG   22030084    (200520048)  IY2  CCY          </t>
  </si>
  <si>
    <t xml:space="preserve">CY6012-7M8D042-BAG    14677.5KG   22045378    (200560057)  IY2  CCY          粒子      </t>
  </si>
  <si>
    <t xml:space="preserve">241R-WH6D069-BAG    20600KG   22030876    (200531796)  IL2  LXN/CCY          粒子      </t>
  </si>
  <si>
    <t xml:space="preserve">241R-WH6D069-BAG    20600KG   22030876    (200550422)  IL2  LXN/CCY          粒子      </t>
  </si>
  <si>
    <t xml:space="preserve">EXL9330-7T7D185-BAG    10300KG   22040593    (200574947)  IX2  CCY          </t>
  </si>
  <si>
    <t xml:space="preserve">915R-WH9G002-BAG    5150KG   22022146    (200573787)  IL2  CCY          </t>
  </si>
  <si>
    <t xml:space="preserve">XHT4141-GY8D046-BAG    8240KG   22021049    (200575080)  IX2  XHT/LXN          </t>
  </si>
  <si>
    <t xml:space="preserve">CY6012-6M4D043-BAG    3244.5KG   22066416    (200574725)  IY2  CCY         含Br/Cl        </t>
  </si>
  <si>
    <t xml:space="preserve">C1200HF-GY3F031-BAG    5150KG   22034454    (200572750)  IY2  CCY          </t>
  </si>
  <si>
    <t xml:space="preserve">221R-1111-BAG    3090KG   22033706    (200573597)  IL2  LXN/CCY          </t>
  </si>
  <si>
    <t xml:space="preserve">XHT4141-GY8D046-BAG    8240KG   22021049    (200575088)  IX2  XHT/LXN          </t>
  </si>
  <si>
    <t xml:space="preserve">XHT2141-GY8D046-BAG    5150KG   22025085    (200575090)  IX2  XHT/LXN          </t>
  </si>
  <si>
    <t xml:space="preserve">XHT4141-GY8D046-BAG    8240KG   22021049    (200575126)  IX2  XHT/LXN          </t>
  </si>
  <si>
    <t xml:space="preserve">C1200HF-GY3F031-BAG    5150KG   22034454    (200572783)  IY2  CCY          </t>
  </si>
  <si>
    <t xml:space="preserve">XCY620S-76701-BAG    20600KG   22037308    (200574832)  IY1  CCY          </t>
  </si>
  <si>
    <t xml:space="preserve">XCY620S-76701-BAG    20600KG   22037308    (200574831)  IY1  CCY          </t>
  </si>
  <si>
    <t xml:space="preserve">XCY620S-76701-BAG    20600KG   22037308    (200574834)  IY1  CCY          </t>
  </si>
  <si>
    <t xml:space="preserve">XCY620S-76701-BAG    20600KG   22037308    (200574837)  IY1  CCY          </t>
  </si>
  <si>
    <t xml:space="preserve">XCY620S-76701-BAG    20600KG   22037308    (200574835)  IY1  CCY          </t>
  </si>
  <si>
    <t xml:space="preserve">XCY620S-76701-BAG    20600KG   22037308    (200574840)  IY1  CCY          </t>
  </si>
  <si>
    <t xml:space="preserve">XCY620S-76701-BAG    20600KG   22037308    (200574841)  IY1  CCY          </t>
  </si>
  <si>
    <t xml:space="preserve">C6600-BK1B379-BAG    13750.5KG   22038905    (200574974)  IY2  CCY          </t>
  </si>
  <si>
    <t xml:space="preserve">XCY620S-76701-BAG    20600KG   22037308    (200574836)  IY1  CCY          </t>
  </si>
  <si>
    <t xml:space="preserve">XCY620S-76701-BAG    20600KG   22037308    (200574838)  IY1  CCY          </t>
  </si>
  <si>
    <t xml:space="preserve">CY6025-2B2D023-BAG    15450KG   22044231    (200570258)  IY2  CCY          粒子      </t>
  </si>
  <si>
    <t xml:space="preserve">XCY620S-76701-BAG    20600KG   22037308    (200574839)  IY1  CCY          </t>
  </si>
  <si>
    <t xml:space="preserve">CY6414-701-BAG    5000KG   22035338    (200574828)  IY4  CCY          粒子Fix on L3/L4      </t>
  </si>
  <si>
    <t xml:space="preserve">C6600-BK1B379-BAG    10300KG   22038905    (200574973)  IY2  CCY          </t>
  </si>
  <si>
    <t xml:space="preserve">EXL9134-7T3D020-BAG    10300KG   22036290    (200568746)  IX2  CCY          </t>
  </si>
  <si>
    <t xml:space="preserve">SLX1432-BK1C090-BAG    3000KG   22088894    (200574678)  IX2  LXN/CCY          </t>
  </si>
  <si>
    <t xml:space="preserve">CX7240-7T1D434-BAG    10300KG   22067443    (200573738)  IY2  CCY         含Br/Cl        </t>
  </si>
  <si>
    <t xml:space="preserve">CX7240-7T1D434-BAG    10300KG   22067443    (200573734)  IY2  CCY         含Br/Cl        </t>
  </si>
  <si>
    <t xml:space="preserve">CX7240-2M2D027-BAG    5407.5KG   22065061    (200574680)  IY2  CCY          </t>
  </si>
  <si>
    <t xml:space="preserve">C2950-GY8E438-BAG    5000KG   22039523    (200545170)  IY2  CCY          粒子      </t>
  </si>
  <si>
    <t xml:space="preserve">945-7T2D197-BAG    2000KG   22034219    (200574932)  IL2  CCY          </t>
  </si>
  <si>
    <t xml:space="preserve">CY6012-GY1D109-BAG    4120KG   22035321    (200574783)    CCY          </t>
  </si>
  <si>
    <t xml:space="preserve">C2950-GY8E438-BAG    2000KG   22039523    (200549284)  IY2  CCY          粒子      </t>
  </si>
  <si>
    <t xml:space="preserve">C6600-BK1740-BAG    2137.25KG   22031670    (200570619)  IY2  CCY          </t>
  </si>
  <si>
    <t xml:space="preserve">123R-BK1G204-BAG    2000KG   22033067    (200557139)  IL2  LXN/CCY          </t>
  </si>
  <si>
    <t xml:space="preserve">SLX2271T-BK1E540-BAG    10300KG   22018960    (200562501)  IX2  LXN/CCY          </t>
  </si>
  <si>
    <t xml:space="preserve">LS1-701-BAG    10300KG   22041018    (200575018)  IL2  LXN/CCY          </t>
  </si>
  <si>
    <t xml:space="preserve">LS1-701-BAG    20600KG   22041018    (200575108)  IL2  LXN/CCY          </t>
  </si>
  <si>
    <t xml:space="preserve">143-BK1111-BAG    10222.75KG   22030766    (200575075)  IL2      </t>
  </si>
  <si>
    <t xml:space="preserve">LS1-701-BAG    10300KG   22041018    (200574996)  IL2  LXN/CCY          </t>
  </si>
  <si>
    <t xml:space="preserve">EXL1414-BK1A068-BAG    20600KG   22022857    (200574779)  IX1  CCY          </t>
  </si>
  <si>
    <t xml:space="preserve">EXL9330-BK1A068-BAG    20600KG   22018508    (200574844)  IX1  CCY          </t>
  </si>
  <si>
    <t xml:space="preserve">XHT3141-BK1C141-BAG    20000KG   22021045    (200574800)  IX1  XHT/LXN          </t>
  </si>
  <si>
    <t xml:space="preserve">XCY620-BK1005-BAG    20600KG   22025061    (98073518)  IY1  CCY          </t>
  </si>
  <si>
    <t xml:space="preserve">CH6410-701-BAG    20000KG   22035048    (200574902)  IY1  CCY          </t>
  </si>
  <si>
    <t xml:space="preserve">XHT4141-BK1C141-BAG    20600KG   22021048    (98017027)  IX1  XHT/LXN          </t>
  </si>
  <si>
    <t xml:space="preserve">CY6012-7M1D238-BAG    10583.25KG   22089280    (200536265)  IY2  CCY          </t>
  </si>
  <si>
    <t xml:space="preserve">XCY620S-76701-BAG    20600KG   22037308    (98071272)  IY1  CCY          </t>
  </si>
  <si>
    <t xml:space="preserve">SLX2271T-BK1G296-BAG    20000KG   22020921    (95369668)  IX4  LXN/CCY          </t>
  </si>
  <si>
    <t xml:space="preserve">XCY620-BK1005-BAG    10300KG   22025061    (98073065)  IY1  CCY          </t>
  </si>
  <si>
    <t xml:space="preserve">SLX2271T-BK1G296-BAG    20000KG   22020921    (95369669)  IX4  LXN/CCY          </t>
  </si>
  <si>
    <t xml:space="preserve">XCY620-BK1005-BAG    20600KG   22025061    (98073067)  IY1  CCY          </t>
  </si>
  <si>
    <t xml:space="preserve">SLX2271T-BK1G296-BAG    20000KG   22020921    (95369670)  IX4  LXN/CCY          </t>
  </si>
  <si>
    <t xml:space="preserve">XCY620-BK1005-BAG    13390KG   22025061    (98073068)  IY1  CCY          </t>
  </si>
  <si>
    <t xml:space="preserve">SLX2271T-BK1G296-BAG    20000KG   22020921    (97255631)  IX4  LXN/CCY          </t>
  </si>
  <si>
    <t xml:space="preserve">SLX2271T-BK1G296-BAG    20000KG   22020921    (97254799)  IX4  LXN/CCY          </t>
  </si>
  <si>
    <t xml:space="preserve">C2950-2T2D080-BAG    344.5KG   22098648    (200574870)  IY2  CCY          </t>
  </si>
  <si>
    <t xml:space="preserve">C1200HF-WH8450-BAG    344.5KG   22034491    (200569712)  IY2  CCY          粒子      </t>
  </si>
  <si>
    <t xml:space="preserve">HFD1810-7T1A3328-    1060KG   299903662    (200569764)  IX2  LXN          </t>
  </si>
  <si>
    <t xml:space="preserve">SLX2271T-BK1B201-BAG    1060KG   22041350    (314938536)    LXN/CCY          </t>
  </si>
  <si>
    <t xml:space="preserve">945-4T6D072-BAG    689KG   22043512    (200574633)  IL2  CCY         含Br/Cl        </t>
  </si>
  <si>
    <t xml:space="preserve">920-GY1818-BAG    1060KG   22022153    (200537774)  IL2  CCY         含Br/Cl        </t>
  </si>
  <si>
    <t xml:space="preserve">CX7240U-7T1D441-BAG    530KG   22089276    (200561317)  IY2  CCY          </t>
  </si>
  <si>
    <t xml:space="preserve">915R-GY5515-BAG    1060KG   22043816    (200551018)  IL2  CCY          </t>
  </si>
  <si>
    <t xml:space="preserve">EXL9330-BK2E002-BAG    318KG   22036348    (200567178)  IX2  CCY          </t>
  </si>
  <si>
    <t xml:space="preserve">CX7259-7A1D057-BAG    265KG   22022747    (200567147)  IY2  CCY          </t>
  </si>
  <si>
    <t xml:space="preserve">EXL9330-BK2E002-BAG    344.5KG   22036348    (200567254)  IX2  CCY          </t>
  </si>
  <si>
    <t xml:space="preserve">CX7259-7A1D057-BAG    1060KG   22022747    (200559303)  IY2  CCY          </t>
  </si>
  <si>
    <t xml:space="preserve">EXL9330-3T6A3632-    500KG   299904131    (200574734)  IX2  CCY          </t>
  </si>
  <si>
    <t xml:space="preserve">EXL1414T-7N1A3204-    530KG   299903534    (200569481)  IX2  CCY          </t>
  </si>
  <si>
    <t xml:space="preserve">EXL1414-7A1D157-BAG    1060KG   22022855    (200560229)  IX2  CCY          </t>
  </si>
  <si>
    <t xml:space="preserve">EXL9330-8T9D111-BAG    530KG   22023132    (200571800)  IX2  CCY          </t>
  </si>
  <si>
    <t xml:space="preserve">915R-GY5G115-BAG    1060KG   22038986    (200543491)  IL2  CCY          </t>
  </si>
  <si>
    <t xml:space="preserve">CX7240-7T8D710-BAG    530KG   22028718    (200566336)  IY2  CCY          </t>
  </si>
  <si>
    <t xml:space="preserve">EXL8414-7A1D363-BAG    530KG   22086298    (200570729)  IX2  CCY          </t>
  </si>
  <si>
    <t xml:space="preserve">EXL9330-2T2A2658-    318KG   299903077    (200571699)  IX2  CCY          </t>
  </si>
  <si>
    <t xml:space="preserve">945-7T8D574-BAG    530KG   22034225    (200562828)  IL2  CCY          </t>
  </si>
  <si>
    <t xml:space="preserve">EXCY0324-NA9G166T-BAG    1000KG   22035594    (200573669)  IV2  GF          </t>
  </si>
  <si>
    <t xml:space="preserve">C2951-701-BAG    530KG   22034656    (200574769)  IY2  CCY          </t>
  </si>
  <si>
    <t xml:space="preserve">FXD171R-8A8D035X-BAG    318KG   22040720    (200576485)  IX2  LXN/CCY          </t>
  </si>
  <si>
    <t xml:space="preserve">SLX1432-GN3G080-BAG    530KG   22089135    (200574713)  IX2  LXN/CCY          </t>
  </si>
  <si>
    <t xml:space="preserve">FXD921A-NA8D023X-BAG    530KG   22040736    (200573648)  IX2  LXN/CCY         含Br/Cl        </t>
  </si>
  <si>
    <t xml:space="preserve">C2950-71839-BAG    530KG   22018343    (200576417)  IY2  CCY          粒子GY5 /       </t>
  </si>
  <si>
    <t xml:space="preserve">C6600-8M9D029-BAG    530KG   22022574    (200573780)  IY2  CCY          </t>
  </si>
  <si>
    <t xml:space="preserve">945-GY2E572-BAG    500KG   22034256    (200562544)  IL2  CCY          </t>
  </si>
  <si>
    <t xml:space="preserve">LUX9616G-WH8A492X-BAG    1000KG   22017868    (200566614)  IL2  LXN          </t>
  </si>
  <si>
    <t xml:space="preserve">C1200HF-701-BAG    20400KG   22022222    (200574873)  IY1  CCY          </t>
  </si>
  <si>
    <t xml:space="preserve">C1200HF-76701-BAG    12240KG   22028141    (200574778)  IY4  CCY          </t>
  </si>
  <si>
    <t xml:space="preserve">C1200HF-701-BAG    20400KG   22022222    (200574872)  IY1  CCY          </t>
  </si>
  <si>
    <t xml:space="preserve">XCY620-BK1005-BAG    20399.999KG   22025061    (200574876)  IY1  CCY          </t>
  </si>
  <si>
    <t xml:space="preserve">C6200-7T1D306-BAG    10200KG   22035116    (200548672)  IY2  CCY          </t>
  </si>
  <si>
    <t xml:space="preserve">C1200HF-BK2G024-BAG    20400KG   22034874    (200530237)  IY2  CCY          </t>
  </si>
  <si>
    <t xml:space="preserve">C2950-701-BAG    20400KG   22022271    (200568576)  IY1  CCY          </t>
  </si>
  <si>
    <t xml:space="preserve">XCY620-BK1005-BAG    20399.999KG   22025061    (200574780)  IY1  CCY          </t>
  </si>
  <si>
    <t xml:space="preserve">XCY620-BK1005-BAG    20399.999KG   22025061    (200575086)  IY1  CCY          </t>
  </si>
  <si>
    <t xml:space="preserve">XCY620-BK1005-BAG    20399.999KG   22025061    (200575124)  IY1  CCY          </t>
  </si>
  <si>
    <t xml:space="preserve">XCY620-BK1005-BAG    20399.999KG   22025061    (200574878)  IY1  CCY          </t>
  </si>
  <si>
    <t xml:space="preserve">C2950-701-BAG    20399.999KG   22022271    (200574882)  IY1  CCY          </t>
  </si>
  <si>
    <t xml:space="preserve">XCY620-BK1005-BAG    20399.999KG   22025061    (200575111)  IY1  CCY          </t>
  </si>
  <si>
    <t xml:space="preserve">C6200-701-BAG    20400KG   22018354    (200574796)  IY1  CCY          </t>
  </si>
  <si>
    <t xml:space="preserve">C2950-701-BAG    20000KG   22022271    (200574801)  IY1  CCY          </t>
  </si>
  <si>
    <t xml:space="preserve">XCY620-BK1005-BAG    10200KG   22025061    (200574877)  IY1  CCY          </t>
  </si>
  <si>
    <t xml:space="preserve">XCY620-BK1005-BAG    20399.999KG   22025061    (200574879)  IY1  CCY          </t>
  </si>
  <si>
    <t xml:space="preserve">C1200HF-7001-BAG    9180KG   22034851    (200533839)  IY2  CCY          </t>
  </si>
  <si>
    <t xml:space="preserve">XCY620-BK1005-BAG    20400KG   22025061    (200574875)  IY1  CCY          </t>
  </si>
  <si>
    <t xml:space="preserve">C1100HF-701-BAG    4998KG   22039357    (200541157)  IY2  CCY          </t>
  </si>
  <si>
    <t xml:space="preserve">SLX2271T-BK1G296-BAG    20000KG   22020921    (94691987)  IX4  LXN/CCY          </t>
  </si>
  <si>
    <t xml:space="preserve">HF1140-111FC-BAG    20399.999KG   22020237    (200573844)  IL2  LXN/CCY          FDA/可使用50%粒子      </t>
  </si>
  <si>
    <t xml:space="preserve">201R-111-BAG    20399.999KG   22017278    (200573770)  IL2  LXN/CCY          </t>
  </si>
  <si>
    <t xml:space="preserve">C6600-8B8D004-BAG    6000KG   22035246    (200503072)  IY2  CCY          粒子Not NS1, PP issue      </t>
  </si>
  <si>
    <t xml:space="preserve">C1200HF-BK1G484U-BBG    20000KG   22031613    (200497039)  IY2  CCY          </t>
  </si>
  <si>
    <t xml:space="preserve">121-6A3A0256-    1837.5KG   299900453    (200574700)  IP2  LXN/CCY          </t>
  </si>
  <si>
    <t xml:space="preserve">945-2T1D068-BAG    2520KG   22045072    (200574645)  IL2  CCY          </t>
  </si>
  <si>
    <t xml:space="preserve">CS9610-GY2E103-BAG    1725KG   22029319    (200574826)  IY2  CCY          </t>
  </si>
  <si>
    <t xml:space="preserve">123X-2G2A4024-    1575KG   299905666    (200566310)  IX2  CCY          </t>
  </si>
  <si>
    <t xml:space="preserve">FXE1414T-BK1A184T-BAG    525KG   22028990    (200571835)  IX2  CCY          </t>
  </si>
  <si>
    <t xml:space="preserve">LS2-414-BAG    5250KG   22018729    (200533869)  IL2  LXN/CCY          粒子      </t>
  </si>
  <si>
    <t xml:space="preserve">EXL1414T-2G1A0236T-    2625KG   299900850    (200574742)  IX2  CCY          </t>
  </si>
  <si>
    <t xml:space="preserve">ENH2901RC-7A1D332-BAG    3500KG   22084251    (200574581)  IV2  CCY          </t>
  </si>
  <si>
    <t xml:space="preserve">EXL1414T-7N1A3204-    300KG   299903534    (200573913)  IX2  CCY          </t>
  </si>
  <si>
    <t xml:space="preserve">EXL1132T-7G1A1299T-    761.25KG   299901419    (200573537)  IX2  CCY          </t>
  </si>
  <si>
    <t xml:space="preserve">121-6A3A0256-    1050KG   299900453    (200575072)  IP2  LXN/CCY          </t>
  </si>
  <si>
    <t xml:space="preserve">EXL9330-7T3A2421-    1500KG   299902948    (200573683)  IX2  CCY          </t>
  </si>
  <si>
    <t xml:space="preserve">EXL9330-GY2G045-BAG    525KG   22032188    (200574911)  IX2  CCY          </t>
  </si>
  <si>
    <t xml:space="preserve">923-701-BAG    525KG   22017317    (200574948)  IL2  CCY         含Br/Cl        </t>
  </si>
  <si>
    <t xml:space="preserve">CX7240-7T1D164-BAG    400KG   22031860    (200574640)  IY2  CCY          </t>
  </si>
  <si>
    <t xml:space="preserve">943-GY3G341-BAG    5250KG   22039166    (200573588)  IL2  CCY         含Br/Cl        </t>
  </si>
  <si>
    <t xml:space="preserve">945U-BL6A210-BAG    1050KG   22030007    (200573769)  IL2  CCY          </t>
  </si>
  <si>
    <t xml:space="preserve">BY2710X-4N5D017-BAG    1575KG   22029884    (200574694)  IL2  CCY          </t>
  </si>
  <si>
    <t xml:space="preserve">CX7240-2M4D051-BAG    5591.25KG   22067436    (200574750)  IY2  CCY          </t>
  </si>
  <si>
    <t xml:space="preserve">EXL9330-2T2D063-BAG    500KG   22036303    (200568360)  IX2  CCY          </t>
  </si>
  <si>
    <t xml:space="preserve">945A-BL5D091T-BAG    2100KG   22031493    (200574858)  IL2  LXN/CCY          </t>
  </si>
  <si>
    <t xml:space="preserve">EXL9112-BK1A068-BAG    1000KG   22035891    (92466148)  IX2  CCY          </t>
  </si>
  <si>
    <t xml:space="preserve">MC1300-701-BAG    10000KG   22023858    (200557043)  IY2  CCY          </t>
  </si>
  <si>
    <t xml:space="preserve">X11-4051-BAG    2100KG   22025006    (200576250)    CCY          </t>
  </si>
  <si>
    <t xml:space="preserve">CY6012-7M6D036-BAG    2598.75KG   22066418    (200556135)  IY2  CCY          </t>
  </si>
  <si>
    <t xml:space="preserve">C2100-86159-BAG    2073.75KG   22029924    (200529111)  IY2  CCY         含Br/Cl  粒子      </t>
  </si>
  <si>
    <t xml:space="preserve">123R-WH5G107-BAG    2100KG   22044544    (200470141)  IL2  LXN/CCY          粒子      </t>
  </si>
  <si>
    <t xml:space="preserve">EXL1414T-WH9E305-BAG    735KG   22032378    (200575014)  IX2  CCY          </t>
  </si>
  <si>
    <t xml:space="preserve">EXL9330-GY6H029-BAG    2520KG   22083956    (200571726)  IX2  CCY          </t>
  </si>
  <si>
    <t xml:space="preserve">CX7240-8B9D106-BAG    5407.5KG   22035231    (200574639)  IY2  CCY          </t>
  </si>
  <si>
    <t xml:space="preserve">EXL1414-7N9A2710-    8268.75KG   299903128    (200574703)  IX2  CCY          </t>
  </si>
  <si>
    <t xml:space="preserve">EXL1414-GY3G406-BAG    525KG   22067591    (200574772)  IX2  CCY          </t>
  </si>
  <si>
    <t xml:space="preserve">LUX7169-WH8G733-BAG    2100KG   22041058    (96245775)  IL2  CCY          </t>
  </si>
  <si>
    <t xml:space="preserve">C6200-GY7C059-BAG    2000KG   22022537    (200538817)  IY2  CCY          粒子      </t>
  </si>
  <si>
    <t xml:space="preserve">DFP34-BK8115-BAG    2200KG   22029213    (200566114)  IT2  GL          </t>
  </si>
  <si>
    <t xml:space="preserve">ER007485-6G5A4940-    330KG   299905993    (200574711)  IT2  FARADEX          </t>
  </si>
  <si>
    <t xml:space="preserve">V4760-BK1066-BAG    1100KG   22018981    (98110605)  IV2  GF         含Br/Cl        </t>
  </si>
  <si>
    <t xml:space="preserve">A3000-BK8115-BAG    1100KG   22034318    (200569519)  IT2  GL          </t>
  </si>
  <si>
    <t xml:space="preserve">420SE0-8244-BAG    550KG   22018189    (200567542)  IV2  GF         含Br/Cl        </t>
  </si>
  <si>
    <t xml:space="preserve">ER007485-7G1A4725-SBG    330KG   22106794    (200574124)  IT2  FARADEX          </t>
  </si>
  <si>
    <t xml:space="preserve">UFL36AS-YWLTNAT-SBG    2200KG   22037570    (200574854)  IT2  GL          </t>
  </si>
  <si>
    <t xml:space="preserve">RCP36-BK1A862-SBG    1100KG   22040918    (200567464)  IT2  GL          </t>
  </si>
  <si>
    <t xml:space="preserve">UF0067W-BK1B661-SBG    220KG   22102550    (98206068)  IT2  Konduit          </t>
  </si>
  <si>
    <t xml:space="preserve">A3000-BK8115-BAG    1100KG   22034318    (200574971)  IT2  GL          </t>
  </si>
  <si>
    <t xml:space="preserve">500R-GY3G080-BAG    2090KG   22038734    (200503093)  IL2  GF         含Br/Cl        </t>
  </si>
  <si>
    <t xml:space="preserve">DFP36-BK1A672-SBG    550KG   22040199    (200574874)  IT2  GL          </t>
  </si>
  <si>
    <t xml:space="preserve">DP0039EF-BK8115-BAG    330KG   22035480    (200574806)  IT2  FR         含Br/Cl        </t>
  </si>
  <si>
    <t xml:space="preserve">RFL36XXY-BK1A843-SBG    2640KG   22029458    (200574816)  IT2  GL          </t>
  </si>
  <si>
    <t xml:space="preserve">EXL5689-7T6D103-    1000KG   290012304    (200574729)  IX2  GF          </t>
  </si>
  <si>
    <t xml:space="preserve">RCP36-BK1A862-SBG    2640KG   22040918    (200574922)  IT2  GL          </t>
  </si>
  <si>
    <t xml:space="preserve">KD000-BKNAT-BAG    20000KG   22036843    (96103514)  IT4  LMS          </t>
  </si>
  <si>
    <t xml:space="preserve">DX07323-BK1D817-SBG    330KG   22039445    (200573882)  IT2  FARADEX          </t>
  </si>
  <si>
    <t xml:space="preserve">KD000-BKNAT-BAG    1050KG   22036843    (98019066)  IT4  LMS          </t>
  </si>
  <si>
    <t xml:space="preserve">EXL5689-GY8B430-BAG    330KG   22035880    (98017024)  IX2  GF          </t>
  </si>
  <si>
    <t xml:space="preserve">ML7672-739-BAG    550KG   22040715    (200574738)  IL2  GF          </t>
  </si>
  <si>
    <t xml:space="preserve">ER007485-7G1A4725-SBG    700KG   22106794    (96286256)  IT2  FARADEX          </t>
  </si>
  <si>
    <t xml:space="preserve">V4760-BK1066-BAG    11000KG   22018981    (200574534)  IV2  GF         含Br/Cl        </t>
  </si>
  <si>
    <t xml:space="preserve">RFL36XXZ-GYMDNAT-SBG    2200KG   22037039    (200573644)  IT2  GL          </t>
  </si>
  <si>
    <t xml:space="preserve">ER007485-7G1A4725-SBG    800KG   22106794    (97251086)  IT2  FARADEX          </t>
  </si>
  <si>
    <t xml:space="preserve">ER007485-7G1A4725-SBG    2200KG   22106794    (200573937)  IT2  FARADEX          </t>
  </si>
  <si>
    <t xml:space="preserve">ER007485-7G1A4725-SBG    1980KG   22106794    (200573924)  IT2  FARADEX          </t>
  </si>
  <si>
    <t xml:space="preserve">ER007485-7G1A4725-SBG    330KG   22106794    (97928547)  IT2  FARADEX          </t>
  </si>
  <si>
    <t xml:space="preserve">ER007485-7G1A4725-SBG    550KG   22106794    (200574041)  IT2  FARADEX          </t>
  </si>
  <si>
    <t xml:space="preserve">ER007485-7G1A4725-SBG    1100KG   22106794    (200574062)  IT2  FARADEX          </t>
  </si>
  <si>
    <t xml:space="preserve">ER007485-7G1A4725-SBG    3300KG   22106794    (200573922)  IT2  FARADEX          </t>
  </si>
  <si>
    <t xml:space="preserve">DEL329XF-BK8115-SBG    1100KG   22035808    (200574764)    GL         含Br/Cl        </t>
  </si>
  <si>
    <t xml:space="preserve">DE0029E-GY3A643-SBG    300KG   22031872    (92464767)  IT2  GL         含Br/Cl        </t>
  </si>
  <si>
    <t xml:space="preserve">DE0029E-GY3A643-SBG    300KG   22031872    (92464768)  IT2  GL         含Br/Cl        </t>
  </si>
  <si>
    <t xml:space="preserve">RFL36XXZ-GYMDNAT-SBG    2200KG   22037039    (200573599)  IT2  GL          </t>
  </si>
  <si>
    <t xml:space="preserve">DE0029E-GY3A643-SBG    300KG   22031872    (92464769)  IT2  GL         含Br/Cl        </t>
  </si>
  <si>
    <t xml:space="preserve">DX89406-BKNAT-BPK    10500KG   22039467    (200573803)  IT1  3M          </t>
  </si>
  <si>
    <t xml:space="preserve">DX89406-BKNAT-BPK    10500KG   22039467    (200573802)  IT1  3M          </t>
  </si>
  <si>
    <t xml:space="preserve">DX89406-BKNAT-BPK    10500KG   22039467    (200573681)  IT1  3M          </t>
  </si>
  <si>
    <t xml:space="preserve">DX89406-BKNAT-BPK    10500KG   22039467    (200574818)  IT1  3M          </t>
  </si>
  <si>
    <t xml:space="preserve">DX89406-BKNAT-BPK    10000KG   22039467    (200574821)  IT1  3M          </t>
  </si>
  <si>
    <t xml:space="preserve">DX89406-BKNAT-BPK    10000KG   22039467    (200574820)  IT1  3M          </t>
  </si>
  <si>
    <t xml:space="preserve">DX89406-BKNAT-BPK    10000KG   22039467    (200574819)  IT1  3M          </t>
  </si>
  <si>
    <t xml:space="preserve">3412ECR-131-BAG    10400KG   22021723    (200562523)  IL2  GF          </t>
  </si>
  <si>
    <t xml:space="preserve">500R-131-BAG    20800KG   22018199    (200574822)  IL1  GF         含Br/Cl        </t>
  </si>
  <si>
    <t xml:space="preserve">500R-131-BAG    20800KG   22018199    (200568547)  IL1  GF         含Br/Cl        </t>
  </si>
  <si>
    <t xml:space="preserve">420SE0-1001-BAG    20999.999KG   22021649    (200574848)  IV1  GF         含Br/Cl        </t>
  </si>
  <si>
    <t xml:space="preserve">420SE0-1001-BAG    10499.999KG   22021649    (200574847)  IV1  GF         含Br/Cl        </t>
  </si>
  <si>
    <t xml:space="preserve">3412R-131-BAG    10400KG   22021728    (200562417)  IL2  GF         含Br/Cl        </t>
  </si>
  <si>
    <t xml:space="preserve">3413R-131-SBG    10400KG   22037885    (200575061)  IL2  GF         含Br/Cl        </t>
  </si>
  <si>
    <t xml:space="preserve">500R-131-BAG    20799.999KG   22018199    (98039755)  IL1  GF         含Br/Cl        </t>
  </si>
  <si>
    <t xml:space="preserve">500R-131-BAG    20799.999KG   22018199    (98039756)  IL1  GF         含Br/Cl        </t>
  </si>
  <si>
    <t xml:space="preserve">3412ECR-739-BAG    20000KG   22017144    (200574794)  IL1  GF          </t>
  </si>
  <si>
    <t xml:space="preserve">3412ECR-739-BAG    20000KG   22017144    (200574795)  IL1  GF          </t>
  </si>
  <si>
    <t xml:space="preserve">3412ECR-739-BAG    20000KG   22017144    (200574793)  IL1  GF          </t>
  </si>
  <si>
    <t xml:space="preserve">CY6012-7M1D064-BAG    10790KG   22035701    (200574765)  IY2  CCY          </t>
  </si>
  <si>
    <t xml:space="preserve">420SE0-BK1066-BAG    20999.999KG   22019379    (98040176)  IV1  GF         含Br/Cl        </t>
  </si>
  <si>
    <t xml:space="preserve">420SE0-BK1066-BAG    20999.999KG   22019379    (98040177)  IV1  GF         含Br/Cl        </t>
  </si>
  <si>
    <t xml:space="preserve">923-BK1261-BAG    2369KG   22038237    (200573725)  IL2  CCY         含Br/Cl        </t>
  </si>
  <si>
    <t xml:space="preserve">940-701-BAG    20600KG   22019549    (200574864)  IL1  CCY         含Br/Cl        </t>
  </si>
  <si>
    <t xml:space="preserve">940-701-BAG    20600KG   22019549    (200574863)  IL1  CCY         含Br/Cl        </t>
  </si>
  <si>
    <t xml:space="preserve">RCM6224-7M1D181-BAG    10300KG   22084110    (200574943)  IY2  LXN          </t>
  </si>
  <si>
    <t xml:space="preserve">RCM6224-7M1D181-BAG    5150KG   22084110    (200574942)  IY2  LXN          </t>
  </si>
  <si>
    <t xml:space="preserve">CP8320-76701-BAG    10300KG   22056197    (200561877)  IY2  WP          </t>
  </si>
  <si>
    <t xml:space="preserve">RCM6224-7M1D181-BAG    2317.5KG   22084110    (200574944)  IY2  LXN          </t>
  </si>
  <si>
    <t xml:space="preserve">RCM6134-BK1G004-BAG    2060KG   22037399    (200574904)  IY2  WP          </t>
  </si>
  <si>
    <t xml:space="preserve">945-701-BAG    20600KG   22019581    (200574865)  IL1  CCY          </t>
  </si>
  <si>
    <t xml:space="preserve">940-701-BAG    20600KG   22019549    (98038707)  IL1  CCY         含Br/Cl        </t>
  </si>
  <si>
    <t xml:space="preserve">C6600-7T1D193-BAG    20600KG   22039700    (200574688)  IY2  CCY          </t>
  </si>
  <si>
    <t xml:space="preserve">CX7240-2M5D017-BAG    3399KG   22066411    (200574681)  IY2  CCY          </t>
  </si>
  <si>
    <t xml:space="preserve">940-701-BAG    20600KG   22019549    (98038708)  IL1  CCY         含Br/Cl        </t>
  </si>
  <si>
    <t xml:space="preserve">CX7240-BK2E064-BAG    2000KG   22040062    (200570066)  IY2  CCY          </t>
  </si>
  <si>
    <t xml:space="preserve">BY2710X-BK1A068-BAG    5150KG   22034807    (97733803)  IL1  CCY          </t>
  </si>
  <si>
    <t xml:space="preserve">RCM6134-BK1G004-BAG    2060KG   22037399    (97251247)  IY2  WP          </t>
  </si>
  <si>
    <t xml:space="preserve">955-701-BAG    20600KG   22022095    (200574777)  IL1  CCY          </t>
  </si>
  <si>
    <t xml:space="preserve">955-701-BAG    10300KG   22022095    (200574776)  IL1  CCY          </t>
  </si>
  <si>
    <t xml:space="preserve">945-7P1D052-BAG    10248.5KG   22029018    (200566045)  IL2  CCY          </t>
  </si>
  <si>
    <t xml:space="preserve">C6600-7T1D193-BAG    20600KG   22039700    (200566380)  IY2  CCY          </t>
  </si>
  <si>
    <t xml:space="preserve">BY2710X-BK1A068-BAG    10300KG   22034807    (200574883)  IL1  CCY          </t>
  </si>
  <si>
    <t xml:space="preserve">925-7T1D418-BAG    20600KG   22045034    (200563827)  IL2  CCY          </t>
  </si>
  <si>
    <t xml:space="preserve">C6600-701-BAG    20600KG   22039680    (200557933)  IY1  CCY          </t>
  </si>
  <si>
    <t xml:space="preserve">945-701-BAG    20600KG   22019581    (98038709)  IL1  CCY          </t>
  </si>
  <si>
    <t xml:space="preserve">945-7T9A0590-BAG    20600KG   22098535    (200557894)  IL2  CCY          </t>
  </si>
  <si>
    <t xml:space="preserve">357TF-1001-SSS    20000KG   22088360    (200574908)  CV1  LXN         含Br/Cl        </t>
  </si>
  <si>
    <t xml:space="preserve">RCY6113-GY7G039-BAG    4197.25KG   22040924    (200568517)  IY2  CCY          </t>
  </si>
  <si>
    <t xml:space="preserve">EXL9330-7B8D030-    2060KG   299900761    (200574758)  IX2  CCY          </t>
  </si>
  <si>
    <t xml:space="preserve">945-8T7D087-BAG    20600KG   22031466    (98526051)  IL1  CCY          </t>
  </si>
  <si>
    <t xml:space="preserve">945-8T7D087-BAG    20600KG   22031466    (98527493)  IL1  CCY          </t>
  </si>
  <si>
    <t xml:space="preserve">945-8T7D087-BAG    20600KG   22031466    (98526052)  IL1  CCY          </t>
  </si>
  <si>
    <t xml:space="preserve">945-8T8A1183-    8000KG   299901533    (200446072)  IL2  CCY          </t>
  </si>
  <si>
    <t xml:space="preserve">223S-WH4113-BAG    10300KG   22030856    (200573745)  IL2  CCY          </t>
  </si>
  <si>
    <t xml:space="preserve">223S-WH4113-BAG    10300KG   22030856    (200573744)  IL2  CCY          </t>
  </si>
  <si>
    <t xml:space="preserve">223S-WH4113-BAG    10300KG   22030856    (200573709)  IL2  CCY          </t>
  </si>
  <si>
    <t xml:space="preserve">223S-WH4113-BAG    10300KG   22030856    (200573671)  IL2  CCY          </t>
  </si>
  <si>
    <t xml:space="preserve">223S-WH4113-BAG    10300KG   22030856    (200573710)  IL2  CCY          </t>
  </si>
  <si>
    <t xml:space="preserve">223S-WH4113-BAG    10300KG   22030856    (200573748)  IL2  CCY          </t>
  </si>
  <si>
    <t xml:space="preserve">223S-WH4113-BAG    10300KG   22030856    (200573747)  IL2  CCY          </t>
  </si>
  <si>
    <t xml:space="preserve">923-WH8168-BAG    20600KG   22034381    (200570811)  IL2  CCY         含Br/Cl        </t>
  </si>
  <si>
    <t xml:space="preserve">945-8T9D148-BAG    10300KG   22038397    (200573624)  IL2  CCY          </t>
  </si>
  <si>
    <t xml:space="preserve">923-WH8168-BAG    10300KG   22034381    (200570812)  IL2  CCY         含Br/Cl        </t>
  </si>
  <si>
    <t xml:space="preserve">ML9696-NC-BPK    10300KG   22040805    (200573591)  CL1  WP          </t>
  </si>
  <si>
    <t xml:space="preserve">EXL9414T-7A1D064S-BAG    9270KG   22020027    (200559462)  IX2  CCY          </t>
  </si>
  <si>
    <t xml:space="preserve">CFR9111-GY2G414T-BAG    10300KG   22035040    (200559318)  IX2  CCY          </t>
  </si>
  <si>
    <t xml:space="preserve">GLX143-GN4G119T-BAG    10300KG   22067691    (200497123)  IL2  CCY          </t>
  </si>
  <si>
    <t xml:space="preserve">EXL1414T-7R1D165T-BAG    5150KG   22039735    (200564878)  IX2  CCY          </t>
  </si>
  <si>
    <t xml:space="preserve">HF1110-7G7A0963T-    20000KG   299901071    (200500299)  IL2  LXN/CCY          </t>
  </si>
  <si>
    <t xml:space="preserve">SLX2471T-NA9E166T-BAG    10300KG   22024953    (200574731)  IX2  LXN          </t>
  </si>
  <si>
    <t xml:space="preserve">ML9696-NC-BPK    10000KG   22040805    (97218310)  CL1  WP          </t>
  </si>
  <si>
    <t xml:space="preserve">EXL1132T-NA8A005T-BAG    5150KG   22019972    (200573722)  IX2  CCY          </t>
  </si>
  <si>
    <t xml:space="preserve">EXL1112T-BK1A184T-BAG    2060KG   22045446    (200573668)  IX2  CCY          </t>
  </si>
  <si>
    <t xml:space="preserve">940-NC-BAG    20600KG   22022017    (98025688)  IL1  CCY         含Br/Cl        </t>
  </si>
  <si>
    <t xml:space="preserve">ML9696-NC-BPK    10000KG   22040805    (97218311)  CL1  WP          </t>
  </si>
  <si>
    <t xml:space="preserve">143R-GY7B246-BAG    5150KG   22033566    (200571685)  IL2  LXN/CCY          粒子      </t>
  </si>
  <si>
    <t xml:space="preserve">GLX143-GN4G119T-BAG    10300KG   22067691    (200576194)  IL2  CCY          </t>
  </si>
  <si>
    <t xml:space="preserve">HFD1731-NA9E109T-BAG    20000KG   22040307    (200548759)  IX2  LXN          </t>
  </si>
  <si>
    <t xml:space="preserve">HFD1731-NA9E109T-BAG    20000KG   22040307    (200548826)  IX2  LXN          </t>
  </si>
  <si>
    <t xml:space="preserve">HFD1731-NA9E109T-BAG    20000KG   22040307    (200548814)  IX2  LXN          </t>
  </si>
  <si>
    <t xml:space="preserve">HFD1731-NA9E109T-BAG    20000KG   22040307    (200549230)  IX2  LXN          </t>
  </si>
  <si>
    <t xml:space="preserve">HFD1731-NA9E109T-BAG    20000KG   22040307    (200549231)  IX2  LXN          </t>
  </si>
  <si>
    <t xml:space="preserve">HFD1731-NA9E109T-BAG    20000KG   22040307    (200548787)  IX2  LXN          </t>
  </si>
  <si>
    <t xml:space="preserve">HFD1731-NA9E109T-BAG    20000KG   22040307    (200549229)  IX2  LXN          </t>
  </si>
  <si>
    <t xml:space="preserve">HFD1034-NA9E109T-BAG    20000KG   22040304    (200551182)    LXN          </t>
  </si>
  <si>
    <t xml:space="preserve">HFD1731-NA9E109T-BAG    20000KG   22040307    (200550096)  IX2  LXN          </t>
  </si>
  <si>
    <t xml:space="preserve">HFD1034-NA9E109T-BAG    20000KG   22040304    (200551183)    LXN          </t>
  </si>
  <si>
    <t xml:space="preserve">HFD1034-NA9E109T-BAG    20000KG   22040304    (200551202)    LXN          </t>
  </si>
  <si>
    <t xml:space="preserve">HFD1034-NA9E109T-BAG    20000KG   22040304    (200551184)    LXN          </t>
  </si>
  <si>
    <t xml:space="preserve">XCY620S-100-BAG    20600KG   22025073    (200568584)  IY1  CCY          </t>
  </si>
  <si>
    <t xml:space="preserve">XCY620S-100-BAG    20600KG   22025073    (200574851)  IY1  CCY          </t>
  </si>
  <si>
    <t xml:space="preserve">XCY620S-100-BAG    20600KG   22025073    (200574850)  IY1  CCY          </t>
  </si>
  <si>
    <t xml:space="preserve">HF1130-111-BAG    10300KG   22023563    (200537101)  IL2  LXN/CCY          </t>
  </si>
  <si>
    <t xml:space="preserve">LUX2114G-WH8B508X-BAG    15450KG   22020466    (200526354)  IL2  LXN          </t>
  </si>
  <si>
    <t xml:space="preserve">EXL1414A-8A9D090-BAG    20600KG   22104091    (98128776)  IX2  CCY          </t>
  </si>
  <si>
    <t xml:space="preserve">EXL1414T-1A8A3284T-BAG    17510KG   22103046    (96219574)  IX2  CCY          </t>
  </si>
  <si>
    <t xml:space="preserve">LUX2114G-WH8G625X-BAG    5150KG   22032676    (200575143)  IL2  LXN          </t>
  </si>
  <si>
    <t xml:space="preserve">LUX2114G-WH5B140X-BAG    2060KG   22023831    (200575079)  IL2  LXN          </t>
  </si>
  <si>
    <t xml:space="preserve">LUX9616G-WH8A491X-BAG    11000KG   22023847    (200560639)  IL2  LXN          </t>
  </si>
  <si>
    <t xml:space="preserve">121R-7R7D031-SSS    20600KG   22037463    (200503118)  IL2  LXN/CCY          粒子      </t>
  </si>
  <si>
    <t xml:space="preserve">EXL9330-7T8A3287-    10300KG   299903618    (200570838)  IX2  CCY          </t>
  </si>
  <si>
    <t xml:space="preserve">EXL1414A-8A9D090-BAG    2060KG   22045504    (200574923)  IX2  CCY          </t>
  </si>
  <si>
    <t xml:space="preserve">C6600-111-BAG    20600KG   22018361    (98039530)  IY1  CCY          </t>
  </si>
  <si>
    <t xml:space="preserve">EXL9330-WH9B454-BAG    6180KG   22039937    (200572832)  IX2  CCY          </t>
  </si>
  <si>
    <t xml:space="preserve">LUX7630C-NAT-BAG    2060KG   22023838    (200574740)  IX2  LXN          </t>
  </si>
  <si>
    <t xml:space="preserve">HFD1731-NA9E109T-BAG    20000KG   22040307    (200549250)  IX2  LXN          </t>
  </si>
  <si>
    <t xml:space="preserve">HFD1731-NA9E109T-BAG    20000KG   22040307    (200549251)  IX2  LXN          </t>
  </si>
  <si>
    <t xml:space="preserve">HFD1034-NA9E109T-BAG    20000KG   22040304    (200551203)    LXN          </t>
  </si>
  <si>
    <t xml:space="preserve">MC1300-100-SSS    19570KG   22036948    (200573733)  IY2  CCY          </t>
  </si>
  <si>
    <t xml:space="preserve">C1200HF-100-BAG    20600KG   22019660    (200575071)  IY1  CCY          </t>
  </si>
  <si>
    <t xml:space="preserve">MC1300-100-BAG    20600KG   22018739    (200574813)  IY1  CCY          </t>
  </si>
  <si>
    <t xml:space="preserve">HF1130R-111-BAG    10300KG   22028312    (200560189)  IL2  LXN/CCY          </t>
  </si>
  <si>
    <t xml:space="preserve">943-NC-BAG    10300KG   22018287    (200568715)  IL2  CCY         含Br/Cl        </t>
  </si>
  <si>
    <t xml:space="preserve">MC1300-100-BAG    20600KG   22018739    (200573732)  IY1  CCY          </t>
  </si>
  <si>
    <t xml:space="preserve">940-NC-BAG    20600KG   22022017    (98025687)  IL1  CCY         含Br/Cl        </t>
  </si>
  <si>
    <t xml:space="preserve">MC1300-100-SSS    20600KG   22036948    (200504666)  IY2  CCY          </t>
  </si>
  <si>
    <t xml:space="preserve">LG9000-100-BAG    20548.5KG   22023994    (200497069)  IY2  CCY          粒子_NS2禁用      </t>
  </si>
  <si>
    <t xml:space="preserve">XP4034-BK1041-BAG    15450KG   22019027    (200568551)  IC1  CCY          </t>
  </si>
  <si>
    <t xml:space="preserve">XCY620S-76701-BAG    20600KG   22037308    (200574833)  IY1  CCY          </t>
  </si>
  <si>
    <t xml:space="preserve">LG9000-BK1044MX-BAG    10815KG   22036575    (200496387)  IY2  CCY          粒子_NS2禁用      </t>
  </si>
  <si>
    <t xml:space="preserve">XP4034-BK1041-BAG    20600KG   22019027    (200574862)  IC1  CCY          </t>
  </si>
  <si>
    <t xml:space="preserve">XCY620S-76701-BAG    20600KG   22037308    (200568596)  IY1  CCY          </t>
  </si>
  <si>
    <t xml:space="preserve">XP4034-BK1B374-BAG    2060KG   22041176    (200552603)  IC2  CCY          </t>
  </si>
  <si>
    <t xml:space="preserve">XP4034-GY1E811-BAG    5150KG   22019030    (200516769)  IC2  CCY          </t>
  </si>
  <si>
    <t xml:space="preserve">XCY620S-76701-BAG    20600KG   22037308    (200568592)  IY1  CCY          </t>
  </si>
  <si>
    <t xml:space="preserve">XP4034-GY1E811-BAG    10300KG   22019030    (200547735)  IC2  CCY          </t>
  </si>
  <si>
    <t xml:space="preserve">LG9000-BK1044-BAG    20600KG   22018724    (200502316)  IY2  CCY          粒子similar as LG9000-BK1044MX / _NS2禁用      </t>
  </si>
  <si>
    <t xml:space="preserve">LG9000-BK1044-BAG    5150KG   22018724    (200553373)  IY2  CCY          粒子similar as LG9000-BK1044MX / _NS2禁用      </t>
  </si>
  <si>
    <t xml:space="preserve">XP4034-BK1041-BAG    20600KG   22019027    (98071451)  IC1  CCY          </t>
  </si>
  <si>
    <t xml:space="preserve">XCY620-BK1005-BAG    10300KG   22025061    (98073070)  IY1  CCY          </t>
  </si>
  <si>
    <t xml:space="preserve">C1200HF-76701-BAG    22660KG   22028141    (98073071)  IY4  CCY          </t>
  </si>
  <si>
    <t xml:space="preserve">XP4034-BK1041-BAG    20600KG   22019027    (98069725)  IC1  CCY          </t>
  </si>
  <si>
    <t xml:space="preserve">C1200HF-BK2G024-BAG    20600KG   22034874    (200575057)  IY2  CCY          </t>
  </si>
  <si>
    <t xml:space="preserve">C1200HF-BK2G024-BAG    20600KG   22034874    (200575017)  IY2  CCY          </t>
  </si>
  <si>
    <t xml:space="preserve">C1200HF-701-SSS    20600KG   22039382    (200574654)  IY2  CCY          </t>
  </si>
  <si>
    <t xml:space="preserve">LG9000-BK1001-BAG    5150KG   22036574    (200573867)    CCY          粒子_NS2禁用      </t>
  </si>
  <si>
    <t xml:space="preserve">LG9000-BK1001-BAG    2060KG   22036574    (200574722)    CCY          粒子_NS2禁用      </t>
  </si>
  <si>
    <t xml:space="preserve">LS1-701-BAG    4120KG   22041018    (200574697)  IL2  LXN/CCY          </t>
  </si>
  <si>
    <t xml:space="preserve">C1200HF-7001-BAG    10300KG   22034851    (200574705)  IY2  CCY          </t>
  </si>
  <si>
    <t xml:space="preserve">XP4034-BK1041-BAG    15450KG   22019027    (98071398)  IC1  CCY          </t>
  </si>
  <si>
    <t xml:space="preserve">XP4034-BK1041-BAG    10300KG   22019027    (98071397)  IC1  CCY          </t>
  </si>
  <si>
    <t xml:space="preserve">LS1-701-BAG    20600KG   22041018    (200575076)  IL2  LXN/CCY          </t>
  </si>
  <si>
    <t xml:space="preserve">C1200HF-BK2G024-BAG    20600KG   22034874    (200575059)  IY2  CCY          </t>
  </si>
  <si>
    <t xml:space="preserve">LS1-701-BAG    20600KG   22041018    (200575112)  IL2  LXN/CCY          </t>
  </si>
  <si>
    <t xml:space="preserve">LS1-701-BAG    20600KG   22041018    (200575142)  IL2  LXN/CCY          </t>
  </si>
  <si>
    <t xml:space="preserve">C1200HF-BK2G024-BAG    20600KG   22034874    (200574995)  IY2  CCY          </t>
  </si>
  <si>
    <t xml:space="preserve">LS1-701-BAG    20600KG   22041018    (200575077)  IL2  LXN/CCY          </t>
  </si>
  <si>
    <t xml:space="preserve">C1200HF-BK2G024-BAG    20600KG   22034874    (200575109)  IY2  CCY          </t>
  </si>
  <si>
    <t xml:space="preserve">LS1-701-BAG    20600KG   22041018    (200575078)  IL2  LXN/CCY          </t>
  </si>
  <si>
    <t xml:space="preserve">C1200HF-BK2G024-BAG    20600KG   22034874    (200574997)  IY2  CCY          </t>
  </si>
  <si>
    <t xml:space="preserve">123R-WH7D277X-BAG    10400KG   22021303    (200573438)  IL2  LXN/CCY          </t>
  </si>
  <si>
    <t xml:space="preserve">LUX9610-NA9G155T-BAG    3120KG   22036943    (200574884)  IL2  LXN          </t>
  </si>
  <si>
    <t xml:space="preserve">LUX9612-WH8E508X-BAG    1456KG   22017108    (200574761)  IL2  LXN          </t>
  </si>
  <si>
    <t xml:space="preserve">945AU-116-BAG    1560KG   22018293    (98332471)  IL2  LXN/CCY          </t>
  </si>
  <si>
    <t xml:space="preserve">945AU-116-BAG    1040KG   22018293    (98329928)  IL2  LXN/CCY          </t>
  </si>
  <si>
    <t xml:space="preserve">945AU-116-BAG    728KG   22018293    (98310111)  IL2  LXN/CCY          </t>
  </si>
  <si>
    <t xml:space="preserve">241R-111N-BAG    988KG   22038436    (200574026)  IL2  LXN/CCY          </t>
  </si>
  <si>
    <t xml:space="preserve">123-111N-BAG    2080KG   22038090    (200553466)  IL2  LXN/CCY          </t>
  </si>
  <si>
    <t xml:space="preserve">EXL9330-7B8D030-    600KG   299900761    (200573431)  IX2  CCY          </t>
  </si>
  <si>
    <t xml:space="preserve">FXD121R-WH4408X-BAG    338KG   22029421    (200573654)  IX2  LXN/CCY          </t>
  </si>
  <si>
    <t xml:space="preserve">EXL9330-GY8C104-BAG    520KG   22035976    (200575045)  IX2  CCY          </t>
  </si>
  <si>
    <t xml:space="preserve">FXD171R-8A7D022X-BAG    754KG   22040718    (200572806)  IX2  LXN/CCY          </t>
  </si>
  <si>
    <t xml:space="preserve">FXD171R-8A9D013X-BAG    1040KG   22036504    (200574843)  IX2  LXN/CCY          </t>
  </si>
  <si>
    <t xml:space="preserve">EXL9134-7A8D006-BAG    1040KG   22023110    (200574698)  IX2  CCY          </t>
  </si>
  <si>
    <t xml:space="preserve">123R-WH5C051X-BAG    10400KG   22033096    (200570609)  IL2  LXN/CCY          </t>
  </si>
  <si>
    <t xml:space="preserve">161R-111-BAG    1040KG   22033354    (200574787)  IL2  LXN/CCY          </t>
  </si>
  <si>
    <t xml:space="preserve">LS2-BL8B041T-BAG    208KG   22036914    (200571750)  IL2  LXN/CCY          </t>
  </si>
  <si>
    <t xml:space="preserve">123R-715238-BAG    520KG   22038105    (200576263)  IL2  LXN/CCY          粒子      </t>
  </si>
  <si>
    <t xml:space="preserve">D20001-GYLTNAT-BAG    1040KG   22039315    (314932810)    CCY          </t>
  </si>
  <si>
    <t xml:space="preserve">LG9000-100-BAG    1040KG   22023994    (314934254)  IY2  CCY          粒子_NS2禁用      </t>
  </si>
  <si>
    <t xml:space="preserve">LUX9610-NA9G155T-BAG    3120KG   22036943    (98112933)  IL2  LXN          </t>
  </si>
  <si>
    <t xml:space="preserve">LUX9610-NA9G155T-BAG    1092KG   22036943    (200570789)  IL2  LXN          </t>
  </si>
  <si>
    <t xml:space="preserve">LUX7430C-NA8E061T-BAG    1040KG   22023837    (200572730)  IX2  LXN          </t>
  </si>
  <si>
    <t xml:space="preserve">C2950HF-GY1291-BAG    1040KG   22031568    (200537129)  IY2  CCY          </t>
  </si>
  <si>
    <t xml:space="preserve">201R-701-BAG    3000KG   22033695    (200574817)  IL2  LXN/CCY          </t>
  </si>
  <si>
    <t xml:space="preserve">C6600-BK1B088-BAG    3120KG   22028013    (200557910)  IY2  CCY          </t>
  </si>
  <si>
    <t xml:space="preserve">EXL9330-7T3D226-BAG    5200KG   22067599    (200572712)  IX2  CCY          </t>
  </si>
  <si>
    <t xml:space="preserve">C1200HF-GY1D473-BAG    3094KG   22039416    (200540749)  IY2  CCY          </t>
  </si>
  <si>
    <t xml:space="preserve">C2950HF-701-BAG    3120KG   22018347    (200562896)  IY2  CCY          </t>
  </si>
  <si>
    <t xml:space="preserve">C2950HF-GY1291-BAG    1040KG   22031568    (200537058)  IY2  CCY          </t>
  </si>
  <si>
    <t xml:space="preserve">C1200HF-GY3F031-BAG    5200KG   22034454    (200571976)  IY2  CCY          </t>
  </si>
  <si>
    <t xml:space="preserve">C1200HF-GY1460-BAG    312KG   22039413    (200573689)  IY2  CCY          </t>
  </si>
  <si>
    <t xml:space="preserve">EXL8483-7A1D262-BAG    2080KG   22040537    (200573726)  IX2  CCY          </t>
  </si>
  <si>
    <t xml:space="preserve">EXL8483-7A1D262-BAG    4186KG   22040537    (200574965)  IX2  CCY          </t>
  </si>
  <si>
    <t xml:space="preserve">C2950HF-GY2A547-BAG    1040KG   22034644    (200574786)  IY2  CCY          </t>
  </si>
  <si>
    <t xml:space="preserve">RCX7233-7A1D142-BAG    4160KG   22024710    (200573850)  IY2  CCY          </t>
  </si>
  <si>
    <t xml:space="preserve">D2000P-BK1A644-BAG    520KG   22027937    (200573723)  IT2  CCY          </t>
  </si>
  <si>
    <t xml:space="preserve">945-7M1D115-BAG    1040KG   22038377    (200573638)  IL2  CCY          </t>
  </si>
  <si>
    <t xml:space="preserve">101R-701-BAG    2080KG   22021201    (200574812)  IL2  LXN/CCY          </t>
  </si>
  <si>
    <t xml:space="preserve">925-701-BAG    500KG   22022189    (200555908)  IL2  CCY          </t>
  </si>
  <si>
    <t xml:space="preserve">9925A-7T1D132-BAG    2054KG   22030014    (200574802)  IL2  LXN          </t>
  </si>
  <si>
    <t xml:space="preserve">LG9000-BK1G449-BAG    2080KG   22040516    (200573785)  IY2  CCY          粒子_NS2禁用      </t>
  </si>
  <si>
    <t xml:space="preserve">CX7240U-7M1D051-BAG    1040KG   22022738    (200573675)  IY2  CCY          </t>
  </si>
  <si>
    <t xml:space="preserve">CFR7630-7T1D227-BAG    2028KG   22043570    (97826663)  IX2  LXN/CCY          </t>
  </si>
  <si>
    <t xml:space="preserve">C1200HF-GY3F031-BAG    1040KG   22034454    (200572773)  IY2  CCY          </t>
  </si>
  <si>
    <t xml:space="preserve">HF1110R-701-BAG    1000KG   22023557    (200560120)  IL2  CCY          </t>
  </si>
  <si>
    <t xml:space="preserve">WF006N-7A1A0666-SBG    1050KG   22098412    (200573717)  IT2  GF          </t>
  </si>
  <si>
    <t xml:space="preserve">CX7240-7M1D235-BAG    3296KG   22085416    (200560147)  IY2  CCY          </t>
  </si>
  <si>
    <t xml:space="preserve">D551RC-7A1D347-    18540KG   299901122    (200574739)  IP2  GF          </t>
  </si>
  <si>
    <t xml:space="preserve">D551-7M1D203-SBG    10300KG   22072091    (200573749)  IT2  GF          </t>
  </si>
  <si>
    <t xml:space="preserve">D251-701-BAG    3090KG   22044245    (200573830)  IT2  GF          </t>
  </si>
  <si>
    <t xml:space="preserve">CX7240-7M1D235-BAG    3141.5KG   22085416    (200568308)  IY2  CCY          </t>
  </si>
  <si>
    <t xml:space="preserve">D251-701-BAG    3090KG   22044245    (200573754)  IT2  GF          </t>
  </si>
  <si>
    <t xml:space="preserve">WF006N-7A1A0666-SBG    9450KG   22098412    (200574693)  IT2  GF          </t>
  </si>
  <si>
    <t xml:space="preserve">WF006N-7A1A0666-SBG    2100KG   22098412    (200574671)  IT2  GF          </t>
  </si>
  <si>
    <t xml:space="preserve">WF006N-7A1A0666-SBG    2100KG   22098412    (200574649)  IT2  GF          </t>
  </si>
  <si>
    <t xml:space="preserve">WF006N-7A1A0666-SBG    2100KG   22098412    (200574670)  IT2  GF          </t>
  </si>
  <si>
    <t xml:space="preserve">D151-7A1D317-BAG    3141.5KG   22046329    (315943568)  IT2  GF          </t>
  </si>
  <si>
    <t xml:space="preserve">D151-7A1D317-BAG    3151.8KG   22046329    (200574803)  IT2  GF          </t>
  </si>
  <si>
    <t xml:space="preserve">EXL9330P-BK1E649-BAG    20000KG   22035991    (92846408)  IX4  CCY          </t>
  </si>
  <si>
    <t xml:space="preserve">EXL9330P-BK1E649-BAG    20600KG   22035991    (98019064)  IX4  CCY          </t>
  </si>
  <si>
    <t xml:space="preserve">EXL9330P-BK1E649-BAG    20600KG   22035991    (98019065)  IX4  CCY          </t>
  </si>
  <si>
    <t xml:space="preserve">C4220-76701-BAG    5000KG   22030087    (200547546)  IY2  GF          </t>
  </si>
  <si>
    <t xml:space="preserve">EXL9330P-BK1E649-BAG    20600KG   22035991    (97695097)  IX4  CCY          </t>
  </si>
  <si>
    <t xml:space="preserve">3412ECR-739-BAG    21000KG   22017144    (200574753)  IL1  GF          </t>
  </si>
  <si>
    <t xml:space="preserve">500R-739-BAG    10499.999KG   22021700    (200574660)  IL1  GF         含Br/Cl        </t>
  </si>
  <si>
    <t xml:space="preserve">500R-739-BAG    20999.999KG   22021700    (200574867)  IL1  GF         含Br/Cl        </t>
  </si>
  <si>
    <t xml:space="preserve">3412R-739-BAG    21000KG   22021730    (200573665)  IL2  GF         含Br/Cl        </t>
  </si>
  <si>
    <t xml:space="preserve">3413R-739-SBG    10499.999KG   22033632    (200562484)  IL2  GF         含Br/Cl        </t>
  </si>
  <si>
    <t xml:space="preserve">3412R-739-BAG    10158.75KG   22021730    (200562460)  IL2  GF         含Br/Cl        </t>
  </si>
  <si>
    <t xml:space="preserve">D551RC-701-SBG    10000KG   22086246    (200574888)  IT1  GF          </t>
  </si>
  <si>
    <t xml:space="preserve">3412R-739-BAG    10499.999KG   22021730    (200562701)  IL2  GF         含Br/Cl        </t>
  </si>
  <si>
    <t xml:space="preserve">D551RC-7A1D347-SBG    5000KG   22106620    (200574946)  IT2  GF          </t>
  </si>
  <si>
    <t xml:space="preserve">D551-7M1D203-SBG    10499.999KG   22072091    (200573653)  IT2  GF          </t>
  </si>
  <si>
    <t xml:space="preserve">RFL36-BK1B602-SBG    1365KG   22029457    (200573695)  IT2  GL          </t>
  </si>
  <si>
    <t xml:space="preserve">D551-701-SBG    4200KG   22032152    (200573586)  IT2  GF          </t>
  </si>
  <si>
    <t xml:space="preserve">D351-7M1D200-SBG    1470KG   22043702    (97929473)  IT2  GF          </t>
  </si>
  <si>
    <t xml:space="preserve">D551-7M1D203-SBG    10499.999KG   22072091    (200573700)  IT2  GF          </t>
  </si>
  <si>
    <t xml:space="preserve">3414R-739-BAG    1050KG   22021743    (200572748)  IL2  GF         含Br/Cl        </t>
  </si>
  <si>
    <t xml:space="preserve">NXCY620-BKNAT-BAG    13649.999KG   22036896    (200538791)  IT2  GF          </t>
  </si>
  <si>
    <t xml:space="preserve">HFD4413-BK1E711-SBG    1000KG   22040901    (200554576)    GF          </t>
  </si>
  <si>
    <t xml:space="preserve">6370C-7A1A3113-BAG    315KG   22103041    (200572727)  IT2  GF          </t>
  </si>
  <si>
    <t xml:space="preserve">WF006N-7A7A4183-SBG    315KG   22106553    (200573659)  IT2  GF          </t>
  </si>
  <si>
    <t xml:space="preserve">3412R-YW7C055-BAG    288.75KG   22037884    (200556858)  IL2  GF         含Br/Cl  粒子      </t>
  </si>
  <si>
    <t xml:space="preserve">D351-7M1D200-SBG    1050KG   22043702    (200574849)  IT2  GF          </t>
  </si>
  <si>
    <t xml:space="preserve">D551-701-SBG    252KG   22032152    (200575982)  IT2  GF          </t>
  </si>
  <si>
    <t xml:space="preserve">NX10302-BKNAT-FBG    2100KG   22082480    (200574887)  IT2  CCY/GF(28)          </t>
  </si>
  <si>
    <t xml:space="preserve">6370C-7A1A3113-BAG    525KG   22103041    (200573642)  IT2  GF          </t>
  </si>
  <si>
    <t xml:space="preserve">WF006N-4A6A3914-    1029KG   299904430    (200570739)  IT2  GF          </t>
  </si>
  <si>
    <t xml:space="preserve">D551-7A1D272-SBG    1050KG   22072090    (200576486)  IT2  GF          </t>
  </si>
  <si>
    <t xml:space="preserve">ER007485-2G2A4425-SBG    300KG   22106792    (96286617)  IT2  FARADEX          </t>
  </si>
  <si>
    <t xml:space="preserve">C1200HF-BK1E685-BAG    10499.999KG   22034871    (200572710)  IY2  CCY          </t>
  </si>
  <si>
    <t xml:space="preserve">C2950-7T1D302-BAG    5250KG   22035028    (200574933)  IY2  CCY          </t>
  </si>
  <si>
    <t xml:space="preserve">ER007485-2G2A4425-SBG    200KG   22106792    (97218312)  IT2  FARADEX          </t>
  </si>
  <si>
    <t xml:space="preserve">DF006ER-NC-SBG    1000KG   22031882    (200568292)  IT2  GF/GL          </t>
  </si>
  <si>
    <t xml:space="preserve">945-7T1D266-BAG    3150KG   22034218    (200574955)  IL2  CCY          </t>
  </si>
  <si>
    <t xml:space="preserve">950-701-BAG    1000KG   22022079    (200541734)  IL2  CCY         含Br/Cl        </t>
  </si>
  <si>
    <t xml:space="preserve">CY6012-7M2D124-BAG    3424KG   22067457    (200574988)  IY2  CCY          </t>
  </si>
  <si>
    <t xml:space="preserve">D151-8G8A4572-    2140KG   299905737    (200574641)  IT2  GF          </t>
  </si>
  <si>
    <t xml:space="preserve">BFL2010-8A5A2508-BAG    19741.5KG   22102201    (200560213)  IL2  GF          </t>
  </si>
  <si>
    <t xml:space="preserve">EXL4419-WH9D245-BAG    963KG   22039803    (200566003)  IX2  GF          </t>
  </si>
  <si>
    <t xml:space="preserve">3412ECR-GN7D101-BAG    21239.501KG   22031126    (200562512)  IL2  GF          粒子      </t>
  </si>
  <si>
    <t xml:space="preserve">6370C-7A7A3379-BAG    535KG   22103296    (200573539)  IT2  GF          </t>
  </si>
  <si>
    <t xml:space="preserve">WF006N-6A4A3348-SBG    1070KG   22104377    (200574669)  IT2  GF          </t>
  </si>
  <si>
    <t xml:space="preserve">CY6012-6M1D009-BAG    3210KG   22072870    (200574695)  IY2  CCY          </t>
  </si>
  <si>
    <t xml:space="preserve">BPL1000-GY6E054-BAG    1000KG   22038531    (92134647)  IL2  CCY          </t>
  </si>
  <si>
    <t xml:space="preserve">UFL36AS-YWLTNAT-SBG    1000KG   22037570    (97081540)  IT2  GL          </t>
  </si>
  <si>
    <t xml:space="preserve">UFL36AS-YWLTNAT-SBG    1000KG   22037570    (94493587)  IT2  GL          </t>
  </si>
  <si>
    <t xml:space="preserve">123-701-BAG    8505KG   22021277    (200575085)  IL2  LXN/CCY          </t>
  </si>
  <si>
    <t xml:space="preserve">143R-701-BAG    10499.999KG   22021393    (200575073)  IL2  LXN/CCY          </t>
  </si>
  <si>
    <t xml:space="preserve">241R-701-BAG    10368.749KG   22021559    (200575074)  IL2  LXN/CCY          </t>
  </si>
  <si>
    <t xml:space="preserve">241R-701-BAG    10499.999KG   22021559    (200566414)  IL2  LXN/CCY          </t>
  </si>
  <si>
    <t xml:space="preserve">141R-701-BAG    20999.999KG   22021359    (200498112)  IL2  LXN/CCY          </t>
  </si>
  <si>
    <t xml:space="preserve">141R-701-BAG    10500KG   22021359    (200548508)  IL2  LXN/CCY          </t>
  </si>
  <si>
    <t xml:space="preserve">141R-701-BAG    6693.75KG   22021359    (200550037)  IL2  LXN/CCY          </t>
  </si>
  <si>
    <t xml:space="preserve">CY6012-7M4D051-BAG    4200KG   22065217    (200574656)  IY2  CCY          </t>
  </si>
  <si>
    <t xml:space="preserve">MB_LEX_F4520S-11204-SBG    420KG   22082436    (200566147)  CL1  off-line mixing          </t>
  </si>
  <si>
    <t xml:space="preserve">C2801-111-BAG    70KG   22039474    (200568558)  IT2  CCY          </t>
  </si>
  <si>
    <t xml:space="preserve">EXL1414T-7A1D166-    140KG   290006454    (200572796)  IX2  CCY          </t>
  </si>
  <si>
    <t xml:space="preserve">121R-21092-BAG    100KG   22028394    (200573694)  IL2  LXN/CCY          </t>
  </si>
  <si>
    <t xml:space="preserve">FXD171R-WH4502X-BAG    140KG   22020155    (200570708)  IX2  LXN/CCY          </t>
  </si>
  <si>
    <t xml:space="preserve">LUX9610-NA9G155T-BAG    175KG   22036943    (200576004)  IL2  LXN          </t>
  </si>
  <si>
    <t xml:space="preserve">C6600-7B2D025-BAG    35KG   22031789    (97218320)  IY2  CCY          </t>
  </si>
  <si>
    <t xml:space="preserve">EXL1434T-BK1A184T-BAG    70KG   22045190    (200569615)  IX2  CCY          </t>
  </si>
  <si>
    <t xml:space="preserve">945-7T9A0590-BAG    70KG   22098535    (200576119)  IL2  CCY          </t>
  </si>
  <si>
    <t xml:space="preserve">EXL1414T-7A1D040-BAG    140KG   22039729    (200572809)  IX2  CCY          </t>
  </si>
  <si>
    <t xml:space="preserve">945-8T9D148-BAG    35KG   22038397    (200576202)  IL2  CCY          </t>
  </si>
  <si>
    <t xml:space="preserve">945-8T9D148-BAG    35KG   22038397    (200576129)  IL2  CCY          </t>
  </si>
  <si>
    <t xml:space="preserve">EXL1414T-8A9D138-BAG    140KG   22022870    (200572738)  IX2  CCY          </t>
  </si>
  <si>
    <t xml:space="preserve">945-5T2A4118-    100KG   299905054    (200576313)  IL2  CCY          </t>
  </si>
  <si>
    <t xml:space="preserve">121-7A1D052-BAG    35KG   22032974    (200576128)  IL2  LXN/CCY          </t>
  </si>
  <si>
    <t xml:space="preserve">C2800-8T9A1281-    70KG   299901832    (200576468)  IY2  CCY          </t>
  </si>
  <si>
    <t xml:space="preserve">121R-BK1G122-BAG    70KG   22037469    (200576074)  IL2  LXN/CCY          </t>
  </si>
  <si>
    <t xml:space="preserve">925U-7T6D243-BAG    100KG   22065367    (200576002)  IL2  CCY          </t>
  </si>
  <si>
    <t xml:space="preserve">201R-WH8E512-BAG    35KG   22088352    (200572974)  IL2  LXN/CCY          </t>
  </si>
  <si>
    <t xml:space="preserve">EXL1414T-7A7D082-BAG    140KG   22036188    (200572775)  IX2  CCY          </t>
  </si>
  <si>
    <t xml:space="preserve">FXD121R-NA1057X-BAG    35KG   22028982    (200567544)  IX2  LXN/CCY          </t>
  </si>
  <si>
    <t xml:space="preserve">EXL1433T-NA8A005T-BAG    35KG   22019987    (200574637)  IX2  CCY          </t>
  </si>
  <si>
    <t xml:space="preserve">EXL9414T-NA8E034T-BAG    35KG   22039947    (200574635)  IX2  CCY          </t>
  </si>
  <si>
    <t xml:space="preserve">9925A-NA9E163T-BAG    140KG   22031399    (200562486)  IL2  LXN          </t>
  </si>
  <si>
    <t xml:space="preserve">FXE1414L-WH9D155-BAG    35KG   22040776    (200575116)  IX2  CCY          </t>
  </si>
  <si>
    <t xml:space="preserve">FXD1414T-8N7D004X-BAG    70KG   22040041    (200568825)  IX2  CCY          </t>
  </si>
  <si>
    <t xml:space="preserve">HFD1830-NA9E109T-BAG    35KG   22020243    (200575102)  IX2  LXN/CCY          </t>
  </si>
  <si>
    <t xml:space="preserve">925U-7T6D243-BAG    105KG   22065367    (200575462)  IL2  CCY          </t>
  </si>
  <si>
    <t xml:space="preserve">EXL1414T-7A1D194-BAG    35KG   22039730    (200574790)  IX2  CCY          </t>
  </si>
  <si>
    <t xml:space="preserve">SLX2471T-NA9E172T-BAG    35KG   22060075    (200576361)  IX2  LXN          </t>
  </si>
  <si>
    <t xml:space="preserve">C2950HF-GY1291-BAG    70KG   22031568    (200576385)  IY2  CCY          </t>
  </si>
  <si>
    <t xml:space="preserve">121R-7A1A1835IA-BAG    70KG   22098534    (200574554)  IL2  LXN/CCY          </t>
  </si>
  <si>
    <t xml:space="preserve">HF1130R-BK1A184T-BAG    35KG   22046457    (200574624)  IL2  LXN/CCY          </t>
  </si>
  <si>
    <t xml:space="preserve">LUX9616-WH5E140X-BAG    100KG   22023845    (200574827)  IL2  LXN          </t>
  </si>
  <si>
    <t xml:space="preserve">EXL9330-GN7B043-BAG    100KG   22032183    (200575110)  IX2  CCY          </t>
  </si>
  <si>
    <t xml:space="preserve">FXE1414-GN8G226-BAG    70KG   22087132    (97826667)  IX2  CCY          </t>
  </si>
  <si>
    <t xml:space="preserve">953A-116-BAG    35KG   22022088    (200573576)  IL2  LXN/CCY         含Br/Cl        </t>
  </si>
  <si>
    <t xml:space="preserve">CS9610-WH9G410-BAG    175KG   22035557    (200574976)  IY2  CCY          </t>
  </si>
  <si>
    <t xml:space="preserve">945-7T4A4637-    35KG   299905941    (200571843)  IL2  CCY          </t>
  </si>
  <si>
    <t xml:space="preserve">ML6411-3T5D024-BAG    100KG   22040670    (200567439)  IX2  CCY         含Br/Cl  粒子_confirm/NS2_No      </t>
  </si>
  <si>
    <t xml:space="preserve">EXL9134-7A7D083-BAG    350KG   22035904    (200570678)  IX2  CCY          </t>
  </si>
  <si>
    <t xml:space="preserve">EXL9134-7A3D064-BAG    210KG   22045527    (200563890)  IX2  CCY          </t>
  </si>
  <si>
    <t xml:space="preserve">SLX2271T-BK1E540-BAG    100KG   22018960    (200574798)  IX2  LXN/CCY          </t>
  </si>
  <si>
    <t xml:space="preserve">XHT4143-NA5D003T-BAG    490KG   22025100    (200570756)  IX2  XHT/LXN          </t>
  </si>
  <si>
    <t xml:space="preserve">121-7A2D036-BAG    140KG   22043982    (200570570)  IL2  LXN/CCY          </t>
  </si>
  <si>
    <t xml:space="preserve">EXL9330-GY2G050-BAG    70KG   22035957    (200566335)  IX2  CCY          </t>
  </si>
  <si>
    <t xml:space="preserve">EXL1414T-WH9E305-BAG    140KG   22032378    (200566383)  IX2  CCY          </t>
  </si>
  <si>
    <t xml:space="preserve">EXL9330-WH9B084-BAG    140KG   22039936    (200562814)  IX2  CCY          </t>
  </si>
  <si>
    <t xml:space="preserve">EXL9330-4T7A4252-    70KG   299905935    (200574748)  IX2  CCY          </t>
  </si>
  <si>
    <t xml:space="preserve">CX7240U-7T7D246-BAG    50KG   22032098    (200576376)  IY2  CCY          </t>
  </si>
  <si>
    <t xml:space="preserve">EXL9330-7T8D784-BAG    280KG   22045548    (200566012)  IX2  CCY          </t>
  </si>
  <si>
    <t xml:space="preserve">HF1110R-7M1D104-BAG    105KG   22030472    (98522655)  IL2  CCY          </t>
  </si>
  <si>
    <t xml:space="preserve">945-8A9D185-BAG    35KG   22067315    (200576233)  IL2  CCY          </t>
  </si>
  <si>
    <t xml:space="preserve">4701R-700001-BAG    175KG   22019391    (200576217)  IX2  LXN/CCY(Nature item only use LXN)          </t>
  </si>
  <si>
    <t xml:space="preserve">XP4034-BK1E477-BAG    70KG   22032854    (200576138)  IC2  CCY          </t>
  </si>
  <si>
    <t xml:space="preserve">EXL1414-BK1E636-BAG    245KG   22039635    (200576022)  IX2  CCY          </t>
  </si>
  <si>
    <t xml:space="preserve">LUX7169-WH8G733-BAG    100KG   22041058    (200574880)  IL2  CCY          </t>
  </si>
  <si>
    <t xml:space="preserve">123R-WH6D257-BAG    105KG   22033097    (200575984)  IL2  LXN/CCY          粒子      </t>
  </si>
  <si>
    <t xml:space="preserve">940-WH5185-BAG    280KG   22039126    (200561297)  IL2  CCY         含Br/Cl  粒子      </t>
  </si>
  <si>
    <t xml:space="preserve">EXL9134-7B5D003-BAG    70KG   22040551    (200574891)  IX2  CCY          </t>
  </si>
  <si>
    <t xml:space="preserve">EXL1414T-7A7D048-BAG    350KG   22039732    (200567550)  IX2  CCY          </t>
  </si>
  <si>
    <t xml:space="preserve">FXE1414L-WH9D279-BAG    35KG   22030337    (200575114)  IX2  CCY          </t>
  </si>
  <si>
    <t xml:space="preserve">EXL1414-RD7H023-BAG    35KG   22083288    (98114161)  IX2  CCY          </t>
  </si>
  <si>
    <t xml:space="preserve">C1200HF-7N1D073-BAG    35KG   22034857    (200574092)  IY2  CCY          </t>
  </si>
  <si>
    <t xml:space="preserve">141R-701-BAG    1.4KG   22021359    (98075118)  IL2  LXN/CCY          </t>
  </si>
  <si>
    <t xml:space="preserve">141R-7A1D369-BAG    105KG   22088791    (200573858)  IL2  LXN/CCY          </t>
  </si>
  <si>
    <t xml:space="preserve">EXL1414T-WH9E305-BAG    140KG   22032378    (200571670)  IX2  CCY          </t>
  </si>
  <si>
    <t xml:space="preserve">EXL1132T-701-BAG    70KG   22017371    (200572780)  IX2  CCY          </t>
  </si>
  <si>
    <t xml:space="preserve">EXL8454-WH9E561-BAG    280KG   22032409    (200574852)  IX2  CCY          </t>
  </si>
  <si>
    <t xml:space="preserve">121-7A8D020-    150KG   299900626    (200570668)  IL2  LXN/CCY          </t>
  </si>
  <si>
    <t xml:space="preserve">FXE1414T-6G8A1349-BAG    100KG   22098674    (200573917)  IX2  CCY          </t>
  </si>
  <si>
    <t xml:space="preserve">EXL1414-3N7A4138-    100KG   299904782    (200573896)  IX2  CCY          </t>
  </si>
  <si>
    <t xml:space="preserve">EXL9330-BK1334-BAG    100KG   22020016    (200571797)  IX2  CCY          </t>
  </si>
  <si>
    <t xml:space="preserve">CX7240-GY2D293-BAG    100KG   22032083    (200574928)  IY2  CCY          </t>
  </si>
  <si>
    <t xml:space="preserve">EXL9330-8R6D007-BAG    490KG   22045549    (200571851)  IX2  CCY          </t>
  </si>
  <si>
    <t xml:space="preserve">C6600-8R8D096-BAG    140KG   22038884    (200571847)  IY2  CCY          粒子      </t>
  </si>
  <si>
    <t xml:space="preserve">945-7M1A4642-    70KG   299905922    (200574702)  IL2  CCY          </t>
  </si>
  <si>
    <t xml:space="preserve">945-WH9D687-BAG    70KG   22034271    (98287992)  IL2  CCY          </t>
  </si>
  <si>
    <t xml:space="preserve">C6600-4R8D011-BAG    35KG   22039669    (200562488)  IY2  CCY          </t>
  </si>
  <si>
    <t xml:space="preserve">C3650-701-BAG    35KG   22022511    (200574598)  IY2  CCY          </t>
  </si>
  <si>
    <t xml:space="preserve">FXE1414L-WH9G213-BAG    140KG   22028767    (200568719)  IX2  CCY          </t>
  </si>
  <si>
    <t xml:space="preserve">EXL9134-BK1A068-BAG    70KG   22023114    (200574601)  IX2  CCY          </t>
  </si>
  <si>
    <t xml:space="preserve">CX7720-BK1G328-BAG    35KG   22030254    (200574727)  IY2  CCY          </t>
  </si>
  <si>
    <t xml:space="preserve">945-8T6D109-BAG    70KG   22044408    (200575443)  IL2  CCY          </t>
  </si>
  <si>
    <t xml:space="preserve">CS9610-WH8E359-BAG    70KG   22030062    (200575243)  IY2  CCY          </t>
  </si>
  <si>
    <t xml:space="preserve">FXE1414T-6G8A1349-BAG    140KG   22098674    (200548487)  IX2  CCY          </t>
  </si>
  <si>
    <t xml:space="preserve">C6200-OR3C107-BAG    70KG   22031763    (200573685)  IY2  CCY          粒子      </t>
  </si>
  <si>
    <t xml:space="preserve">D20001-3M6D018-BAG    35KG   22044243    (200567121)  IT2  CCY          </t>
  </si>
  <si>
    <t xml:space="preserve">FXD1414T-8N7D004X-BAG    280KG   22040041    (200574668)  IX2  CCY          </t>
  </si>
  <si>
    <t xml:space="preserve">EXL9111-2G3A4538-    140KG   299905861    (200573593)  IX2      </t>
  </si>
  <si>
    <t xml:space="preserve">945A-21051-BAG    100KG   22034276    (200574712)  IL2  LXN/CCY          </t>
  </si>
  <si>
    <t xml:space="preserve">D20009-BK1A646-BAG    700KG   22030271    (314938931)    CCY         含Br/Cl        </t>
  </si>
  <si>
    <t xml:space="preserve">LUX9612G-WH8A490X-BAG    35KG   22023844    (200574811)  IL2  LXN          </t>
  </si>
  <si>
    <t xml:space="preserve">WF006N-2A5A3909-    84KG   299904428    (200574650)  IT2  GF          </t>
  </si>
  <si>
    <t xml:space="preserve">D551-8A9D181-SBG    35KG   22085771    (200573577)  IT2  GF          </t>
  </si>
  <si>
    <t xml:space="preserve">D551-8A9D181-SBG    35KG   22085771    (200573578)  IT2  GF          </t>
  </si>
  <si>
    <t xml:space="preserve">WF006N-7A7D096-SBG    364KG   22086688    (200567189)  IT2  GF          </t>
  </si>
  <si>
    <t xml:space="preserve">ER007527-7G1A1794-BAG    35KG   22102086    (200574797)  IX2  GF          </t>
  </si>
  <si>
    <t xml:space="preserve">WF008N-BK1066-SBG    70KG   22087470    (200574962)  IT2  GF          </t>
  </si>
  <si>
    <t xml:space="preserve">HFD4472-2G1A4818-    35KG   299905932    (200573596)  IX2  GF          </t>
  </si>
  <si>
    <t xml:space="preserve">D251-GY8H033-BAG    175KG   22085768    (200561549)  IT2  GF          </t>
  </si>
  <si>
    <t xml:space="preserve">EXL4419-WH9D245-BAG    35KG   22039803    (200574667)  IX2  GF          </t>
  </si>
  <si>
    <t xml:space="preserve">3412R-131-BAG    35KG   22021728    (200574665)  IL2  GF         含Br/Cl        </t>
  </si>
  <si>
    <t xml:space="preserve">UX08319-NA3E006-    84KG   290030987    (98158075)  IT2  Konduit          </t>
  </si>
  <si>
    <t xml:space="preserve">3412R-739-BAG    100KG   22021730    (200576311)  IL2  GF         含Br/Cl        </t>
  </si>
  <si>
    <t xml:space="preserve">RP004-BK1A855-FBG    100KG   22066976    (200573662)  IT2  FR          </t>
  </si>
  <si>
    <t xml:space="preserve">D452-701-SBG    28KG   22029209    (200574631)  IT2  GF          </t>
  </si>
  <si>
    <t xml:space="preserve">D251-GY8H033-BAG    210KG   22085768    (200567662)  IT2  GF          </t>
  </si>
  <si>
    <t xml:space="preserve">WF006N-7A1A0666-SBG    196KG   22098412    (200573670)  IT2  GF          </t>
  </si>
  <si>
    <t xml:space="preserve">D151-7G2A4433-    25KG   299905850    (200573561)  IT2  GF          </t>
  </si>
  <si>
    <t xml:space="preserve">R2000-BK1A831-SBG    100KG   22037395    (200552287)  IT2  FR          </t>
  </si>
  <si>
    <t xml:space="preserve">ER8285-701-    140KG   299904387    (200574785)  IT2      </t>
  </si>
  <si>
    <t xml:space="preserve">RFL36-BK1B602-SBG    28KG   22029457    (200573753)  IT2  GL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</si>
</sst>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0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0" borderId="0" xfId="0" applyNumberFormat="1" applyAlignment="1">
      <alignment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30">
    <dxf>
      <border>
        <top/>
        <bottom style="dotted">
          <color theme="7"/>
        </bottom>
      </border>
    </dxf>
    <dxf>
      <fill>
        <patternFill patternType="light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/>
        </patternFill>
      </fill>
      <border>
        <left/>
        <right/>
      </border>
    </dxf>
    <dxf>
      <fill>
        <patternFill>
          <bgColor rgb="FFFF3399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/>
        </patternFill>
      </fill>
      <border>
        <left/>
        <right/>
      </border>
    </dxf>
    <dxf>
      <fill>
        <patternFill>
          <bgColor rgb="FFFF3399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 patternType="darkHorizontal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/>
        </patternFill>
      </fill>
      <border>
        <left/>
        <right/>
      </border>
    </dxf>
    <dxf>
      <fill>
        <patternFill>
          <bgColor rgb="FFFF3399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 patternType="darkHorizontal"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fill>
        <patternFill patternType="darkHorizontal">
          <bgColor rgb="FF0033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</dxfs>
  <tableStyles count="0" defaultTableStyle="TableStyleMedium9" defaultPivotStyle="PivotStyleLight16"/>
  <colors>
    <mruColors>
      <color rgb="FFFF3399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15</xdr:row>
          <xdr:rowOff>28575</xdr:rowOff>
        </xdr:from>
        <xdr:to>
          <xdr:col>2</xdr:col>
          <xdr:colOff>1257300</xdr:colOff>
          <xdr:row>17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1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602"/>
  <sheetViews>
    <sheetView tabSelected="1" zoomScaleNormal="100" workbookViewId="0">
      <pane ySplit="1" topLeftCell="A354" activePane="bottomLeft" state="frozen"/>
      <selection pane="bottomLeft" activeCell="B361" sqref="B361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6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2" bestFit="1" customWidth="1"/>
    <col min="18" max="18" width="13" bestFit="1" customWidth="1"/>
    <col min="19" max="19" width="18" bestFit="1" customWidth="1"/>
    <col min="20" max="20" width="6" bestFit="1" customWidth="1"/>
    <col min="21" max="22" width="12" bestFit="1" customWidth="1"/>
    <col min="23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26" bestFit="1" customWidth="1"/>
    <col min="28" max="28" width="21" bestFit="1" customWidth="1"/>
    <col min="30" max="30" width="10.140625" bestFit="1" customWidth="1"/>
  </cols>
  <sheetData>
    <row r="1" spans="1:38" ht="63.75">
      <c r="A1" s="1" t="s">
        <v>5828</v>
      </c>
      <c r="B1" s="1" t="s">
        <v>5829</v>
      </c>
      <c r="C1" s="1" t="s">
        <v>5830</v>
      </c>
      <c r="D1" s="1" t="s">
        <v>5831</v>
      </c>
      <c r="E1" s="1" t="s">
        <v>5832</v>
      </c>
      <c r="F1" s="1" t="s">
        <v>5833</v>
      </c>
      <c r="G1" s="1" t="s">
        <v>5834</v>
      </c>
      <c r="H1" s="1" t="s">
        <v>5835</v>
      </c>
      <c r="I1" s="1" t="s">
        <v>5836</v>
      </c>
      <c r="J1" s="1" t="s">
        <v>5837</v>
      </c>
      <c r="K1" s="1" t="s">
        <v>5838</v>
      </c>
      <c r="L1" s="6" t="s">
        <v>5839</v>
      </c>
      <c r="M1" s="1" t="s">
        <v>5840</v>
      </c>
      <c r="N1" s="1" t="s">
        <v>5841</v>
      </c>
      <c r="O1" s="1" t="s">
        <v>5842</v>
      </c>
      <c r="P1" s="1" t="s">
        <v>5843</v>
      </c>
      <c r="Q1" s="6" t="s">
        <v>5844</v>
      </c>
      <c r="R1" s="1" t="s">
        <v>5845</v>
      </c>
      <c r="S1" s="1" t="s">
        <v>5846</v>
      </c>
      <c r="T1" s="6" t="s">
        <v>5847</v>
      </c>
      <c r="U1" s="1" t="s">
        <v>5848</v>
      </c>
      <c r="V1" s="1" t="s">
        <v>5849</v>
      </c>
      <c r="W1" s="1" t="s">
        <v>5850</v>
      </c>
      <c r="X1" s="1" t="s">
        <v>5851</v>
      </c>
      <c r="Y1" s="1" t="s">
        <v>5852</v>
      </c>
      <c r="Z1" s="1" t="s">
        <v>5853</v>
      </c>
      <c r="AA1" s="6" t="s">
        <v>5854</v>
      </c>
      <c r="AB1" s="1" t="s">
        <v>5855</v>
      </c>
      <c r="AC1" t="s">
        <v>9920</v>
      </c>
      <c r="AD1" t="s">
        <v>12761</v>
      </c>
      <c r="AG1" t="s">
        <v>6030</v>
      </c>
      <c r="AH1" t="s">
        <v>6031</v>
      </c>
      <c r="AI1" t="s">
        <v>6032</v>
      </c>
      <c r="AJ1" t="s">
        <v>6033</v>
      </c>
      <c r="AK1" t="s">
        <v>6034</v>
      </c>
      <c r="AL1" t="s">
        <v>6035</v>
      </c>
    </row>
    <row r="2" spans="1:38">
      <c r="A2" t="s">
        <v>6456</v>
      </c>
      <c r="B2" t="s">
        <v>12767</v>
      </c>
      <c r="C2" t="s">
        <v>6094</v>
      </c>
      <c r="D2" t="s">
        <v>6009</v>
      </c>
      <c r="E2" s="2">
        <v>1150</v>
      </c>
      <c r="F2" s="2">
        <v>20600</v>
      </c>
      <c r="G2" s="3">
        <v>43282</v>
      </c>
      <c r="H2" s="4">
        <v>0.18299768518519</v>
      </c>
      <c r="I2" s="3">
        <v>43282</v>
      </c>
      <c r="J2" s="4">
        <v>0.85620370370370003</v>
      </c>
      <c r="K2" s="2">
        <v>0</v>
      </c>
      <c r="L2" t="s">
        <v>5856</v>
      </c>
      <c r="M2" t="s">
        <v>6457</v>
      </c>
      <c r="N2" s="3">
        <v>43296</v>
      </c>
      <c r="O2" s="3">
        <v>43284</v>
      </c>
      <c r="P2" t="s">
        <v>5898</v>
      </c>
      <c r="Q2" t="s">
        <v>12768</v>
      </c>
      <c r="R2" t="s">
        <v>6036</v>
      </c>
      <c r="S2" s="3">
        <v>43308</v>
      </c>
      <c r="T2" t="s">
        <v>9938</v>
      </c>
      <c r="U2" t="s">
        <v>6010</v>
      </c>
      <c r="V2" t="s">
        <v>5950</v>
      </c>
      <c r="W2" t="s">
        <v>5857</v>
      </c>
      <c r="X2" s="2">
        <v>1275</v>
      </c>
      <c r="Y2" t="s">
        <v>5858</v>
      </c>
      <c r="Z2" t="s">
        <v>6037</v>
      </c>
      <c r="AA2" s="2">
        <v>550</v>
      </c>
      <c r="AB2" t="s">
        <v>5859</v>
      </c>
      <c r="AC2" t="s">
        <v>9975</v>
      </c>
      <c r="AD2" s="32">
        <v>43280</v>
      </c>
      <c r="AI2" t="s">
        <v>9941</v>
      </c>
      <c r="AJ2" t="s">
        <v>9959</v>
      </c>
      <c r="AL2" t="s">
        <v>13769</v>
      </c>
    </row>
    <row r="3" spans="1:38">
      <c r="A3" t="s">
        <v>6456</v>
      </c>
      <c r="B3" t="s">
        <v>11538</v>
      </c>
      <c r="C3" t="s">
        <v>6464</v>
      </c>
      <c r="D3" t="s">
        <v>6465</v>
      </c>
      <c r="E3" s="2">
        <v>20600</v>
      </c>
      <c r="F3" s="2">
        <v>20600</v>
      </c>
      <c r="G3" s="3">
        <v>43284</v>
      </c>
      <c r="H3" s="4">
        <v>0.55381944444443998</v>
      </c>
      <c r="I3" s="3">
        <v>43285</v>
      </c>
      <c r="J3" s="4">
        <v>0.22702546296296</v>
      </c>
      <c r="K3" s="2">
        <v>0</v>
      </c>
      <c r="L3" t="s">
        <v>5856</v>
      </c>
      <c r="M3" t="s">
        <v>6457</v>
      </c>
      <c r="N3" s="3">
        <v>43277</v>
      </c>
      <c r="O3" s="3">
        <v>43287</v>
      </c>
      <c r="P3" t="s">
        <v>5929</v>
      </c>
      <c r="Q3" t="s">
        <v>6466</v>
      </c>
      <c r="R3" t="s">
        <v>6036</v>
      </c>
      <c r="S3" s="3">
        <v>43370</v>
      </c>
      <c r="T3" t="s">
        <v>9938</v>
      </c>
      <c r="U3" t="s">
        <v>6467</v>
      </c>
      <c r="V3" t="s">
        <v>6468</v>
      </c>
      <c r="W3" t="s">
        <v>5857</v>
      </c>
      <c r="X3" s="2">
        <v>1275</v>
      </c>
      <c r="Y3" t="s">
        <v>5858</v>
      </c>
      <c r="Z3" t="s">
        <v>6037</v>
      </c>
      <c r="AA3" s="2">
        <v>20600</v>
      </c>
      <c r="AB3" t="s">
        <v>5859</v>
      </c>
      <c r="AC3" t="s">
        <v>9976</v>
      </c>
      <c r="AD3" s="32">
        <v>43250</v>
      </c>
      <c r="AJ3" t="s">
        <v>9957</v>
      </c>
      <c r="AL3" t="s">
        <v>10450</v>
      </c>
    </row>
    <row r="4" spans="1:38">
      <c r="A4" t="s">
        <v>6456</v>
      </c>
      <c r="B4" t="s">
        <v>11539</v>
      </c>
      <c r="C4" t="s">
        <v>6469</v>
      </c>
      <c r="D4" t="s">
        <v>6470</v>
      </c>
      <c r="E4" s="5">
        <v>9244.25</v>
      </c>
      <c r="F4" s="5">
        <v>9244.25</v>
      </c>
      <c r="G4" s="3">
        <v>43285</v>
      </c>
      <c r="H4" s="4">
        <v>0.2478587962963</v>
      </c>
      <c r="I4" s="3">
        <v>43285</v>
      </c>
      <c r="J4" s="4">
        <v>0.5499537037037</v>
      </c>
      <c r="K4" s="2">
        <v>4</v>
      </c>
      <c r="L4" t="s">
        <v>5856</v>
      </c>
      <c r="M4" t="s">
        <v>6471</v>
      </c>
      <c r="N4" s="3">
        <v>43285</v>
      </c>
      <c r="O4" s="3">
        <v>43287</v>
      </c>
      <c r="P4" t="s">
        <v>5898</v>
      </c>
      <c r="Q4" t="s">
        <v>8419</v>
      </c>
      <c r="R4" t="s">
        <v>6036</v>
      </c>
      <c r="S4" s="3">
        <v>43285</v>
      </c>
      <c r="T4" t="s">
        <v>9938</v>
      </c>
      <c r="U4" t="s">
        <v>6472</v>
      </c>
      <c r="V4" t="s">
        <v>5950</v>
      </c>
      <c r="W4" t="s">
        <v>5857</v>
      </c>
      <c r="X4" s="2">
        <v>1275</v>
      </c>
      <c r="Y4" t="s">
        <v>5858</v>
      </c>
      <c r="Z4" t="s">
        <v>6037</v>
      </c>
      <c r="AA4" s="2">
        <v>8975</v>
      </c>
      <c r="AB4" t="s">
        <v>5859</v>
      </c>
      <c r="AC4" t="s">
        <v>9974</v>
      </c>
      <c r="AD4" s="32">
        <v>43266</v>
      </c>
      <c r="AI4" t="s">
        <v>9940</v>
      </c>
      <c r="AJ4" t="s">
        <v>9959</v>
      </c>
      <c r="AL4" t="s">
        <v>10451</v>
      </c>
    </row>
    <row r="5" spans="1:38">
      <c r="A5" t="s">
        <v>6456</v>
      </c>
      <c r="B5" t="s">
        <v>11540</v>
      </c>
      <c r="C5" t="s">
        <v>6473</v>
      </c>
      <c r="D5" t="s">
        <v>6474</v>
      </c>
      <c r="E5" s="2">
        <v>20600</v>
      </c>
      <c r="F5" s="2">
        <v>20600</v>
      </c>
      <c r="G5" s="3">
        <v>43285</v>
      </c>
      <c r="H5" s="4">
        <v>0.57078703703704003</v>
      </c>
      <c r="I5" s="3">
        <v>43286</v>
      </c>
      <c r="J5" s="4">
        <v>0.14300925925926</v>
      </c>
      <c r="K5" s="2">
        <v>0</v>
      </c>
      <c r="L5" t="s">
        <v>5856</v>
      </c>
      <c r="M5" t="s">
        <v>6475</v>
      </c>
      <c r="N5" s="3">
        <v>43287</v>
      </c>
      <c r="O5" s="3">
        <v>43288</v>
      </c>
      <c r="P5" t="s">
        <v>5862</v>
      </c>
      <c r="Q5" t="s">
        <v>12615</v>
      </c>
      <c r="R5" t="s">
        <v>6784</v>
      </c>
      <c r="S5" s="3">
        <v>43343</v>
      </c>
      <c r="T5" t="s">
        <v>9938</v>
      </c>
      <c r="U5" t="s">
        <v>6477</v>
      </c>
      <c r="V5" t="s">
        <v>5941</v>
      </c>
      <c r="W5" t="s">
        <v>6478</v>
      </c>
      <c r="X5" s="2">
        <v>1275</v>
      </c>
      <c r="Y5" t="s">
        <v>5858</v>
      </c>
      <c r="Z5" t="s">
        <v>6037</v>
      </c>
      <c r="AA5" s="2">
        <v>20600</v>
      </c>
      <c r="AB5" t="s">
        <v>5859</v>
      </c>
      <c r="AC5" t="s">
        <v>9977</v>
      </c>
      <c r="AD5" s="32">
        <v>43273</v>
      </c>
      <c r="AJ5" t="s">
        <v>9959</v>
      </c>
      <c r="AL5" t="s">
        <v>10452</v>
      </c>
    </row>
    <row r="6" spans="1:38">
      <c r="A6" t="s">
        <v>6456</v>
      </c>
      <c r="B6" t="s">
        <v>12769</v>
      </c>
      <c r="C6" t="s">
        <v>6479</v>
      </c>
      <c r="D6" t="s">
        <v>6480</v>
      </c>
      <c r="E6" s="2">
        <v>3090</v>
      </c>
      <c r="F6" s="2">
        <v>3090</v>
      </c>
      <c r="G6" s="3">
        <v>43289</v>
      </c>
      <c r="H6" s="4">
        <v>0.22174768518519</v>
      </c>
      <c r="I6" s="3">
        <v>43289</v>
      </c>
      <c r="J6" s="4">
        <v>0.32273148148148001</v>
      </c>
      <c r="K6" s="2">
        <v>0</v>
      </c>
      <c r="L6" t="s">
        <v>5856</v>
      </c>
      <c r="M6" t="s">
        <v>6785</v>
      </c>
      <c r="N6" s="3">
        <v>43293</v>
      </c>
      <c r="O6" s="3">
        <v>43291</v>
      </c>
      <c r="P6" t="s">
        <v>5949</v>
      </c>
      <c r="Q6" t="s">
        <v>6481</v>
      </c>
      <c r="R6" t="s">
        <v>6036</v>
      </c>
      <c r="S6" s="3">
        <v>43293</v>
      </c>
      <c r="T6" t="s">
        <v>9938</v>
      </c>
      <c r="U6" t="s">
        <v>6482</v>
      </c>
      <c r="V6" t="s">
        <v>5950</v>
      </c>
      <c r="W6" t="s">
        <v>5857</v>
      </c>
      <c r="X6" s="2">
        <v>1275</v>
      </c>
      <c r="Y6" t="s">
        <v>5858</v>
      </c>
      <c r="Z6" t="s">
        <v>6037</v>
      </c>
      <c r="AA6" s="2">
        <v>3000</v>
      </c>
      <c r="AB6" t="s">
        <v>5863</v>
      </c>
      <c r="AC6" t="s">
        <v>9974</v>
      </c>
      <c r="AD6" s="32">
        <v>43281</v>
      </c>
      <c r="AI6" t="s">
        <v>9941</v>
      </c>
      <c r="AJ6" t="s">
        <v>9959</v>
      </c>
      <c r="AL6" t="s">
        <v>13770</v>
      </c>
    </row>
    <row r="7" spans="1:38">
      <c r="A7" t="s">
        <v>6456</v>
      </c>
      <c r="B7" t="s">
        <v>12770</v>
      </c>
      <c r="C7" t="s">
        <v>6473</v>
      </c>
      <c r="D7" t="s">
        <v>6474</v>
      </c>
      <c r="E7" s="2">
        <v>20600</v>
      </c>
      <c r="F7" s="2">
        <v>20600</v>
      </c>
      <c r="G7" s="3">
        <v>43289</v>
      </c>
      <c r="H7" s="4">
        <v>0.34356481481480999</v>
      </c>
      <c r="I7" s="3">
        <v>43289</v>
      </c>
      <c r="J7" s="4">
        <v>0.91578703703704001</v>
      </c>
      <c r="K7" s="2">
        <v>0</v>
      </c>
      <c r="L7" t="s">
        <v>5856</v>
      </c>
      <c r="M7" t="s">
        <v>6475</v>
      </c>
      <c r="N7" s="3">
        <v>43288</v>
      </c>
      <c r="O7" s="3">
        <v>43291</v>
      </c>
      <c r="P7" t="s">
        <v>5862</v>
      </c>
      <c r="Q7" t="s">
        <v>12616</v>
      </c>
      <c r="R7" t="s">
        <v>6784</v>
      </c>
      <c r="S7" s="3">
        <v>43350</v>
      </c>
      <c r="T7" t="s">
        <v>9938</v>
      </c>
      <c r="U7" t="s">
        <v>6477</v>
      </c>
      <c r="V7" t="s">
        <v>5941</v>
      </c>
      <c r="W7" t="s">
        <v>6478</v>
      </c>
      <c r="X7" s="2">
        <v>1275</v>
      </c>
      <c r="Y7" t="s">
        <v>5858</v>
      </c>
      <c r="Z7" t="s">
        <v>6037</v>
      </c>
      <c r="AA7" s="2">
        <v>20000</v>
      </c>
      <c r="AB7" t="s">
        <v>5863</v>
      </c>
      <c r="AC7" t="s">
        <v>9977</v>
      </c>
      <c r="AD7" s="32">
        <v>43280</v>
      </c>
      <c r="AJ7" t="s">
        <v>9959</v>
      </c>
      <c r="AL7" t="s">
        <v>13771</v>
      </c>
    </row>
    <row r="8" spans="1:38">
      <c r="A8" t="s">
        <v>6456</v>
      </c>
      <c r="B8" t="s">
        <v>11541</v>
      </c>
      <c r="C8" t="s">
        <v>6479</v>
      </c>
      <c r="D8" t="s">
        <v>6480</v>
      </c>
      <c r="E8" s="2">
        <v>0</v>
      </c>
      <c r="F8" s="2">
        <v>10300</v>
      </c>
      <c r="G8" s="3">
        <v>43290</v>
      </c>
      <c r="H8" s="4">
        <v>0</v>
      </c>
      <c r="I8" s="3">
        <v>43290</v>
      </c>
      <c r="J8" s="4">
        <v>0.33659722222221999</v>
      </c>
      <c r="K8" s="2">
        <v>20</v>
      </c>
      <c r="L8" t="s">
        <v>5856</v>
      </c>
      <c r="M8" t="s">
        <v>6483</v>
      </c>
      <c r="N8" s="3">
        <v>43293</v>
      </c>
      <c r="O8" s="3">
        <v>43292</v>
      </c>
      <c r="P8" t="s">
        <v>5949</v>
      </c>
      <c r="Q8" t="s">
        <v>6038</v>
      </c>
      <c r="R8" t="s">
        <v>6039</v>
      </c>
      <c r="S8" s="3"/>
      <c r="T8" t="s">
        <v>9938</v>
      </c>
      <c r="U8" t="s">
        <v>6482</v>
      </c>
      <c r="V8" t="s">
        <v>5950</v>
      </c>
      <c r="W8" t="s">
        <v>5857</v>
      </c>
      <c r="X8" s="2">
        <v>1275</v>
      </c>
      <c r="Y8" t="s">
        <v>5858</v>
      </c>
      <c r="Z8" t="s">
        <v>6037</v>
      </c>
      <c r="AA8" s="2">
        <v>0</v>
      </c>
      <c r="AB8" t="s">
        <v>5859</v>
      </c>
      <c r="AC8" t="s">
        <v>9974</v>
      </c>
      <c r="AD8" s="32">
        <v>43228</v>
      </c>
      <c r="AI8" t="s">
        <v>9941</v>
      </c>
      <c r="AJ8" t="s">
        <v>9959</v>
      </c>
      <c r="AK8" t="s">
        <v>10449</v>
      </c>
      <c r="AL8" t="s">
        <v>12762</v>
      </c>
    </row>
    <row r="9" spans="1:38">
      <c r="A9" t="s">
        <v>6456</v>
      </c>
      <c r="B9" t="s">
        <v>11542</v>
      </c>
      <c r="C9" t="s">
        <v>6479</v>
      </c>
      <c r="D9" t="s">
        <v>6480</v>
      </c>
      <c r="E9" s="2">
        <v>450</v>
      </c>
      <c r="F9" s="2">
        <v>15450</v>
      </c>
      <c r="G9" s="3">
        <v>43290</v>
      </c>
      <c r="H9" s="4">
        <v>0.35743055555556003</v>
      </c>
      <c r="I9" s="3">
        <v>43290</v>
      </c>
      <c r="J9" s="4">
        <v>0.86233796296295995</v>
      </c>
      <c r="K9" s="2">
        <v>20</v>
      </c>
      <c r="L9" t="s">
        <v>5856</v>
      </c>
      <c r="M9" t="s">
        <v>6484</v>
      </c>
      <c r="N9" s="3">
        <v>43293</v>
      </c>
      <c r="O9" s="3">
        <v>43292</v>
      </c>
      <c r="P9" t="s">
        <v>5949</v>
      </c>
      <c r="Q9" t="s">
        <v>6038</v>
      </c>
      <c r="R9" t="s">
        <v>6039</v>
      </c>
      <c r="S9" s="3"/>
      <c r="T9" t="s">
        <v>9938</v>
      </c>
      <c r="U9" t="s">
        <v>6482</v>
      </c>
      <c r="V9" t="s">
        <v>5950</v>
      </c>
      <c r="W9" t="s">
        <v>5857</v>
      </c>
      <c r="X9" s="2">
        <v>1275</v>
      </c>
      <c r="Y9" t="s">
        <v>5858</v>
      </c>
      <c r="Z9" t="s">
        <v>6037</v>
      </c>
      <c r="AA9" s="2">
        <v>0</v>
      </c>
      <c r="AB9" t="s">
        <v>5859</v>
      </c>
      <c r="AC9" t="s">
        <v>9974</v>
      </c>
      <c r="AD9" s="32">
        <v>43278</v>
      </c>
      <c r="AI9" t="s">
        <v>9941</v>
      </c>
      <c r="AJ9" t="s">
        <v>9959</v>
      </c>
      <c r="AK9" t="s">
        <v>10449</v>
      </c>
      <c r="AL9" t="s">
        <v>12763</v>
      </c>
    </row>
    <row r="10" spans="1:38">
      <c r="A10" t="s">
        <v>6456</v>
      </c>
      <c r="B10" t="s">
        <v>12771</v>
      </c>
      <c r="C10" t="s">
        <v>8720</v>
      </c>
      <c r="D10" t="s">
        <v>8721</v>
      </c>
      <c r="E10" s="2">
        <v>3090</v>
      </c>
      <c r="F10" s="2">
        <v>3090</v>
      </c>
      <c r="G10" s="3">
        <v>43290</v>
      </c>
      <c r="H10" s="4">
        <v>0.88317129629629998</v>
      </c>
      <c r="I10" s="3">
        <v>43290</v>
      </c>
      <c r="J10" s="4">
        <v>0.98415509259259004</v>
      </c>
      <c r="K10" s="2">
        <v>4</v>
      </c>
      <c r="L10" t="s">
        <v>5856</v>
      </c>
      <c r="M10" t="s">
        <v>6785</v>
      </c>
      <c r="N10" s="3">
        <v>43300</v>
      </c>
      <c r="O10" s="3">
        <v>43292</v>
      </c>
      <c r="P10" t="s">
        <v>5929</v>
      </c>
      <c r="Q10" t="s">
        <v>8830</v>
      </c>
      <c r="R10" t="s">
        <v>6036</v>
      </c>
      <c r="S10" s="3">
        <v>43300</v>
      </c>
      <c r="T10" t="s">
        <v>9938</v>
      </c>
      <c r="U10" t="s">
        <v>8722</v>
      </c>
      <c r="V10" t="s">
        <v>8723</v>
      </c>
      <c r="W10" t="s">
        <v>5857</v>
      </c>
      <c r="X10" s="2">
        <v>1275</v>
      </c>
      <c r="Y10" t="s">
        <v>5858</v>
      </c>
      <c r="Z10" t="s">
        <v>6037</v>
      </c>
      <c r="AA10" s="2">
        <v>3000</v>
      </c>
      <c r="AB10" t="s">
        <v>5863</v>
      </c>
      <c r="AC10" t="s">
        <v>9976</v>
      </c>
      <c r="AD10" s="32">
        <v>43279</v>
      </c>
      <c r="AJ10" t="s">
        <v>9957</v>
      </c>
      <c r="AL10" t="s">
        <v>13772</v>
      </c>
    </row>
    <row r="11" spans="1:38">
      <c r="A11" t="s">
        <v>6456</v>
      </c>
      <c r="B11" t="s">
        <v>11547</v>
      </c>
      <c r="C11" t="s">
        <v>6485</v>
      </c>
      <c r="D11" t="s">
        <v>6486</v>
      </c>
      <c r="E11" s="2">
        <v>20600</v>
      </c>
      <c r="F11" s="2">
        <v>20600</v>
      </c>
      <c r="G11" s="3">
        <v>43295</v>
      </c>
      <c r="H11" s="4">
        <v>2.0821759259260001E-2</v>
      </c>
      <c r="I11" s="3">
        <v>43295</v>
      </c>
      <c r="J11" s="4">
        <v>0.69402777777778002</v>
      </c>
      <c r="K11" s="2">
        <v>0</v>
      </c>
      <c r="L11" t="s">
        <v>5856</v>
      </c>
      <c r="M11" t="s">
        <v>6457</v>
      </c>
      <c r="N11" s="3">
        <v>43293</v>
      </c>
      <c r="O11" s="3">
        <v>43297</v>
      </c>
      <c r="P11" t="s">
        <v>5904</v>
      </c>
      <c r="Q11" t="s">
        <v>6487</v>
      </c>
      <c r="R11" t="s">
        <v>6036</v>
      </c>
      <c r="S11" s="3">
        <v>43293</v>
      </c>
      <c r="T11" t="s">
        <v>9938</v>
      </c>
      <c r="U11" t="s">
        <v>6488</v>
      </c>
      <c r="V11" t="s">
        <v>6045</v>
      </c>
      <c r="W11" t="s">
        <v>5857</v>
      </c>
      <c r="X11" s="2">
        <v>1275</v>
      </c>
      <c r="Y11" t="s">
        <v>5858</v>
      </c>
      <c r="Z11" t="s">
        <v>6037</v>
      </c>
      <c r="AA11" s="2">
        <v>20000</v>
      </c>
      <c r="AB11" t="s">
        <v>5859</v>
      </c>
      <c r="AC11" t="s">
        <v>9974</v>
      </c>
      <c r="AD11" s="32">
        <v>43209</v>
      </c>
      <c r="AJ11" t="s">
        <v>9959</v>
      </c>
      <c r="AL11" t="s">
        <v>13773</v>
      </c>
    </row>
    <row r="12" spans="1:38">
      <c r="A12" t="s">
        <v>6456</v>
      </c>
      <c r="B12" t="s">
        <v>11543</v>
      </c>
      <c r="C12" t="s">
        <v>6485</v>
      </c>
      <c r="D12" t="s">
        <v>6486</v>
      </c>
      <c r="E12" s="2">
        <v>4600</v>
      </c>
      <c r="F12" s="2">
        <v>20600</v>
      </c>
      <c r="G12" s="3">
        <v>43295</v>
      </c>
      <c r="H12" s="4">
        <v>0.71486111111110995</v>
      </c>
      <c r="I12" s="3">
        <v>43296</v>
      </c>
      <c r="J12" s="4">
        <v>0.38806712962963003</v>
      </c>
      <c r="K12" s="2">
        <v>0</v>
      </c>
      <c r="L12" t="s">
        <v>5856</v>
      </c>
      <c r="M12" t="s">
        <v>6457</v>
      </c>
      <c r="N12" s="3">
        <v>43293</v>
      </c>
      <c r="O12" s="3">
        <v>43298</v>
      </c>
      <c r="P12" t="s">
        <v>5904</v>
      </c>
      <c r="Q12" t="s">
        <v>6487</v>
      </c>
      <c r="R12" t="s">
        <v>6042</v>
      </c>
      <c r="S12" s="3">
        <v>43293</v>
      </c>
      <c r="T12" t="s">
        <v>9938</v>
      </c>
      <c r="U12" t="s">
        <v>6488</v>
      </c>
      <c r="V12" t="s">
        <v>6045</v>
      </c>
      <c r="W12" t="s">
        <v>5857</v>
      </c>
      <c r="X12" s="2">
        <v>1275</v>
      </c>
      <c r="Y12" t="s">
        <v>5858</v>
      </c>
      <c r="Z12" t="s">
        <v>6037</v>
      </c>
      <c r="AA12" s="2">
        <v>4000</v>
      </c>
      <c r="AB12" t="s">
        <v>5859</v>
      </c>
      <c r="AC12" t="s">
        <v>9974</v>
      </c>
      <c r="AD12" s="32">
        <v>43209</v>
      </c>
      <c r="AJ12" t="s">
        <v>9959</v>
      </c>
      <c r="AK12" t="s">
        <v>10449</v>
      </c>
      <c r="AL12" t="s">
        <v>11537</v>
      </c>
    </row>
    <row r="13" spans="1:38">
      <c r="A13" t="s">
        <v>6456</v>
      </c>
      <c r="B13" t="s">
        <v>11545</v>
      </c>
      <c r="C13" t="s">
        <v>6095</v>
      </c>
      <c r="D13" t="s">
        <v>6011</v>
      </c>
      <c r="E13" s="2">
        <v>20000</v>
      </c>
      <c r="F13" s="2">
        <v>20000</v>
      </c>
      <c r="G13" s="3">
        <v>43296</v>
      </c>
      <c r="H13" s="4">
        <v>0.49509259259258998</v>
      </c>
      <c r="I13" s="3">
        <v>43297</v>
      </c>
      <c r="J13" s="4">
        <v>0.14869212962962999</v>
      </c>
      <c r="K13" s="2">
        <v>20</v>
      </c>
      <c r="L13" t="s">
        <v>5856</v>
      </c>
      <c r="M13" t="s">
        <v>6494</v>
      </c>
      <c r="N13" s="3">
        <v>43298</v>
      </c>
      <c r="O13" s="3">
        <v>43299</v>
      </c>
      <c r="P13" t="s">
        <v>5898</v>
      </c>
      <c r="Q13" t="s">
        <v>6495</v>
      </c>
      <c r="R13" t="s">
        <v>6042</v>
      </c>
      <c r="S13" s="3">
        <v>43298</v>
      </c>
      <c r="T13" t="s">
        <v>9938</v>
      </c>
      <c r="U13" t="s">
        <v>5875</v>
      </c>
      <c r="V13" t="s">
        <v>6045</v>
      </c>
      <c r="W13" t="s">
        <v>5857</v>
      </c>
      <c r="X13" s="2">
        <v>1275</v>
      </c>
      <c r="Y13" t="s">
        <v>5858</v>
      </c>
      <c r="Z13" t="s">
        <v>6037</v>
      </c>
      <c r="AA13" s="2">
        <v>20000</v>
      </c>
      <c r="AB13" t="s">
        <v>5863</v>
      </c>
      <c r="AC13" t="s">
        <v>9974</v>
      </c>
      <c r="AD13" s="32">
        <v>43210</v>
      </c>
      <c r="AJ13" t="s">
        <v>9959</v>
      </c>
      <c r="AL13" t="s">
        <v>10453</v>
      </c>
    </row>
    <row r="14" spans="1:38">
      <c r="A14" t="s">
        <v>6456</v>
      </c>
      <c r="B14" t="s">
        <v>11546</v>
      </c>
      <c r="C14" t="s">
        <v>6095</v>
      </c>
      <c r="D14" t="s">
        <v>6011</v>
      </c>
      <c r="E14" s="2">
        <v>20000</v>
      </c>
      <c r="F14" s="2">
        <v>20000</v>
      </c>
      <c r="G14" s="3">
        <v>43297</v>
      </c>
      <c r="H14" s="4">
        <v>0.16952546296296001</v>
      </c>
      <c r="I14" s="3">
        <v>43297</v>
      </c>
      <c r="J14" s="4">
        <v>0.823125</v>
      </c>
      <c r="K14" s="2">
        <v>20</v>
      </c>
      <c r="L14" t="s">
        <v>5856</v>
      </c>
      <c r="M14" t="s">
        <v>6494</v>
      </c>
      <c r="N14" s="3">
        <v>43298</v>
      </c>
      <c r="O14" s="3">
        <v>43299</v>
      </c>
      <c r="P14" t="s">
        <v>5898</v>
      </c>
      <c r="Q14" t="s">
        <v>6495</v>
      </c>
      <c r="R14" t="s">
        <v>6036</v>
      </c>
      <c r="S14" s="3">
        <v>43298</v>
      </c>
      <c r="T14" t="s">
        <v>9938</v>
      </c>
      <c r="U14" t="s">
        <v>5875</v>
      </c>
      <c r="V14" t="s">
        <v>6045</v>
      </c>
      <c r="W14" t="s">
        <v>5857</v>
      </c>
      <c r="X14" s="2">
        <v>1275</v>
      </c>
      <c r="Y14" t="s">
        <v>5858</v>
      </c>
      <c r="Z14" t="s">
        <v>6037</v>
      </c>
      <c r="AA14" s="2">
        <v>20000</v>
      </c>
      <c r="AB14" t="s">
        <v>5863</v>
      </c>
      <c r="AC14" t="s">
        <v>9974</v>
      </c>
      <c r="AD14" s="32">
        <v>43210</v>
      </c>
      <c r="AJ14" t="s">
        <v>9959</v>
      </c>
      <c r="AL14" t="s">
        <v>10454</v>
      </c>
    </row>
    <row r="15" spans="1:38">
      <c r="A15" t="s">
        <v>6456</v>
      </c>
      <c r="B15" t="s">
        <v>12772</v>
      </c>
      <c r="C15" t="s">
        <v>6473</v>
      </c>
      <c r="D15" t="s">
        <v>6474</v>
      </c>
      <c r="E15" s="2">
        <v>20600</v>
      </c>
      <c r="F15" s="2">
        <v>20600</v>
      </c>
      <c r="G15" s="3">
        <v>43297</v>
      </c>
      <c r="H15" s="4">
        <v>0.32255787037036998</v>
      </c>
      <c r="I15" s="3">
        <v>43297</v>
      </c>
      <c r="J15" s="4">
        <v>0.89478009259258995</v>
      </c>
      <c r="K15" s="2">
        <v>0</v>
      </c>
      <c r="L15" t="s">
        <v>5856</v>
      </c>
      <c r="M15" t="s">
        <v>6475</v>
      </c>
      <c r="N15" s="3">
        <v>43296</v>
      </c>
      <c r="O15" s="3">
        <v>43299</v>
      </c>
      <c r="P15" t="s">
        <v>5862</v>
      </c>
      <c r="Q15" t="s">
        <v>12773</v>
      </c>
      <c r="R15" t="s">
        <v>6476</v>
      </c>
      <c r="S15" s="3">
        <v>43358</v>
      </c>
      <c r="T15" t="s">
        <v>9938</v>
      </c>
      <c r="U15" t="s">
        <v>6477</v>
      </c>
      <c r="V15" t="s">
        <v>5941</v>
      </c>
      <c r="W15" t="s">
        <v>6478</v>
      </c>
      <c r="X15" s="2">
        <v>1275</v>
      </c>
      <c r="Y15" t="s">
        <v>5858</v>
      </c>
      <c r="Z15" t="s">
        <v>6037</v>
      </c>
      <c r="AA15" s="2">
        <v>20000</v>
      </c>
      <c r="AB15" t="s">
        <v>5863</v>
      </c>
      <c r="AC15" t="s">
        <v>9977</v>
      </c>
      <c r="AD15" s="32">
        <v>43280</v>
      </c>
      <c r="AJ15" t="s">
        <v>9959</v>
      </c>
      <c r="AL15" t="s">
        <v>13774</v>
      </c>
    </row>
    <row r="16" spans="1:38">
      <c r="A16" t="s">
        <v>6456</v>
      </c>
      <c r="B16" t="s">
        <v>11548</v>
      </c>
      <c r="C16" t="s">
        <v>6496</v>
      </c>
      <c r="D16" t="s">
        <v>6497</v>
      </c>
      <c r="E16" s="2">
        <v>10000</v>
      </c>
      <c r="F16" s="2">
        <v>10000</v>
      </c>
      <c r="G16" s="3">
        <v>43298</v>
      </c>
      <c r="H16" s="4">
        <v>0.35009259259259001</v>
      </c>
      <c r="I16" s="3">
        <v>43298</v>
      </c>
      <c r="J16" s="4">
        <v>0.67688657407407005</v>
      </c>
      <c r="K16" s="2">
        <v>0</v>
      </c>
      <c r="L16" t="s">
        <v>5856</v>
      </c>
      <c r="M16" t="s">
        <v>6498</v>
      </c>
      <c r="N16" s="3">
        <v>43301</v>
      </c>
      <c r="O16" s="3">
        <v>43300</v>
      </c>
      <c r="P16" t="s">
        <v>5904</v>
      </c>
      <c r="Q16" t="s">
        <v>6499</v>
      </c>
      <c r="R16" t="s">
        <v>6036</v>
      </c>
      <c r="S16" s="3">
        <v>43301</v>
      </c>
      <c r="T16" t="s">
        <v>9938</v>
      </c>
      <c r="U16" t="s">
        <v>5940</v>
      </c>
      <c r="V16" t="s">
        <v>6048</v>
      </c>
      <c r="W16" t="s">
        <v>5857</v>
      </c>
      <c r="X16" s="2">
        <v>1275</v>
      </c>
      <c r="Y16" t="s">
        <v>5858</v>
      </c>
      <c r="Z16" t="s">
        <v>6037</v>
      </c>
      <c r="AA16" s="2">
        <v>10000</v>
      </c>
      <c r="AB16" t="s">
        <v>5863</v>
      </c>
      <c r="AC16" t="s">
        <v>9974</v>
      </c>
      <c r="AD16" s="32">
        <v>43273</v>
      </c>
      <c r="AI16" t="s">
        <v>9942</v>
      </c>
      <c r="AJ16" t="s">
        <v>9959</v>
      </c>
      <c r="AL16" t="s">
        <v>10455</v>
      </c>
    </row>
    <row r="17" spans="1:38">
      <c r="A17" t="s">
        <v>6456</v>
      </c>
      <c r="B17" t="s">
        <v>12774</v>
      </c>
      <c r="C17" t="s">
        <v>6094</v>
      </c>
      <c r="D17" t="s">
        <v>6009</v>
      </c>
      <c r="E17" s="2">
        <v>20600</v>
      </c>
      <c r="F17" s="2">
        <v>20600</v>
      </c>
      <c r="G17" s="3">
        <v>43305</v>
      </c>
      <c r="H17" s="4">
        <v>0.32678240740740999</v>
      </c>
      <c r="I17" s="3">
        <v>43305</v>
      </c>
      <c r="J17" s="4">
        <v>0.99998842592592996</v>
      </c>
      <c r="K17" s="2">
        <v>0</v>
      </c>
      <c r="L17" t="s">
        <v>5856</v>
      </c>
      <c r="M17" t="s">
        <v>6457</v>
      </c>
      <c r="N17" s="3">
        <v>43307</v>
      </c>
      <c r="O17" s="3">
        <v>43307</v>
      </c>
      <c r="P17" t="s">
        <v>5898</v>
      </c>
      <c r="Q17" t="s">
        <v>12768</v>
      </c>
      <c r="R17" t="s">
        <v>6036</v>
      </c>
      <c r="S17" s="3">
        <v>43308</v>
      </c>
      <c r="T17" t="s">
        <v>9938</v>
      </c>
      <c r="U17" t="s">
        <v>6010</v>
      </c>
      <c r="V17" t="s">
        <v>5950</v>
      </c>
      <c r="W17" t="s">
        <v>5857</v>
      </c>
      <c r="X17" s="2">
        <v>0</v>
      </c>
      <c r="Y17" t="s">
        <v>5858</v>
      </c>
      <c r="Z17" t="s">
        <v>6037</v>
      </c>
      <c r="AA17" s="2">
        <v>20000</v>
      </c>
      <c r="AB17" t="s">
        <v>5861</v>
      </c>
      <c r="AC17" t="s">
        <v>9975</v>
      </c>
      <c r="AD17" s="32"/>
      <c r="AI17" t="s">
        <v>9941</v>
      </c>
      <c r="AJ17" t="s">
        <v>9959</v>
      </c>
      <c r="AL17" t="s">
        <v>13775</v>
      </c>
    </row>
    <row r="18" spans="1:38">
      <c r="A18" t="s">
        <v>6456</v>
      </c>
      <c r="B18" t="s">
        <v>11549</v>
      </c>
      <c r="C18" t="s">
        <v>6500</v>
      </c>
      <c r="D18" t="s">
        <v>6501</v>
      </c>
      <c r="E18" s="2">
        <v>2000</v>
      </c>
      <c r="F18" s="2">
        <v>2000</v>
      </c>
      <c r="G18" s="3">
        <v>43308</v>
      </c>
      <c r="H18" s="4">
        <v>0.93464120370369996</v>
      </c>
      <c r="I18" s="3">
        <v>43309</v>
      </c>
      <c r="J18" s="4">
        <v>0</v>
      </c>
      <c r="K18" s="2">
        <v>20</v>
      </c>
      <c r="L18" t="s">
        <v>5856</v>
      </c>
      <c r="M18" t="s">
        <v>6491</v>
      </c>
      <c r="N18" s="3">
        <v>43311</v>
      </c>
      <c r="O18" s="3">
        <v>43310</v>
      </c>
      <c r="P18" t="s">
        <v>5911</v>
      </c>
      <c r="Q18" t="s">
        <v>6502</v>
      </c>
      <c r="R18" t="s">
        <v>6036</v>
      </c>
      <c r="S18" s="3">
        <v>43311</v>
      </c>
      <c r="T18" t="s">
        <v>9938</v>
      </c>
      <c r="U18" t="s">
        <v>5923</v>
      </c>
      <c r="V18" t="s">
        <v>6503</v>
      </c>
      <c r="W18" t="s">
        <v>5857</v>
      </c>
      <c r="X18" s="2">
        <v>1275</v>
      </c>
      <c r="Y18" t="s">
        <v>5858</v>
      </c>
      <c r="Z18" t="s">
        <v>6037</v>
      </c>
      <c r="AA18" s="2">
        <v>2000</v>
      </c>
      <c r="AB18" t="s">
        <v>5863</v>
      </c>
      <c r="AC18" t="s">
        <v>9974</v>
      </c>
      <c r="AD18" s="32">
        <v>43259</v>
      </c>
      <c r="AI18" t="s">
        <v>9943</v>
      </c>
      <c r="AJ18" t="s">
        <v>9959</v>
      </c>
      <c r="AL18" t="s">
        <v>10456</v>
      </c>
    </row>
    <row r="19" spans="1:38">
      <c r="A19" t="s">
        <v>6456</v>
      </c>
      <c r="B19" t="s">
        <v>11550</v>
      </c>
      <c r="C19" t="s">
        <v>6504</v>
      </c>
      <c r="D19" t="s">
        <v>6505</v>
      </c>
      <c r="E19" s="2">
        <v>2000</v>
      </c>
      <c r="F19" s="2">
        <v>2000</v>
      </c>
      <c r="G19" s="3">
        <v>43311</v>
      </c>
      <c r="H19" s="4">
        <v>0.93464120370369996</v>
      </c>
      <c r="I19" s="3">
        <v>43312</v>
      </c>
      <c r="J19" s="4">
        <v>0</v>
      </c>
      <c r="K19" s="2">
        <v>20</v>
      </c>
      <c r="L19" t="s">
        <v>5856</v>
      </c>
      <c r="M19" t="s">
        <v>6491</v>
      </c>
      <c r="N19" s="3">
        <v>43314</v>
      </c>
      <c r="O19" s="3">
        <v>43313</v>
      </c>
      <c r="P19" t="s">
        <v>5898</v>
      </c>
      <c r="Q19" t="s">
        <v>6506</v>
      </c>
      <c r="R19" t="s">
        <v>6036</v>
      </c>
      <c r="S19" s="3">
        <v>43314</v>
      </c>
      <c r="T19" t="s">
        <v>9938</v>
      </c>
      <c r="U19" t="s">
        <v>6507</v>
      </c>
      <c r="V19" t="s">
        <v>6508</v>
      </c>
      <c r="W19" t="s">
        <v>5857</v>
      </c>
      <c r="X19" s="2">
        <v>1275</v>
      </c>
      <c r="Y19" t="s">
        <v>5858</v>
      </c>
      <c r="Z19" t="s">
        <v>6037</v>
      </c>
      <c r="AA19" s="2">
        <v>2000</v>
      </c>
      <c r="AB19" t="s">
        <v>5863</v>
      </c>
      <c r="AC19" t="s">
        <v>9976</v>
      </c>
      <c r="AD19" s="32">
        <v>43266</v>
      </c>
      <c r="AJ19" t="s">
        <v>9960</v>
      </c>
      <c r="AL19" t="s">
        <v>10457</v>
      </c>
    </row>
    <row r="20" spans="1:38">
      <c r="A20" t="s">
        <v>6456</v>
      </c>
      <c r="B20" t="s">
        <v>11551</v>
      </c>
      <c r="C20" t="s">
        <v>6509</v>
      </c>
      <c r="D20" t="s">
        <v>6510</v>
      </c>
      <c r="E20" s="2">
        <v>5000</v>
      </c>
      <c r="F20" s="2">
        <v>5000</v>
      </c>
      <c r="G20" s="3">
        <v>43312</v>
      </c>
      <c r="H20" s="4">
        <v>0.75040509259259003</v>
      </c>
      <c r="I20" s="3">
        <v>43312</v>
      </c>
      <c r="J20" s="4">
        <v>0.91380787037037003</v>
      </c>
      <c r="K20" s="2">
        <v>20</v>
      </c>
      <c r="L20" t="s">
        <v>5856</v>
      </c>
      <c r="M20" t="s">
        <v>6511</v>
      </c>
      <c r="N20" s="3">
        <v>43315</v>
      </c>
      <c r="O20" s="3">
        <v>43314</v>
      </c>
      <c r="P20" t="s">
        <v>5992</v>
      </c>
      <c r="Q20" t="s">
        <v>6512</v>
      </c>
      <c r="R20" t="s">
        <v>6036</v>
      </c>
      <c r="S20" s="3">
        <v>43315</v>
      </c>
      <c r="T20" t="s">
        <v>9938</v>
      </c>
      <c r="U20" t="s">
        <v>6513</v>
      </c>
      <c r="V20" t="s">
        <v>6514</v>
      </c>
      <c r="W20" t="s">
        <v>5857</v>
      </c>
      <c r="X20" s="2">
        <v>1275</v>
      </c>
      <c r="Y20" t="s">
        <v>5858</v>
      </c>
      <c r="Z20" t="s">
        <v>6037</v>
      </c>
      <c r="AA20" s="2">
        <v>5000</v>
      </c>
      <c r="AB20" t="s">
        <v>5863</v>
      </c>
      <c r="AC20" t="s">
        <v>9974</v>
      </c>
      <c r="AD20" s="32">
        <v>43277</v>
      </c>
      <c r="AI20" t="s">
        <v>9944</v>
      </c>
      <c r="AJ20" t="s">
        <v>9959</v>
      </c>
      <c r="AL20" t="s">
        <v>10458</v>
      </c>
    </row>
    <row r="21" spans="1:38">
      <c r="A21" t="s">
        <v>6456</v>
      </c>
      <c r="B21" t="s">
        <v>11552</v>
      </c>
      <c r="C21" t="s">
        <v>6489</v>
      </c>
      <c r="D21" t="s">
        <v>6490</v>
      </c>
      <c r="E21" s="2">
        <v>2000</v>
      </c>
      <c r="F21" s="2">
        <v>2000</v>
      </c>
      <c r="G21" s="3">
        <v>43312</v>
      </c>
      <c r="H21" s="4">
        <v>0.93464120370369996</v>
      </c>
      <c r="I21" s="3">
        <v>43313</v>
      </c>
      <c r="J21" s="4">
        <v>0</v>
      </c>
      <c r="K21" s="2">
        <v>20</v>
      </c>
      <c r="L21" t="s">
        <v>5856</v>
      </c>
      <c r="M21" t="s">
        <v>6491</v>
      </c>
      <c r="N21" s="3">
        <v>43315</v>
      </c>
      <c r="O21" s="3">
        <v>43314</v>
      </c>
      <c r="P21" t="s">
        <v>5898</v>
      </c>
      <c r="Q21" t="s">
        <v>6515</v>
      </c>
      <c r="R21" t="s">
        <v>6036</v>
      </c>
      <c r="S21" s="3">
        <v>43315</v>
      </c>
      <c r="T21" t="s">
        <v>9938</v>
      </c>
      <c r="U21" t="s">
        <v>6493</v>
      </c>
      <c r="V21" t="s">
        <v>5941</v>
      </c>
      <c r="W21" t="s">
        <v>5857</v>
      </c>
      <c r="X21" s="2">
        <v>1275</v>
      </c>
      <c r="Y21" t="s">
        <v>5858</v>
      </c>
      <c r="Z21" t="s">
        <v>6037</v>
      </c>
      <c r="AA21" s="2">
        <v>2000</v>
      </c>
      <c r="AB21" t="s">
        <v>5863</v>
      </c>
      <c r="AC21" t="s">
        <v>9974</v>
      </c>
      <c r="AD21" s="32">
        <v>43273</v>
      </c>
      <c r="AJ21" t="s">
        <v>9959</v>
      </c>
      <c r="AL21" t="s">
        <v>10459</v>
      </c>
    </row>
    <row r="22" spans="1:38">
      <c r="A22" t="s">
        <v>6456</v>
      </c>
      <c r="B22" t="s">
        <v>12775</v>
      </c>
      <c r="C22" t="s">
        <v>6094</v>
      </c>
      <c r="D22" t="s">
        <v>6009</v>
      </c>
      <c r="E22" s="2">
        <v>20600</v>
      </c>
      <c r="F22" s="2">
        <v>20600</v>
      </c>
      <c r="G22" s="3">
        <v>43314</v>
      </c>
      <c r="H22" s="4">
        <v>0.52204861111111001</v>
      </c>
      <c r="I22" s="3">
        <v>43315</v>
      </c>
      <c r="J22" s="4">
        <v>0.19525462962963</v>
      </c>
      <c r="K22" s="2">
        <v>0</v>
      </c>
      <c r="L22" t="s">
        <v>5856</v>
      </c>
      <c r="M22" t="s">
        <v>6457</v>
      </c>
      <c r="N22" s="3">
        <v>43317</v>
      </c>
      <c r="O22" s="3">
        <v>43318</v>
      </c>
      <c r="P22" t="s">
        <v>5898</v>
      </c>
      <c r="Q22" t="s">
        <v>12776</v>
      </c>
      <c r="R22" t="s">
        <v>6036</v>
      </c>
      <c r="S22" s="3">
        <v>43341</v>
      </c>
      <c r="T22" t="s">
        <v>9938</v>
      </c>
      <c r="U22" t="s">
        <v>6010</v>
      </c>
      <c r="V22" t="s">
        <v>5950</v>
      </c>
      <c r="W22" t="s">
        <v>5857</v>
      </c>
      <c r="X22" s="2">
        <v>0</v>
      </c>
      <c r="Y22" t="s">
        <v>5858</v>
      </c>
      <c r="Z22" t="s">
        <v>6037</v>
      </c>
      <c r="AA22" s="2">
        <v>20000</v>
      </c>
      <c r="AB22" t="s">
        <v>5861</v>
      </c>
      <c r="AC22" t="s">
        <v>9975</v>
      </c>
      <c r="AD22" s="32"/>
      <c r="AI22" t="s">
        <v>9941</v>
      </c>
      <c r="AJ22" t="s">
        <v>9959</v>
      </c>
      <c r="AL22" t="s">
        <v>13776</v>
      </c>
    </row>
    <row r="23" spans="1:38">
      <c r="A23" t="s">
        <v>6456</v>
      </c>
      <c r="B23" t="s">
        <v>12777</v>
      </c>
      <c r="C23" t="s">
        <v>6479</v>
      </c>
      <c r="D23" t="s">
        <v>6480</v>
      </c>
      <c r="E23" s="2">
        <v>20600</v>
      </c>
      <c r="F23" s="2">
        <v>20600</v>
      </c>
      <c r="G23" s="3">
        <v>43315</v>
      </c>
      <c r="H23" s="4">
        <v>0.21608796296296001</v>
      </c>
      <c r="I23" s="3">
        <v>43315</v>
      </c>
      <c r="J23" s="4">
        <v>0.88929398148147998</v>
      </c>
      <c r="K23" s="2">
        <v>0</v>
      </c>
      <c r="L23" t="s">
        <v>5856</v>
      </c>
      <c r="M23" t="s">
        <v>6457</v>
      </c>
      <c r="N23" s="3">
        <v>43320</v>
      </c>
      <c r="O23" s="3">
        <v>43317</v>
      </c>
      <c r="P23" t="s">
        <v>5949</v>
      </c>
      <c r="Q23" t="s">
        <v>12778</v>
      </c>
      <c r="R23" t="s">
        <v>6042</v>
      </c>
      <c r="S23" s="3">
        <v>43320</v>
      </c>
      <c r="T23" t="s">
        <v>9938</v>
      </c>
      <c r="U23" t="s">
        <v>6482</v>
      </c>
      <c r="V23" t="s">
        <v>5950</v>
      </c>
      <c r="W23" t="s">
        <v>5857</v>
      </c>
      <c r="X23" s="2">
        <v>1275</v>
      </c>
      <c r="Y23" t="s">
        <v>5858</v>
      </c>
      <c r="Z23" t="s">
        <v>6037</v>
      </c>
      <c r="AA23" s="2">
        <v>20000</v>
      </c>
      <c r="AB23" t="s">
        <v>5863</v>
      </c>
      <c r="AC23" t="s">
        <v>9974</v>
      </c>
      <c r="AD23" s="32">
        <v>43279</v>
      </c>
      <c r="AI23" t="s">
        <v>9941</v>
      </c>
      <c r="AJ23" t="s">
        <v>9959</v>
      </c>
      <c r="AL23" t="s">
        <v>13777</v>
      </c>
    </row>
    <row r="24" spans="1:38">
      <c r="A24" t="s">
        <v>6456</v>
      </c>
      <c r="B24" t="s">
        <v>11553</v>
      </c>
      <c r="C24" t="s">
        <v>6094</v>
      </c>
      <c r="D24" t="s">
        <v>6009</v>
      </c>
      <c r="E24" s="2">
        <v>20000</v>
      </c>
      <c r="F24" s="2">
        <v>20000</v>
      </c>
      <c r="G24" s="3">
        <v>43315</v>
      </c>
      <c r="H24" s="4">
        <v>0.91012731481481002</v>
      </c>
      <c r="I24" s="3">
        <v>43316</v>
      </c>
      <c r="J24" s="4">
        <v>0.56372685185185001</v>
      </c>
      <c r="K24" s="2">
        <v>0</v>
      </c>
      <c r="L24" t="s">
        <v>5856</v>
      </c>
      <c r="M24" t="s">
        <v>6494</v>
      </c>
      <c r="N24" s="3">
        <v>43318</v>
      </c>
      <c r="O24" s="3">
        <v>43318</v>
      </c>
      <c r="P24" t="s">
        <v>5898</v>
      </c>
      <c r="Q24" t="s">
        <v>6516</v>
      </c>
      <c r="R24" t="s">
        <v>6036</v>
      </c>
      <c r="S24" s="3">
        <v>43335</v>
      </c>
      <c r="T24" t="s">
        <v>9938</v>
      </c>
      <c r="U24" t="s">
        <v>6010</v>
      </c>
      <c r="V24" t="s">
        <v>5950</v>
      </c>
      <c r="W24" t="s">
        <v>5857</v>
      </c>
      <c r="X24" s="2">
        <v>0</v>
      </c>
      <c r="Y24" t="s">
        <v>5858</v>
      </c>
      <c r="Z24" t="s">
        <v>6037</v>
      </c>
      <c r="AA24" s="2">
        <v>20000</v>
      </c>
      <c r="AB24" t="s">
        <v>5861</v>
      </c>
      <c r="AC24" t="s">
        <v>9975</v>
      </c>
      <c r="AD24" s="32"/>
      <c r="AI24" t="s">
        <v>9941</v>
      </c>
      <c r="AJ24" t="s">
        <v>9959</v>
      </c>
      <c r="AL24" t="s">
        <v>10460</v>
      </c>
    </row>
    <row r="25" spans="1:38">
      <c r="A25" t="s">
        <v>6456</v>
      </c>
      <c r="B25" t="s">
        <v>11554</v>
      </c>
      <c r="C25" t="s">
        <v>6517</v>
      </c>
      <c r="D25" t="s">
        <v>6518</v>
      </c>
      <c r="E25" s="2">
        <v>10075</v>
      </c>
      <c r="F25" s="2">
        <v>10075</v>
      </c>
      <c r="G25" s="3">
        <v>43316</v>
      </c>
      <c r="H25" s="4">
        <v>0.58456018518519004</v>
      </c>
      <c r="I25" s="3">
        <v>43316</v>
      </c>
      <c r="J25" s="4">
        <v>0.91380787037037003</v>
      </c>
      <c r="K25" s="2">
        <v>0</v>
      </c>
      <c r="L25" t="s">
        <v>5856</v>
      </c>
      <c r="M25" t="s">
        <v>6519</v>
      </c>
      <c r="N25" s="3">
        <v>43319</v>
      </c>
      <c r="O25" s="3">
        <v>43318</v>
      </c>
      <c r="P25" t="s">
        <v>5904</v>
      </c>
      <c r="Q25" t="s">
        <v>6520</v>
      </c>
      <c r="R25" t="s">
        <v>6036</v>
      </c>
      <c r="S25" s="3">
        <v>43319</v>
      </c>
      <c r="T25" t="s">
        <v>9938</v>
      </c>
      <c r="U25" t="s">
        <v>6521</v>
      </c>
      <c r="V25" t="s">
        <v>6048</v>
      </c>
      <c r="W25" t="s">
        <v>5857</v>
      </c>
      <c r="X25" s="2">
        <v>1275</v>
      </c>
      <c r="Y25" t="s">
        <v>5858</v>
      </c>
      <c r="Z25" t="s">
        <v>6037</v>
      </c>
      <c r="AA25" s="2">
        <v>10075</v>
      </c>
      <c r="AB25" t="s">
        <v>5863</v>
      </c>
      <c r="AC25" t="s">
        <v>9974</v>
      </c>
      <c r="AD25" s="32">
        <v>43270</v>
      </c>
      <c r="AI25" t="s">
        <v>9939</v>
      </c>
      <c r="AJ25" t="s">
        <v>9959</v>
      </c>
      <c r="AL25" t="s">
        <v>10461</v>
      </c>
    </row>
    <row r="26" spans="1:38">
      <c r="A26" t="s">
        <v>6456</v>
      </c>
      <c r="B26" t="s">
        <v>11555</v>
      </c>
      <c r="C26" t="s">
        <v>6500</v>
      </c>
      <c r="D26" t="s">
        <v>6501</v>
      </c>
      <c r="E26" s="2">
        <v>2000</v>
      </c>
      <c r="F26" s="2">
        <v>2000</v>
      </c>
      <c r="G26" s="3">
        <v>43316</v>
      </c>
      <c r="H26" s="4">
        <v>0.93464120370369996</v>
      </c>
      <c r="I26" s="3">
        <v>43317</v>
      </c>
      <c r="J26" s="4">
        <v>0</v>
      </c>
      <c r="K26" s="2">
        <v>20</v>
      </c>
      <c r="L26" t="s">
        <v>5856</v>
      </c>
      <c r="M26" t="s">
        <v>6491</v>
      </c>
      <c r="N26" s="3">
        <v>43319</v>
      </c>
      <c r="O26" s="3">
        <v>43318</v>
      </c>
      <c r="P26" t="s">
        <v>5911</v>
      </c>
      <c r="Q26" t="s">
        <v>6522</v>
      </c>
      <c r="R26" t="s">
        <v>6036</v>
      </c>
      <c r="S26" s="3">
        <v>43319</v>
      </c>
      <c r="T26" t="s">
        <v>9938</v>
      </c>
      <c r="U26" t="s">
        <v>5923</v>
      </c>
      <c r="V26" t="s">
        <v>6503</v>
      </c>
      <c r="W26" t="s">
        <v>5857</v>
      </c>
      <c r="X26" s="2">
        <v>1275</v>
      </c>
      <c r="Y26" t="s">
        <v>5858</v>
      </c>
      <c r="Z26" t="s">
        <v>6037</v>
      </c>
      <c r="AA26" s="2">
        <v>2000</v>
      </c>
      <c r="AB26" t="s">
        <v>5863</v>
      </c>
      <c r="AC26" t="s">
        <v>9974</v>
      </c>
      <c r="AD26" s="32">
        <v>43259</v>
      </c>
      <c r="AI26" t="s">
        <v>9943</v>
      </c>
      <c r="AJ26" t="s">
        <v>9959</v>
      </c>
      <c r="AL26" t="s">
        <v>10462</v>
      </c>
    </row>
    <row r="27" spans="1:38">
      <c r="A27" t="s">
        <v>6456</v>
      </c>
      <c r="B27" t="s">
        <v>12779</v>
      </c>
      <c r="C27" t="s">
        <v>6479</v>
      </c>
      <c r="D27" t="s">
        <v>6480</v>
      </c>
      <c r="E27" s="2">
        <v>20600</v>
      </c>
      <c r="F27" s="2">
        <v>20600</v>
      </c>
      <c r="G27" s="3">
        <v>43317</v>
      </c>
      <c r="H27" s="4">
        <v>0.32679398148147998</v>
      </c>
      <c r="I27" s="3">
        <v>43318</v>
      </c>
      <c r="J27" s="4">
        <v>0</v>
      </c>
      <c r="K27" s="2">
        <v>0</v>
      </c>
      <c r="L27" t="s">
        <v>5856</v>
      </c>
      <c r="M27" t="s">
        <v>6457</v>
      </c>
      <c r="N27" s="3">
        <v>43320</v>
      </c>
      <c r="O27" s="3">
        <v>43319</v>
      </c>
      <c r="P27" t="s">
        <v>5949</v>
      </c>
      <c r="Q27" t="s">
        <v>12778</v>
      </c>
      <c r="R27" t="s">
        <v>6036</v>
      </c>
      <c r="S27" s="3">
        <v>43320</v>
      </c>
      <c r="T27" t="s">
        <v>9938</v>
      </c>
      <c r="U27" t="s">
        <v>6482</v>
      </c>
      <c r="V27" t="s">
        <v>5950</v>
      </c>
      <c r="W27" t="s">
        <v>5857</v>
      </c>
      <c r="X27" s="2">
        <v>1275</v>
      </c>
      <c r="Y27" t="s">
        <v>5858</v>
      </c>
      <c r="Z27" t="s">
        <v>6037</v>
      </c>
      <c r="AA27" s="2">
        <v>20000</v>
      </c>
      <c r="AB27" t="s">
        <v>5863</v>
      </c>
      <c r="AC27" t="s">
        <v>9974</v>
      </c>
      <c r="AD27" s="32">
        <v>43279</v>
      </c>
      <c r="AI27" t="s">
        <v>9941</v>
      </c>
      <c r="AJ27" t="s">
        <v>9959</v>
      </c>
      <c r="AL27" t="s">
        <v>13778</v>
      </c>
    </row>
    <row r="28" spans="1:38">
      <c r="A28" t="s">
        <v>6456</v>
      </c>
      <c r="B28" t="s">
        <v>11556</v>
      </c>
      <c r="C28" t="s">
        <v>6496</v>
      </c>
      <c r="D28" t="s">
        <v>6497</v>
      </c>
      <c r="E28" s="2">
        <v>2060</v>
      </c>
      <c r="F28" s="2">
        <v>2060</v>
      </c>
      <c r="G28" s="3">
        <v>43318</v>
      </c>
      <c r="H28" s="4">
        <v>0.93268518518518995</v>
      </c>
      <c r="I28" s="3">
        <v>43319</v>
      </c>
      <c r="J28" s="4">
        <v>0</v>
      </c>
      <c r="K28" s="2">
        <v>0</v>
      </c>
      <c r="L28" t="s">
        <v>5856</v>
      </c>
      <c r="M28" t="s">
        <v>6523</v>
      </c>
      <c r="N28" s="3">
        <v>43321</v>
      </c>
      <c r="O28" s="3">
        <v>43320</v>
      </c>
      <c r="P28" t="s">
        <v>5904</v>
      </c>
      <c r="Q28" t="s">
        <v>6524</v>
      </c>
      <c r="R28" t="s">
        <v>6036</v>
      </c>
      <c r="S28" s="3">
        <v>43321</v>
      </c>
      <c r="T28" t="s">
        <v>9938</v>
      </c>
      <c r="U28" t="s">
        <v>5940</v>
      </c>
      <c r="V28" t="s">
        <v>6048</v>
      </c>
      <c r="W28" t="s">
        <v>5857</v>
      </c>
      <c r="X28" s="2">
        <v>1275</v>
      </c>
      <c r="Y28" t="s">
        <v>5858</v>
      </c>
      <c r="Z28" t="s">
        <v>6037</v>
      </c>
      <c r="AA28" s="2">
        <v>2000</v>
      </c>
      <c r="AB28" t="s">
        <v>5863</v>
      </c>
      <c r="AC28" t="s">
        <v>9974</v>
      </c>
      <c r="AD28" s="32">
        <v>43276</v>
      </c>
      <c r="AI28" t="s">
        <v>9942</v>
      </c>
      <c r="AJ28" t="s">
        <v>9959</v>
      </c>
      <c r="AL28" t="s">
        <v>10463</v>
      </c>
    </row>
    <row r="29" spans="1:38">
      <c r="A29" t="s">
        <v>6456</v>
      </c>
      <c r="B29" t="s">
        <v>11557</v>
      </c>
      <c r="C29" t="s">
        <v>6525</v>
      </c>
      <c r="D29" t="s">
        <v>6526</v>
      </c>
      <c r="E29" s="2">
        <v>2060</v>
      </c>
      <c r="F29" s="2">
        <v>2060</v>
      </c>
      <c r="G29" s="3">
        <v>43323</v>
      </c>
      <c r="H29" s="4">
        <v>0.93268518518518995</v>
      </c>
      <c r="I29" s="3">
        <v>43324</v>
      </c>
      <c r="J29" s="4">
        <v>0</v>
      </c>
      <c r="K29" s="2">
        <v>20</v>
      </c>
      <c r="L29" t="s">
        <v>5856</v>
      </c>
      <c r="M29" t="s">
        <v>6523</v>
      </c>
      <c r="N29" s="3">
        <v>43326</v>
      </c>
      <c r="O29" s="3">
        <v>43325</v>
      </c>
      <c r="P29" t="s">
        <v>5898</v>
      </c>
      <c r="Q29" t="s">
        <v>6527</v>
      </c>
      <c r="R29" t="s">
        <v>6036</v>
      </c>
      <c r="S29" s="3">
        <v>43326</v>
      </c>
      <c r="T29" t="s">
        <v>9938</v>
      </c>
      <c r="U29" t="s">
        <v>6093</v>
      </c>
      <c r="V29" t="s">
        <v>6045</v>
      </c>
      <c r="W29" t="s">
        <v>5857</v>
      </c>
      <c r="X29" s="2">
        <v>1275</v>
      </c>
      <c r="Y29" t="s">
        <v>5858</v>
      </c>
      <c r="Z29" t="s">
        <v>6037</v>
      </c>
      <c r="AA29" s="2">
        <v>2000</v>
      </c>
      <c r="AB29" t="s">
        <v>5863</v>
      </c>
      <c r="AD29" s="32"/>
      <c r="AJ29" t="s">
        <v>9959</v>
      </c>
      <c r="AL29" t="s">
        <v>10464</v>
      </c>
    </row>
    <row r="30" spans="1:38">
      <c r="A30" t="s">
        <v>6456</v>
      </c>
      <c r="B30" t="s">
        <v>11558</v>
      </c>
      <c r="C30" t="s">
        <v>6528</v>
      </c>
      <c r="D30" t="s">
        <v>6529</v>
      </c>
      <c r="E30" s="2">
        <v>20000</v>
      </c>
      <c r="F30" s="2">
        <v>20000</v>
      </c>
      <c r="G30" s="3">
        <v>43327</v>
      </c>
      <c r="H30" s="4">
        <v>0.40767361111111</v>
      </c>
      <c r="I30" s="3">
        <v>43328</v>
      </c>
      <c r="J30" s="4">
        <v>6.1273148148149999E-2</v>
      </c>
      <c r="K30" s="2">
        <v>20</v>
      </c>
      <c r="L30" t="s">
        <v>5856</v>
      </c>
      <c r="M30" t="s">
        <v>6494</v>
      </c>
      <c r="N30" s="3">
        <v>43334</v>
      </c>
      <c r="O30" s="3">
        <v>43330</v>
      </c>
      <c r="P30" t="s">
        <v>5898</v>
      </c>
      <c r="Q30" t="s">
        <v>6530</v>
      </c>
      <c r="R30" t="s">
        <v>6036</v>
      </c>
      <c r="S30" s="3">
        <v>43334</v>
      </c>
      <c r="T30" t="s">
        <v>9938</v>
      </c>
      <c r="U30" t="s">
        <v>6531</v>
      </c>
      <c r="V30" t="s">
        <v>5950</v>
      </c>
      <c r="W30" t="s">
        <v>5857</v>
      </c>
      <c r="X30" s="2">
        <v>1275</v>
      </c>
      <c r="Y30" t="s">
        <v>5858</v>
      </c>
      <c r="Z30" t="s">
        <v>6037</v>
      </c>
      <c r="AA30" s="2">
        <v>20000</v>
      </c>
      <c r="AB30" t="s">
        <v>5863</v>
      </c>
      <c r="AC30" t="s">
        <v>9974</v>
      </c>
      <c r="AD30" s="32"/>
      <c r="AI30" t="s">
        <v>9941</v>
      </c>
      <c r="AJ30" t="s">
        <v>9959</v>
      </c>
      <c r="AL30" t="s">
        <v>10465</v>
      </c>
    </row>
    <row r="31" spans="1:38">
      <c r="A31" t="s">
        <v>6456</v>
      </c>
      <c r="B31" t="s">
        <v>12780</v>
      </c>
      <c r="C31" t="s">
        <v>6094</v>
      </c>
      <c r="D31" t="s">
        <v>6009</v>
      </c>
      <c r="E31" s="2">
        <v>20600</v>
      </c>
      <c r="F31" s="2">
        <v>20600</v>
      </c>
      <c r="G31" s="3">
        <v>43332</v>
      </c>
      <c r="H31" s="4">
        <v>0.32678240740740999</v>
      </c>
      <c r="I31" s="3">
        <v>43332</v>
      </c>
      <c r="J31" s="4">
        <v>0.99998842592592996</v>
      </c>
      <c r="K31" s="2">
        <v>0</v>
      </c>
      <c r="L31" t="s">
        <v>5856</v>
      </c>
      <c r="M31" t="s">
        <v>6457</v>
      </c>
      <c r="N31" s="3">
        <v>43334</v>
      </c>
      <c r="O31" s="3">
        <v>43334</v>
      </c>
      <c r="P31" t="s">
        <v>5898</v>
      </c>
      <c r="Q31" t="s">
        <v>12781</v>
      </c>
      <c r="R31" t="s">
        <v>6036</v>
      </c>
      <c r="S31" s="3">
        <v>43341</v>
      </c>
      <c r="T31" t="s">
        <v>9938</v>
      </c>
      <c r="U31" t="s">
        <v>6010</v>
      </c>
      <c r="V31" t="s">
        <v>5950</v>
      </c>
      <c r="W31" t="s">
        <v>5857</v>
      </c>
      <c r="X31" s="2">
        <v>0</v>
      </c>
      <c r="Y31" t="s">
        <v>5858</v>
      </c>
      <c r="Z31" t="s">
        <v>6037</v>
      </c>
      <c r="AA31" s="2">
        <v>20000</v>
      </c>
      <c r="AB31" t="s">
        <v>5861</v>
      </c>
      <c r="AC31" t="s">
        <v>9975</v>
      </c>
      <c r="AD31" s="32"/>
      <c r="AI31" t="s">
        <v>9941</v>
      </c>
      <c r="AJ31" t="s">
        <v>9959</v>
      </c>
      <c r="AL31" t="s">
        <v>13779</v>
      </c>
    </row>
    <row r="32" spans="1:38">
      <c r="A32" t="s">
        <v>6456</v>
      </c>
      <c r="B32" t="s">
        <v>12782</v>
      </c>
      <c r="C32" t="s">
        <v>6094</v>
      </c>
      <c r="D32" t="s">
        <v>6009</v>
      </c>
      <c r="E32" s="2">
        <v>20600</v>
      </c>
      <c r="F32" s="2">
        <v>20600</v>
      </c>
      <c r="G32" s="3">
        <v>43333</v>
      </c>
      <c r="H32" s="4">
        <v>0.32678240740740999</v>
      </c>
      <c r="I32" s="3">
        <v>43333</v>
      </c>
      <c r="J32" s="4">
        <v>0.99998842592592996</v>
      </c>
      <c r="K32" s="2">
        <v>0</v>
      </c>
      <c r="L32" t="s">
        <v>5856</v>
      </c>
      <c r="M32" t="s">
        <v>6457</v>
      </c>
      <c r="N32" s="3">
        <v>43335</v>
      </c>
      <c r="O32" s="3">
        <v>43335</v>
      </c>
      <c r="P32" t="s">
        <v>5898</v>
      </c>
      <c r="Q32" t="s">
        <v>12783</v>
      </c>
      <c r="R32" t="s">
        <v>6036</v>
      </c>
      <c r="S32" s="3">
        <v>43347</v>
      </c>
      <c r="T32" t="s">
        <v>9938</v>
      </c>
      <c r="U32" t="s">
        <v>6010</v>
      </c>
      <c r="V32" t="s">
        <v>5950</v>
      </c>
      <c r="W32" t="s">
        <v>5857</v>
      </c>
      <c r="X32" s="2">
        <v>0</v>
      </c>
      <c r="Y32" t="s">
        <v>5858</v>
      </c>
      <c r="Z32" t="s">
        <v>6037</v>
      </c>
      <c r="AA32" s="2">
        <v>20000</v>
      </c>
      <c r="AB32" t="s">
        <v>5861</v>
      </c>
      <c r="AC32" t="s">
        <v>9975</v>
      </c>
      <c r="AD32" s="32"/>
      <c r="AI32" t="s">
        <v>9941</v>
      </c>
      <c r="AJ32" t="s">
        <v>9959</v>
      </c>
      <c r="AL32" t="s">
        <v>13780</v>
      </c>
    </row>
    <row r="33" spans="1:38">
      <c r="A33" t="s">
        <v>6456</v>
      </c>
      <c r="B33" t="s">
        <v>12784</v>
      </c>
      <c r="C33" t="s">
        <v>6094</v>
      </c>
      <c r="D33" t="s">
        <v>6009</v>
      </c>
      <c r="E33" s="2">
        <v>20600</v>
      </c>
      <c r="F33" s="2">
        <v>20600</v>
      </c>
      <c r="G33" s="3">
        <v>43338</v>
      </c>
      <c r="H33" s="4">
        <v>0.32678240740740999</v>
      </c>
      <c r="I33" s="3">
        <v>43338</v>
      </c>
      <c r="J33" s="4">
        <v>0.99998842592592996</v>
      </c>
      <c r="K33" s="2">
        <v>0</v>
      </c>
      <c r="L33" t="s">
        <v>5856</v>
      </c>
      <c r="M33" t="s">
        <v>6457</v>
      </c>
      <c r="N33" s="3">
        <v>43340</v>
      </c>
      <c r="O33" s="3">
        <v>43340</v>
      </c>
      <c r="P33" t="s">
        <v>5898</v>
      </c>
      <c r="Q33" t="s">
        <v>12785</v>
      </c>
      <c r="R33" t="s">
        <v>6036</v>
      </c>
      <c r="S33" s="3">
        <v>43354</v>
      </c>
      <c r="T33" t="s">
        <v>9938</v>
      </c>
      <c r="U33" t="s">
        <v>6010</v>
      </c>
      <c r="V33" t="s">
        <v>5950</v>
      </c>
      <c r="W33" t="s">
        <v>5857</v>
      </c>
      <c r="X33" s="2">
        <v>0</v>
      </c>
      <c r="Y33" t="s">
        <v>5858</v>
      </c>
      <c r="Z33" t="s">
        <v>6037</v>
      </c>
      <c r="AA33" s="2">
        <v>20000</v>
      </c>
      <c r="AB33" t="s">
        <v>5861</v>
      </c>
      <c r="AC33" t="s">
        <v>9975</v>
      </c>
      <c r="AD33" s="32"/>
      <c r="AI33" t="s">
        <v>9941</v>
      </c>
      <c r="AJ33" t="s">
        <v>9959</v>
      </c>
      <c r="AL33" t="s">
        <v>13781</v>
      </c>
    </row>
    <row r="34" spans="1:38">
      <c r="A34" t="s">
        <v>6456</v>
      </c>
      <c r="B34" t="s">
        <v>12786</v>
      </c>
      <c r="C34" t="s">
        <v>6094</v>
      </c>
      <c r="D34" t="s">
        <v>6009</v>
      </c>
      <c r="E34" s="2">
        <v>20600</v>
      </c>
      <c r="F34" s="2">
        <v>20600</v>
      </c>
      <c r="G34" s="3">
        <v>43345</v>
      </c>
      <c r="H34" s="4">
        <v>0.32678240740740999</v>
      </c>
      <c r="I34" s="3">
        <v>43345</v>
      </c>
      <c r="J34" s="4">
        <v>0.99998842592592996</v>
      </c>
      <c r="K34" s="2">
        <v>0</v>
      </c>
      <c r="L34" t="s">
        <v>5856</v>
      </c>
      <c r="M34" t="s">
        <v>6457</v>
      </c>
      <c r="N34" s="3">
        <v>43347</v>
      </c>
      <c r="O34" s="3">
        <v>43347</v>
      </c>
      <c r="P34" t="s">
        <v>5898</v>
      </c>
      <c r="Q34" t="s">
        <v>12787</v>
      </c>
      <c r="R34" t="s">
        <v>6036</v>
      </c>
      <c r="S34" s="3">
        <v>43360</v>
      </c>
      <c r="T34" t="s">
        <v>9938</v>
      </c>
      <c r="U34" t="s">
        <v>6010</v>
      </c>
      <c r="V34" t="s">
        <v>5950</v>
      </c>
      <c r="W34" t="s">
        <v>5857</v>
      </c>
      <c r="X34" s="2">
        <v>0</v>
      </c>
      <c r="Y34" t="s">
        <v>5858</v>
      </c>
      <c r="Z34" t="s">
        <v>6037</v>
      </c>
      <c r="AA34" s="2">
        <v>20000</v>
      </c>
      <c r="AB34" t="s">
        <v>5861</v>
      </c>
      <c r="AC34" t="s">
        <v>9975</v>
      </c>
      <c r="AD34" s="32"/>
      <c r="AI34" t="s">
        <v>9941</v>
      </c>
      <c r="AJ34" t="s">
        <v>9959</v>
      </c>
      <c r="AL34" t="s">
        <v>13782</v>
      </c>
    </row>
    <row r="35" spans="1:38">
      <c r="A35" t="s">
        <v>6456</v>
      </c>
      <c r="B35" t="s">
        <v>12788</v>
      </c>
      <c r="C35" t="s">
        <v>6094</v>
      </c>
      <c r="D35" t="s">
        <v>6009</v>
      </c>
      <c r="E35" s="2">
        <v>20600</v>
      </c>
      <c r="F35" s="2">
        <v>20600</v>
      </c>
      <c r="G35" s="3">
        <v>43349</v>
      </c>
      <c r="H35" s="4">
        <v>0.32678240740740999</v>
      </c>
      <c r="I35" s="3">
        <v>43349</v>
      </c>
      <c r="J35" s="4">
        <v>0.99998842592592996</v>
      </c>
      <c r="K35" s="2">
        <v>0</v>
      </c>
      <c r="L35" t="s">
        <v>5856</v>
      </c>
      <c r="M35" t="s">
        <v>6457</v>
      </c>
      <c r="N35" s="3">
        <v>43351</v>
      </c>
      <c r="O35" s="3">
        <v>43351</v>
      </c>
      <c r="P35" t="s">
        <v>5898</v>
      </c>
      <c r="Q35" t="s">
        <v>12789</v>
      </c>
      <c r="R35" t="s">
        <v>6036</v>
      </c>
      <c r="S35" s="3">
        <v>43377</v>
      </c>
      <c r="T35" t="s">
        <v>9938</v>
      </c>
      <c r="U35" t="s">
        <v>6010</v>
      </c>
      <c r="V35" t="s">
        <v>5950</v>
      </c>
      <c r="W35" t="s">
        <v>5857</v>
      </c>
      <c r="X35" s="2">
        <v>0</v>
      </c>
      <c r="Y35" t="s">
        <v>5858</v>
      </c>
      <c r="Z35" t="s">
        <v>6037</v>
      </c>
      <c r="AA35" s="2">
        <v>20000</v>
      </c>
      <c r="AB35" t="s">
        <v>5861</v>
      </c>
      <c r="AC35" t="s">
        <v>9975</v>
      </c>
      <c r="AD35" s="32"/>
      <c r="AI35" t="s">
        <v>9941</v>
      </c>
      <c r="AJ35" t="s">
        <v>9959</v>
      </c>
      <c r="AL35" t="s">
        <v>13783</v>
      </c>
    </row>
    <row r="36" spans="1:38">
      <c r="A36" t="s">
        <v>6456</v>
      </c>
      <c r="B36" t="s">
        <v>11559</v>
      </c>
      <c r="C36" t="s">
        <v>6528</v>
      </c>
      <c r="D36" t="s">
        <v>6529</v>
      </c>
      <c r="E36" s="2">
        <v>20000</v>
      </c>
      <c r="F36" s="2">
        <v>20000</v>
      </c>
      <c r="G36" s="3">
        <v>43356</v>
      </c>
      <c r="H36" s="4">
        <v>0.40767361111111</v>
      </c>
      <c r="I36" s="3">
        <v>43357</v>
      </c>
      <c r="J36" s="4">
        <v>6.1273148148149999E-2</v>
      </c>
      <c r="K36" s="2">
        <v>20</v>
      </c>
      <c r="L36" t="s">
        <v>5856</v>
      </c>
      <c r="M36" t="s">
        <v>6494</v>
      </c>
      <c r="N36" s="3">
        <v>43363</v>
      </c>
      <c r="O36" s="3">
        <v>43359</v>
      </c>
      <c r="P36" t="s">
        <v>5898</v>
      </c>
      <c r="Q36" t="s">
        <v>6532</v>
      </c>
      <c r="R36" t="s">
        <v>6036</v>
      </c>
      <c r="S36" s="3">
        <v>43363</v>
      </c>
      <c r="T36" t="s">
        <v>9938</v>
      </c>
      <c r="U36" t="s">
        <v>6531</v>
      </c>
      <c r="V36" t="s">
        <v>5950</v>
      </c>
      <c r="W36" t="s">
        <v>5857</v>
      </c>
      <c r="X36" s="2">
        <v>1275</v>
      </c>
      <c r="Y36" t="s">
        <v>5858</v>
      </c>
      <c r="Z36" t="s">
        <v>6037</v>
      </c>
      <c r="AA36" s="2">
        <v>20000</v>
      </c>
      <c r="AB36" t="s">
        <v>5863</v>
      </c>
      <c r="AC36" t="s">
        <v>9974</v>
      </c>
      <c r="AD36" s="32"/>
      <c r="AI36" t="s">
        <v>9941</v>
      </c>
      <c r="AJ36" t="s">
        <v>9959</v>
      </c>
      <c r="AL36" t="s">
        <v>10466</v>
      </c>
    </row>
    <row r="37" spans="1:38">
      <c r="A37" t="s">
        <v>6456</v>
      </c>
      <c r="B37" t="s">
        <v>12790</v>
      </c>
      <c r="C37" t="s">
        <v>6094</v>
      </c>
      <c r="D37" t="s">
        <v>6009</v>
      </c>
      <c r="E37" s="2">
        <v>20600</v>
      </c>
      <c r="F37" s="2">
        <v>20600</v>
      </c>
      <c r="G37" s="3">
        <v>43367</v>
      </c>
      <c r="H37" s="4">
        <v>0.32678240740740999</v>
      </c>
      <c r="I37" s="3">
        <v>43367</v>
      </c>
      <c r="J37" s="4">
        <v>0.99998842592592996</v>
      </c>
      <c r="K37" s="2">
        <v>0</v>
      </c>
      <c r="L37" t="s">
        <v>5856</v>
      </c>
      <c r="M37" t="s">
        <v>6457</v>
      </c>
      <c r="N37" s="3">
        <v>43369</v>
      </c>
      <c r="O37" s="3">
        <v>43369</v>
      </c>
      <c r="P37" t="s">
        <v>5898</v>
      </c>
      <c r="Q37" t="s">
        <v>12791</v>
      </c>
      <c r="R37" t="s">
        <v>6036</v>
      </c>
      <c r="S37" s="3">
        <v>43377</v>
      </c>
      <c r="T37" t="s">
        <v>9938</v>
      </c>
      <c r="U37" t="s">
        <v>6010</v>
      </c>
      <c r="V37" t="s">
        <v>5950</v>
      </c>
      <c r="W37" t="s">
        <v>5857</v>
      </c>
      <c r="X37" s="2">
        <v>0</v>
      </c>
      <c r="Y37" t="s">
        <v>5858</v>
      </c>
      <c r="Z37" t="s">
        <v>6037</v>
      </c>
      <c r="AA37" s="2">
        <v>20000</v>
      </c>
      <c r="AB37" t="s">
        <v>5861</v>
      </c>
      <c r="AC37" t="s">
        <v>9975</v>
      </c>
      <c r="AD37" s="32"/>
      <c r="AI37" t="s">
        <v>9941</v>
      </c>
      <c r="AJ37" t="s">
        <v>9959</v>
      </c>
      <c r="AL37" t="s">
        <v>13784</v>
      </c>
    </row>
    <row r="38" spans="1:38">
      <c r="A38" t="s">
        <v>6456</v>
      </c>
      <c r="B38" t="s">
        <v>12792</v>
      </c>
      <c r="C38" t="s">
        <v>6094</v>
      </c>
      <c r="D38" t="s">
        <v>6009</v>
      </c>
      <c r="E38" s="2">
        <v>20600</v>
      </c>
      <c r="F38" s="2">
        <v>20600</v>
      </c>
      <c r="G38" s="3">
        <v>43368</v>
      </c>
      <c r="H38" s="4">
        <v>0.32678240740740999</v>
      </c>
      <c r="I38" s="3">
        <v>43368</v>
      </c>
      <c r="J38" s="4">
        <v>0.99998842592592996</v>
      </c>
      <c r="K38" s="2">
        <v>0</v>
      </c>
      <c r="L38" t="s">
        <v>5856</v>
      </c>
      <c r="M38" t="s">
        <v>6457</v>
      </c>
      <c r="N38" s="3">
        <v>43370</v>
      </c>
      <c r="O38" s="3">
        <v>43370</v>
      </c>
      <c r="P38" t="s">
        <v>5898</v>
      </c>
      <c r="Q38" t="s">
        <v>6038</v>
      </c>
      <c r="R38" t="s">
        <v>6040</v>
      </c>
      <c r="S38" s="3">
        <v>43405</v>
      </c>
      <c r="T38" t="s">
        <v>9938</v>
      </c>
      <c r="U38" t="s">
        <v>6010</v>
      </c>
      <c r="V38" t="s">
        <v>5950</v>
      </c>
      <c r="W38" t="s">
        <v>5857</v>
      </c>
      <c r="X38" s="2">
        <v>0</v>
      </c>
      <c r="Y38" t="s">
        <v>5858</v>
      </c>
      <c r="Z38" t="s">
        <v>6037</v>
      </c>
      <c r="AA38" s="2">
        <v>20000</v>
      </c>
      <c r="AB38" t="s">
        <v>5861</v>
      </c>
      <c r="AC38" t="s">
        <v>9975</v>
      </c>
      <c r="AD38" s="32"/>
      <c r="AI38" t="s">
        <v>9941</v>
      </c>
      <c r="AJ38" t="s">
        <v>9959</v>
      </c>
      <c r="AL38" t="s">
        <v>13785</v>
      </c>
    </row>
    <row r="39" spans="1:38">
      <c r="A39" t="s">
        <v>6456</v>
      </c>
      <c r="B39" t="s">
        <v>12793</v>
      </c>
      <c r="C39" t="s">
        <v>8404</v>
      </c>
      <c r="D39" t="s">
        <v>8405</v>
      </c>
      <c r="E39" s="2">
        <v>20600</v>
      </c>
      <c r="F39" s="2">
        <v>20600</v>
      </c>
      <c r="G39" s="3">
        <v>43371</v>
      </c>
      <c r="H39" s="4">
        <v>0.74995370370369996</v>
      </c>
      <c r="I39" s="3">
        <v>43372</v>
      </c>
      <c r="J39" s="4">
        <v>0.42315972222221998</v>
      </c>
      <c r="K39" s="2">
        <v>0</v>
      </c>
      <c r="L39" t="s">
        <v>5856</v>
      </c>
      <c r="M39" t="s">
        <v>6457</v>
      </c>
      <c r="N39" s="3">
        <v>43377</v>
      </c>
      <c r="O39" s="3">
        <v>43374</v>
      </c>
      <c r="P39" t="s">
        <v>5929</v>
      </c>
      <c r="Q39" t="s">
        <v>12794</v>
      </c>
      <c r="R39" t="s">
        <v>6042</v>
      </c>
      <c r="S39" s="3">
        <v>43377</v>
      </c>
      <c r="T39" t="s">
        <v>9938</v>
      </c>
      <c r="U39" t="s">
        <v>8407</v>
      </c>
      <c r="V39" t="s">
        <v>6468</v>
      </c>
      <c r="W39" t="s">
        <v>5857</v>
      </c>
      <c r="X39" s="2">
        <v>1275</v>
      </c>
      <c r="Y39" t="s">
        <v>5858</v>
      </c>
      <c r="Z39" t="s">
        <v>6037</v>
      </c>
      <c r="AA39" s="2">
        <v>20600</v>
      </c>
      <c r="AB39" t="s">
        <v>5859</v>
      </c>
      <c r="AD39" s="32"/>
      <c r="AJ39" t="s">
        <v>9957</v>
      </c>
      <c r="AL39" t="s">
        <v>13786</v>
      </c>
    </row>
    <row r="40" spans="1:38">
      <c r="A40" t="s">
        <v>6456</v>
      </c>
      <c r="B40" t="s">
        <v>12795</v>
      </c>
      <c r="C40" t="s">
        <v>8404</v>
      </c>
      <c r="D40" t="s">
        <v>8405</v>
      </c>
      <c r="E40" s="2">
        <v>20600</v>
      </c>
      <c r="F40" s="2">
        <v>20600</v>
      </c>
      <c r="G40" s="3">
        <v>43372</v>
      </c>
      <c r="H40" s="4">
        <v>5.5914351851850001E-2</v>
      </c>
      <c r="I40" s="3">
        <v>43372</v>
      </c>
      <c r="J40" s="4">
        <v>0.72912037037037003</v>
      </c>
      <c r="K40" s="2">
        <v>0</v>
      </c>
      <c r="L40" t="s">
        <v>5856</v>
      </c>
      <c r="M40" t="s">
        <v>6457</v>
      </c>
      <c r="N40" s="3">
        <v>43377</v>
      </c>
      <c r="O40" s="3">
        <v>43374</v>
      </c>
      <c r="P40" t="s">
        <v>5929</v>
      </c>
      <c r="Q40" t="s">
        <v>12794</v>
      </c>
      <c r="R40" t="s">
        <v>6044</v>
      </c>
      <c r="S40" s="3">
        <v>43377</v>
      </c>
      <c r="T40" t="s">
        <v>9938</v>
      </c>
      <c r="U40" t="s">
        <v>8407</v>
      </c>
      <c r="V40" t="s">
        <v>6468</v>
      </c>
      <c r="W40" t="s">
        <v>5857</v>
      </c>
      <c r="X40" s="2">
        <v>1275</v>
      </c>
      <c r="Y40" t="s">
        <v>5858</v>
      </c>
      <c r="Z40" t="s">
        <v>6037</v>
      </c>
      <c r="AA40" s="2">
        <v>20600</v>
      </c>
      <c r="AB40" t="s">
        <v>5859</v>
      </c>
      <c r="AD40" s="32"/>
      <c r="AJ40" t="s">
        <v>9957</v>
      </c>
      <c r="AL40" t="s">
        <v>13787</v>
      </c>
    </row>
    <row r="41" spans="1:38">
      <c r="A41" t="s">
        <v>6533</v>
      </c>
      <c r="B41" t="s">
        <v>11560</v>
      </c>
      <c r="C41" t="s">
        <v>6546</v>
      </c>
      <c r="D41" t="s">
        <v>6547</v>
      </c>
      <c r="E41" s="2">
        <v>1751</v>
      </c>
      <c r="F41" s="2">
        <v>1751</v>
      </c>
      <c r="G41" s="3">
        <v>43283</v>
      </c>
      <c r="H41" s="4">
        <v>2.0833333333330002E-2</v>
      </c>
      <c r="I41" s="3">
        <v>43283</v>
      </c>
      <c r="J41" s="4">
        <v>7.8055555555559999E-2</v>
      </c>
      <c r="K41" s="2">
        <v>20</v>
      </c>
      <c r="L41" t="s">
        <v>5856</v>
      </c>
      <c r="M41" t="s">
        <v>6548</v>
      </c>
      <c r="N41" s="3">
        <v>43286</v>
      </c>
      <c r="O41" s="3">
        <v>43285</v>
      </c>
      <c r="P41" t="s">
        <v>5960</v>
      </c>
      <c r="Q41" t="s">
        <v>6549</v>
      </c>
      <c r="R41" t="s">
        <v>6036</v>
      </c>
      <c r="S41" s="3">
        <v>43286</v>
      </c>
      <c r="T41" t="s">
        <v>9938</v>
      </c>
      <c r="U41" t="s">
        <v>6550</v>
      </c>
      <c r="V41" t="s">
        <v>6538</v>
      </c>
      <c r="W41" t="s">
        <v>5857</v>
      </c>
      <c r="X41" s="2">
        <v>1275</v>
      </c>
      <c r="Y41" t="s">
        <v>5858</v>
      </c>
      <c r="Z41" t="s">
        <v>6037</v>
      </c>
      <c r="AA41" s="2">
        <v>1700</v>
      </c>
      <c r="AB41" t="s">
        <v>5859</v>
      </c>
      <c r="AC41" t="s">
        <v>9976</v>
      </c>
      <c r="AD41" s="32">
        <v>43271</v>
      </c>
      <c r="AJ41" t="s">
        <v>9960</v>
      </c>
      <c r="AL41" t="s">
        <v>10467</v>
      </c>
    </row>
    <row r="42" spans="1:38">
      <c r="A42" t="s">
        <v>6533</v>
      </c>
      <c r="B42" t="s">
        <v>11561</v>
      </c>
      <c r="C42" t="s">
        <v>6546</v>
      </c>
      <c r="D42" t="s">
        <v>6547</v>
      </c>
      <c r="E42" s="2">
        <v>2060</v>
      </c>
      <c r="F42" s="2">
        <v>2060</v>
      </c>
      <c r="G42" s="3">
        <v>43283</v>
      </c>
      <c r="H42" s="4">
        <v>9.8888888888889998E-2</v>
      </c>
      <c r="I42" s="3">
        <v>43283</v>
      </c>
      <c r="J42" s="4">
        <v>0.1662037037037</v>
      </c>
      <c r="K42" s="2">
        <v>20</v>
      </c>
      <c r="L42" t="s">
        <v>5856</v>
      </c>
      <c r="M42" t="s">
        <v>6523</v>
      </c>
      <c r="N42" s="3">
        <v>43286</v>
      </c>
      <c r="O42" s="3">
        <v>43285</v>
      </c>
      <c r="P42" t="s">
        <v>5960</v>
      </c>
      <c r="Q42" t="s">
        <v>6551</v>
      </c>
      <c r="R42" t="s">
        <v>6036</v>
      </c>
      <c r="S42" s="3">
        <v>43286</v>
      </c>
      <c r="T42" t="s">
        <v>9938</v>
      </c>
      <c r="U42" t="s">
        <v>6550</v>
      </c>
      <c r="V42" t="s">
        <v>6538</v>
      </c>
      <c r="W42" t="s">
        <v>5857</v>
      </c>
      <c r="X42" s="2">
        <v>1275</v>
      </c>
      <c r="Y42" t="s">
        <v>5858</v>
      </c>
      <c r="Z42" t="s">
        <v>6037</v>
      </c>
      <c r="AA42" s="2">
        <v>2000</v>
      </c>
      <c r="AB42" t="s">
        <v>5859</v>
      </c>
      <c r="AC42" t="s">
        <v>9976</v>
      </c>
      <c r="AD42" s="32">
        <v>43254</v>
      </c>
      <c r="AJ42" t="s">
        <v>9960</v>
      </c>
      <c r="AL42" t="s">
        <v>10468</v>
      </c>
    </row>
    <row r="43" spans="1:38">
      <c r="A43" t="s">
        <v>6533</v>
      </c>
      <c r="B43" t="s">
        <v>11562</v>
      </c>
      <c r="C43" t="s">
        <v>6552</v>
      </c>
      <c r="D43" t="s">
        <v>6553</v>
      </c>
      <c r="E43" s="5">
        <v>568.5</v>
      </c>
      <c r="F43" s="5">
        <v>19518.5</v>
      </c>
      <c r="G43" s="3">
        <v>43283</v>
      </c>
      <c r="H43" s="4">
        <v>0.18703703703704</v>
      </c>
      <c r="I43" s="3">
        <v>43283</v>
      </c>
      <c r="J43" s="4">
        <v>0.82489583333333005</v>
      </c>
      <c r="K43" s="2">
        <v>20</v>
      </c>
      <c r="L43" t="s">
        <v>5856</v>
      </c>
      <c r="M43" t="s">
        <v>6554</v>
      </c>
      <c r="N43" s="3">
        <v>43286</v>
      </c>
      <c r="O43" s="3">
        <v>43285</v>
      </c>
      <c r="P43" t="s">
        <v>5862</v>
      </c>
      <c r="Q43" t="s">
        <v>6038</v>
      </c>
      <c r="R43" t="s">
        <v>6039</v>
      </c>
      <c r="S43" s="3"/>
      <c r="T43" t="s">
        <v>9938</v>
      </c>
      <c r="U43" t="s">
        <v>6555</v>
      </c>
      <c r="V43" t="s">
        <v>6556</v>
      </c>
      <c r="W43" t="s">
        <v>5857</v>
      </c>
      <c r="X43" s="2">
        <v>1275</v>
      </c>
      <c r="Y43" t="s">
        <v>5858</v>
      </c>
      <c r="Z43" t="s">
        <v>6037</v>
      </c>
      <c r="AA43" s="2">
        <v>0</v>
      </c>
      <c r="AB43" t="s">
        <v>5859</v>
      </c>
      <c r="AC43" t="s">
        <v>9978</v>
      </c>
      <c r="AD43" s="32">
        <v>43255</v>
      </c>
      <c r="AI43" t="s">
        <v>9943</v>
      </c>
      <c r="AJ43" t="s">
        <v>9958</v>
      </c>
      <c r="AL43" t="s">
        <v>10469</v>
      </c>
    </row>
    <row r="44" spans="1:38">
      <c r="A44" t="s">
        <v>6533</v>
      </c>
      <c r="B44" t="s">
        <v>12220</v>
      </c>
      <c r="C44" t="s">
        <v>8488</v>
      </c>
      <c r="D44" t="s">
        <v>8489</v>
      </c>
      <c r="E44" s="2">
        <v>10300</v>
      </c>
      <c r="F44" s="2">
        <v>10300</v>
      </c>
      <c r="G44" s="3">
        <v>43286</v>
      </c>
      <c r="H44" s="4">
        <v>0.43211805555555999</v>
      </c>
      <c r="I44" s="3">
        <v>43286</v>
      </c>
      <c r="J44" s="4">
        <v>0.76871527777778004</v>
      </c>
      <c r="K44" s="2">
        <v>0</v>
      </c>
      <c r="L44" t="s">
        <v>5856</v>
      </c>
      <c r="M44" t="s">
        <v>6483</v>
      </c>
      <c r="N44" s="3">
        <v>43292</v>
      </c>
      <c r="O44" s="3">
        <v>43288</v>
      </c>
      <c r="P44" t="s">
        <v>5992</v>
      </c>
      <c r="Q44" t="s">
        <v>8516</v>
      </c>
      <c r="R44" t="s">
        <v>6042</v>
      </c>
      <c r="S44" s="3">
        <v>43292</v>
      </c>
      <c r="T44" t="s">
        <v>9938</v>
      </c>
      <c r="U44" t="s">
        <v>5879</v>
      </c>
      <c r="V44" t="s">
        <v>8491</v>
      </c>
      <c r="W44" t="s">
        <v>5857</v>
      </c>
      <c r="X44" s="2">
        <v>1275</v>
      </c>
      <c r="Y44" t="s">
        <v>5858</v>
      </c>
      <c r="Z44" t="s">
        <v>6037</v>
      </c>
      <c r="AA44" s="2">
        <v>10000</v>
      </c>
      <c r="AB44" t="s">
        <v>5863</v>
      </c>
      <c r="AC44" t="s">
        <v>9974</v>
      </c>
      <c r="AD44" s="32">
        <v>43250</v>
      </c>
      <c r="AI44" t="s">
        <v>9943</v>
      </c>
      <c r="AJ44" t="s">
        <v>9959</v>
      </c>
      <c r="AL44" t="s">
        <v>13788</v>
      </c>
    </row>
    <row r="45" spans="1:38">
      <c r="A45" t="s">
        <v>6533</v>
      </c>
      <c r="B45" t="s">
        <v>11565</v>
      </c>
      <c r="C45" t="s">
        <v>6539</v>
      </c>
      <c r="D45" t="s">
        <v>6540</v>
      </c>
      <c r="E45" s="2">
        <v>4300</v>
      </c>
      <c r="F45" s="2">
        <v>10300</v>
      </c>
      <c r="G45" s="3">
        <v>43289</v>
      </c>
      <c r="H45" s="4">
        <v>0.71487268518518998</v>
      </c>
      <c r="I45" s="3">
        <v>43290</v>
      </c>
      <c r="J45" s="4">
        <v>5.1469907407409997E-2</v>
      </c>
      <c r="K45" s="2">
        <v>20</v>
      </c>
      <c r="L45" t="s">
        <v>5856</v>
      </c>
      <c r="M45" t="s">
        <v>6483</v>
      </c>
      <c r="N45" s="3">
        <v>43291</v>
      </c>
      <c r="O45" s="3">
        <v>43292</v>
      </c>
      <c r="P45" t="s">
        <v>5862</v>
      </c>
      <c r="Q45" t="s">
        <v>6570</v>
      </c>
      <c r="R45" t="s">
        <v>6036</v>
      </c>
      <c r="S45" s="3">
        <v>43291</v>
      </c>
      <c r="T45" t="s">
        <v>9938</v>
      </c>
      <c r="U45" t="s">
        <v>6541</v>
      </c>
      <c r="V45" t="s">
        <v>6542</v>
      </c>
      <c r="W45" t="s">
        <v>5857</v>
      </c>
      <c r="X45" s="2">
        <v>1275</v>
      </c>
      <c r="Y45" t="s">
        <v>5858</v>
      </c>
      <c r="Z45" t="s">
        <v>6037</v>
      </c>
      <c r="AA45" s="2">
        <v>4000</v>
      </c>
      <c r="AB45" t="s">
        <v>5859</v>
      </c>
      <c r="AC45" t="s">
        <v>9974</v>
      </c>
      <c r="AD45" s="32">
        <v>43180</v>
      </c>
      <c r="AJ45" t="s">
        <v>9959</v>
      </c>
      <c r="AL45" t="s">
        <v>13789</v>
      </c>
    </row>
    <row r="46" spans="1:38">
      <c r="A46" t="s">
        <v>6533</v>
      </c>
      <c r="B46" t="s">
        <v>11563</v>
      </c>
      <c r="C46" t="s">
        <v>6552</v>
      </c>
      <c r="D46" t="s">
        <v>6553</v>
      </c>
      <c r="E46" s="5">
        <v>719.5</v>
      </c>
      <c r="F46" s="5">
        <v>16119.5</v>
      </c>
      <c r="G46" s="3">
        <v>43290</v>
      </c>
      <c r="H46" s="4">
        <v>0.26144675925925998</v>
      </c>
      <c r="I46" s="3">
        <v>43290</v>
      </c>
      <c r="J46" s="4">
        <v>0.78822916666666998</v>
      </c>
      <c r="K46" s="2">
        <v>20</v>
      </c>
      <c r="L46" t="s">
        <v>5856</v>
      </c>
      <c r="M46" t="s">
        <v>6563</v>
      </c>
      <c r="N46" s="3">
        <v>43293</v>
      </c>
      <c r="O46" s="3">
        <v>43292</v>
      </c>
      <c r="P46" t="s">
        <v>5862</v>
      </c>
      <c r="Q46" t="s">
        <v>6564</v>
      </c>
      <c r="R46" t="s">
        <v>6036</v>
      </c>
      <c r="S46" s="3">
        <v>43293</v>
      </c>
      <c r="T46" t="s">
        <v>9938</v>
      </c>
      <c r="U46" t="s">
        <v>6555</v>
      </c>
      <c r="V46" t="s">
        <v>6556</v>
      </c>
      <c r="W46" t="s">
        <v>5857</v>
      </c>
      <c r="X46" s="2">
        <v>1275</v>
      </c>
      <c r="Y46" t="s">
        <v>5858</v>
      </c>
      <c r="Z46" t="s">
        <v>6037</v>
      </c>
      <c r="AA46" s="2">
        <v>250</v>
      </c>
      <c r="AB46" t="s">
        <v>5859</v>
      </c>
      <c r="AC46" t="s">
        <v>9978</v>
      </c>
      <c r="AD46" s="32">
        <v>43255</v>
      </c>
      <c r="AI46" t="s">
        <v>9943</v>
      </c>
      <c r="AJ46" t="s">
        <v>9958</v>
      </c>
      <c r="AL46" t="s">
        <v>10470</v>
      </c>
    </row>
    <row r="47" spans="1:38">
      <c r="A47" t="s">
        <v>6533</v>
      </c>
      <c r="B47" t="s">
        <v>11568</v>
      </c>
      <c r="C47" t="s">
        <v>6574</v>
      </c>
      <c r="D47" t="s">
        <v>6575</v>
      </c>
      <c r="E47" s="2">
        <v>550</v>
      </c>
      <c r="F47" s="2">
        <v>10300</v>
      </c>
      <c r="G47" s="3">
        <v>43295</v>
      </c>
      <c r="H47" s="4">
        <v>2.0821759259260001E-2</v>
      </c>
      <c r="I47" s="3">
        <v>43295</v>
      </c>
      <c r="J47" s="4">
        <v>0.35741898148147999</v>
      </c>
      <c r="K47" s="2">
        <v>0</v>
      </c>
      <c r="L47" t="s">
        <v>5856</v>
      </c>
      <c r="M47" t="s">
        <v>6483</v>
      </c>
      <c r="N47" s="3">
        <v>43293</v>
      </c>
      <c r="O47" s="3">
        <v>43297</v>
      </c>
      <c r="P47" t="s">
        <v>5883</v>
      </c>
      <c r="Q47" t="s">
        <v>6576</v>
      </c>
      <c r="R47" t="s">
        <v>6036</v>
      </c>
      <c r="S47" s="3">
        <v>43293</v>
      </c>
      <c r="T47" t="s">
        <v>9938</v>
      </c>
      <c r="U47" t="s">
        <v>5894</v>
      </c>
      <c r="V47" t="s">
        <v>6577</v>
      </c>
      <c r="W47" t="s">
        <v>5857</v>
      </c>
      <c r="X47" s="2">
        <v>1275</v>
      </c>
      <c r="Y47" t="s">
        <v>5858</v>
      </c>
      <c r="Z47" t="s">
        <v>6037</v>
      </c>
      <c r="AA47" s="2">
        <v>250</v>
      </c>
      <c r="AB47" t="s">
        <v>5859</v>
      </c>
      <c r="AC47" t="s">
        <v>9978</v>
      </c>
      <c r="AD47" s="32">
        <v>43207</v>
      </c>
      <c r="AJ47" t="s">
        <v>9958</v>
      </c>
      <c r="AL47" t="s">
        <v>13790</v>
      </c>
    </row>
    <row r="48" spans="1:38">
      <c r="A48" t="s">
        <v>6533</v>
      </c>
      <c r="B48" t="s">
        <v>12216</v>
      </c>
      <c r="C48" t="s">
        <v>7730</v>
      </c>
      <c r="D48" t="s">
        <v>7731</v>
      </c>
      <c r="E48" s="2">
        <v>10300</v>
      </c>
      <c r="F48" s="2">
        <v>10300</v>
      </c>
      <c r="G48" s="3">
        <v>43295</v>
      </c>
      <c r="H48" s="4">
        <v>0.37825231481480998</v>
      </c>
      <c r="I48" s="3">
        <v>43295</v>
      </c>
      <c r="J48" s="4">
        <v>0.71484953703704002</v>
      </c>
      <c r="K48" s="2">
        <v>0</v>
      </c>
      <c r="L48" t="s">
        <v>5856</v>
      </c>
      <c r="M48" t="s">
        <v>6483</v>
      </c>
      <c r="N48" s="3">
        <v>43290</v>
      </c>
      <c r="O48" s="3">
        <v>43297</v>
      </c>
      <c r="P48" t="s">
        <v>5992</v>
      </c>
      <c r="Q48" t="s">
        <v>8514</v>
      </c>
      <c r="R48" t="s">
        <v>6036</v>
      </c>
      <c r="S48" s="3">
        <v>43290</v>
      </c>
      <c r="T48" t="s">
        <v>9938</v>
      </c>
      <c r="U48" t="s">
        <v>5879</v>
      </c>
      <c r="V48" t="s">
        <v>7733</v>
      </c>
      <c r="W48" t="s">
        <v>5857</v>
      </c>
      <c r="X48" s="2">
        <v>1275</v>
      </c>
      <c r="Y48" t="s">
        <v>5858</v>
      </c>
      <c r="Z48" t="s">
        <v>6037</v>
      </c>
      <c r="AA48" s="2">
        <v>10000</v>
      </c>
      <c r="AB48" t="s">
        <v>5859</v>
      </c>
      <c r="AC48" t="s">
        <v>9974</v>
      </c>
      <c r="AD48" s="32">
        <v>43245</v>
      </c>
      <c r="AI48" t="s">
        <v>9943</v>
      </c>
      <c r="AJ48" t="s">
        <v>9959</v>
      </c>
      <c r="AL48" t="s">
        <v>11066</v>
      </c>
    </row>
    <row r="49" spans="1:38">
      <c r="A49" t="s">
        <v>6533</v>
      </c>
      <c r="B49" t="s">
        <v>11564</v>
      </c>
      <c r="C49" t="s">
        <v>6565</v>
      </c>
      <c r="D49" t="s">
        <v>6566</v>
      </c>
      <c r="E49" s="2">
        <v>300</v>
      </c>
      <c r="F49" s="2">
        <v>10300</v>
      </c>
      <c r="G49" s="3">
        <v>43295</v>
      </c>
      <c r="H49" s="4">
        <v>0.73568287037036995</v>
      </c>
      <c r="I49" s="3">
        <v>43296</v>
      </c>
      <c r="J49" s="4">
        <v>7.2280092592589995E-2</v>
      </c>
      <c r="K49" s="2">
        <v>20</v>
      </c>
      <c r="L49" t="s">
        <v>5856</v>
      </c>
      <c r="M49" t="s">
        <v>6483</v>
      </c>
      <c r="N49" s="3">
        <v>43293</v>
      </c>
      <c r="O49" s="3">
        <v>43298</v>
      </c>
      <c r="P49" t="s">
        <v>5964</v>
      </c>
      <c r="Q49" t="s">
        <v>6038</v>
      </c>
      <c r="R49" t="s">
        <v>6039</v>
      </c>
      <c r="S49" s="3"/>
      <c r="T49" t="s">
        <v>9938</v>
      </c>
      <c r="U49" t="s">
        <v>6568</v>
      </c>
      <c r="V49" t="s">
        <v>6569</v>
      </c>
      <c r="W49" t="s">
        <v>5857</v>
      </c>
      <c r="X49" s="2">
        <v>1275</v>
      </c>
      <c r="Y49" t="s">
        <v>5858</v>
      </c>
      <c r="Z49" t="s">
        <v>6037</v>
      </c>
      <c r="AA49" s="2">
        <v>0</v>
      </c>
      <c r="AB49" t="s">
        <v>5859</v>
      </c>
      <c r="AC49" t="s">
        <v>9978</v>
      </c>
      <c r="AD49" s="32">
        <v>43248</v>
      </c>
      <c r="AJ49" t="s">
        <v>9958</v>
      </c>
      <c r="AL49" t="s">
        <v>10471</v>
      </c>
    </row>
    <row r="50" spans="1:38">
      <c r="A50" t="s">
        <v>6533</v>
      </c>
      <c r="B50" t="s">
        <v>11566</v>
      </c>
      <c r="C50" t="s">
        <v>6552</v>
      </c>
      <c r="D50" t="s">
        <v>6553</v>
      </c>
      <c r="E50" s="5">
        <v>14677.5</v>
      </c>
      <c r="F50" s="5">
        <v>14677.5</v>
      </c>
      <c r="G50" s="3">
        <v>43296</v>
      </c>
      <c r="H50" s="4">
        <v>0.28224537037037001</v>
      </c>
      <c r="I50" s="3">
        <v>43296</v>
      </c>
      <c r="J50" s="4">
        <v>0.76189814814815005</v>
      </c>
      <c r="K50" s="2">
        <v>20</v>
      </c>
      <c r="L50" t="s">
        <v>5856</v>
      </c>
      <c r="M50" t="s">
        <v>12796</v>
      </c>
      <c r="N50" s="3">
        <v>43307</v>
      </c>
      <c r="O50" s="3">
        <v>43298</v>
      </c>
      <c r="P50" t="s">
        <v>5862</v>
      </c>
      <c r="Q50" t="s">
        <v>6571</v>
      </c>
      <c r="R50" t="s">
        <v>6036</v>
      </c>
      <c r="S50" s="3">
        <v>43307</v>
      </c>
      <c r="T50" t="s">
        <v>9938</v>
      </c>
      <c r="U50" t="s">
        <v>6555</v>
      </c>
      <c r="V50" t="s">
        <v>6556</v>
      </c>
      <c r="W50" t="s">
        <v>5857</v>
      </c>
      <c r="X50" s="2">
        <v>1275</v>
      </c>
      <c r="Y50" t="s">
        <v>5858</v>
      </c>
      <c r="Z50" t="s">
        <v>6037</v>
      </c>
      <c r="AA50" s="2">
        <v>14250</v>
      </c>
      <c r="AB50" t="s">
        <v>5863</v>
      </c>
      <c r="AC50" t="s">
        <v>9978</v>
      </c>
      <c r="AD50" s="32">
        <v>43263</v>
      </c>
      <c r="AI50" t="s">
        <v>9943</v>
      </c>
      <c r="AJ50" t="s">
        <v>9958</v>
      </c>
      <c r="AL50" t="s">
        <v>13791</v>
      </c>
    </row>
    <row r="51" spans="1:38">
      <c r="A51" t="s">
        <v>6533</v>
      </c>
      <c r="B51" t="s">
        <v>12218</v>
      </c>
      <c r="C51" t="s">
        <v>8488</v>
      </c>
      <c r="D51" t="s">
        <v>8489</v>
      </c>
      <c r="E51" s="2">
        <v>20600</v>
      </c>
      <c r="F51" s="2">
        <v>20600</v>
      </c>
      <c r="G51" s="3">
        <v>43296</v>
      </c>
      <c r="H51" s="4">
        <v>0.77348379629630004</v>
      </c>
      <c r="I51" s="3">
        <v>43297</v>
      </c>
      <c r="J51" s="4">
        <v>0.44668981481481002</v>
      </c>
      <c r="K51" s="2">
        <v>0</v>
      </c>
      <c r="L51" t="s">
        <v>5856</v>
      </c>
      <c r="M51" t="s">
        <v>6457</v>
      </c>
      <c r="N51" s="3">
        <v>43293</v>
      </c>
      <c r="O51" s="3">
        <v>43299</v>
      </c>
      <c r="P51" t="s">
        <v>5992</v>
      </c>
      <c r="Q51" t="s">
        <v>8515</v>
      </c>
      <c r="R51" t="s">
        <v>6036</v>
      </c>
      <c r="S51" s="3">
        <v>43293</v>
      </c>
      <c r="T51" t="s">
        <v>9938</v>
      </c>
      <c r="U51" t="s">
        <v>5879</v>
      </c>
      <c r="V51" t="s">
        <v>8491</v>
      </c>
      <c r="W51" t="s">
        <v>5857</v>
      </c>
      <c r="X51" s="2">
        <v>1275</v>
      </c>
      <c r="Y51" t="s">
        <v>5858</v>
      </c>
      <c r="Z51" t="s">
        <v>6037</v>
      </c>
      <c r="AA51" s="2">
        <v>20000</v>
      </c>
      <c r="AB51" t="s">
        <v>5863</v>
      </c>
      <c r="AC51" t="s">
        <v>9974</v>
      </c>
      <c r="AD51" s="32">
        <v>43223</v>
      </c>
      <c r="AI51" t="s">
        <v>9943</v>
      </c>
      <c r="AJ51" t="s">
        <v>9959</v>
      </c>
      <c r="AL51" t="s">
        <v>13792</v>
      </c>
    </row>
    <row r="52" spans="1:38">
      <c r="A52" t="s">
        <v>6533</v>
      </c>
      <c r="B52" t="s">
        <v>12219</v>
      </c>
      <c r="C52" t="s">
        <v>8488</v>
      </c>
      <c r="D52" t="s">
        <v>8489</v>
      </c>
      <c r="E52" s="2">
        <v>20600</v>
      </c>
      <c r="F52" s="2">
        <v>20600</v>
      </c>
      <c r="G52" s="3">
        <v>43297</v>
      </c>
      <c r="H52" s="4">
        <v>0.46752314814814999</v>
      </c>
      <c r="I52" s="3">
        <v>43298</v>
      </c>
      <c r="J52" s="4">
        <v>0.14072916666667001</v>
      </c>
      <c r="K52" s="2">
        <v>0</v>
      </c>
      <c r="L52" t="s">
        <v>5856</v>
      </c>
      <c r="M52" t="s">
        <v>6457</v>
      </c>
      <c r="N52" s="3">
        <v>43292</v>
      </c>
      <c r="O52" s="3">
        <v>43300</v>
      </c>
      <c r="P52" t="s">
        <v>5992</v>
      </c>
      <c r="Q52" t="s">
        <v>8516</v>
      </c>
      <c r="R52" t="s">
        <v>6036</v>
      </c>
      <c r="S52" s="3">
        <v>43292</v>
      </c>
      <c r="T52" t="s">
        <v>9938</v>
      </c>
      <c r="U52" t="s">
        <v>5879</v>
      </c>
      <c r="V52" t="s">
        <v>8491</v>
      </c>
      <c r="W52" t="s">
        <v>5857</v>
      </c>
      <c r="X52" s="2">
        <v>1275</v>
      </c>
      <c r="Y52" t="s">
        <v>5858</v>
      </c>
      <c r="Z52" t="s">
        <v>6037</v>
      </c>
      <c r="AA52" s="2">
        <v>20000</v>
      </c>
      <c r="AB52" t="s">
        <v>5859</v>
      </c>
      <c r="AC52" t="s">
        <v>9974</v>
      </c>
      <c r="AD52" s="32">
        <v>43250</v>
      </c>
      <c r="AI52" t="s">
        <v>9943</v>
      </c>
      <c r="AJ52" t="s">
        <v>9959</v>
      </c>
      <c r="AL52" t="s">
        <v>13793</v>
      </c>
    </row>
    <row r="53" spans="1:38">
      <c r="A53" t="s">
        <v>6533</v>
      </c>
      <c r="B53" t="s">
        <v>11567</v>
      </c>
      <c r="C53" t="s">
        <v>6546</v>
      </c>
      <c r="D53" t="s">
        <v>6547</v>
      </c>
      <c r="E53" s="2">
        <v>5562</v>
      </c>
      <c r="F53" s="2">
        <v>5562</v>
      </c>
      <c r="G53" s="3">
        <v>43298</v>
      </c>
      <c r="H53" s="4">
        <v>0.1615625</v>
      </c>
      <c r="I53" s="3">
        <v>43298</v>
      </c>
      <c r="J53" s="4">
        <v>0.34332175925926001</v>
      </c>
      <c r="K53" s="2">
        <v>0</v>
      </c>
      <c r="L53" t="s">
        <v>5856</v>
      </c>
      <c r="M53" t="s">
        <v>6572</v>
      </c>
      <c r="N53" s="3">
        <v>43293</v>
      </c>
      <c r="O53" s="3">
        <v>43300</v>
      </c>
      <c r="P53" t="s">
        <v>5960</v>
      </c>
      <c r="Q53" t="s">
        <v>6573</v>
      </c>
      <c r="R53" t="s">
        <v>6036</v>
      </c>
      <c r="S53" s="3">
        <v>43293</v>
      </c>
      <c r="T53" t="s">
        <v>9938</v>
      </c>
      <c r="U53" t="s">
        <v>6550</v>
      </c>
      <c r="V53" t="s">
        <v>6538</v>
      </c>
      <c r="W53" t="s">
        <v>5857</v>
      </c>
      <c r="X53" s="2">
        <v>1275</v>
      </c>
      <c r="Y53" t="s">
        <v>5858</v>
      </c>
      <c r="Z53" t="s">
        <v>6037</v>
      </c>
      <c r="AA53" s="2">
        <v>5400</v>
      </c>
      <c r="AB53" t="s">
        <v>5859</v>
      </c>
      <c r="AC53" t="s">
        <v>9976</v>
      </c>
      <c r="AD53" s="32">
        <v>43264</v>
      </c>
      <c r="AJ53" t="s">
        <v>9960</v>
      </c>
      <c r="AL53" t="s">
        <v>10472</v>
      </c>
    </row>
    <row r="54" spans="1:38">
      <c r="A54" t="s">
        <v>6533</v>
      </c>
      <c r="B54" t="s">
        <v>11576</v>
      </c>
      <c r="C54" t="s">
        <v>6055</v>
      </c>
      <c r="D54" t="s">
        <v>5895</v>
      </c>
      <c r="E54" s="2">
        <v>5000</v>
      </c>
      <c r="F54" s="2">
        <v>5000</v>
      </c>
      <c r="G54" s="3">
        <v>43298</v>
      </c>
      <c r="H54" s="4">
        <v>0.36415509259258999</v>
      </c>
      <c r="I54" s="3">
        <v>43298</v>
      </c>
      <c r="J54" s="4">
        <v>0.52755787037037005</v>
      </c>
      <c r="K54" s="2">
        <v>20</v>
      </c>
      <c r="L54" t="s">
        <v>5856</v>
      </c>
      <c r="M54" t="s">
        <v>6511</v>
      </c>
      <c r="N54" s="3">
        <v>43300</v>
      </c>
      <c r="O54" s="3">
        <v>43300</v>
      </c>
      <c r="P54" t="s">
        <v>5883</v>
      </c>
      <c r="Q54" t="s">
        <v>6607</v>
      </c>
      <c r="R54" t="s">
        <v>6036</v>
      </c>
      <c r="S54" s="3">
        <v>43300</v>
      </c>
      <c r="T54" t="s">
        <v>9938</v>
      </c>
      <c r="U54" t="s">
        <v>5893</v>
      </c>
      <c r="V54" t="s">
        <v>5896</v>
      </c>
      <c r="W54" t="s">
        <v>5857</v>
      </c>
      <c r="X54" s="2">
        <v>1275</v>
      </c>
      <c r="Y54" t="s">
        <v>5858</v>
      </c>
      <c r="Z54" t="s">
        <v>6037</v>
      </c>
      <c r="AA54" s="2">
        <v>5000</v>
      </c>
      <c r="AB54" t="s">
        <v>5863</v>
      </c>
      <c r="AC54" t="s">
        <v>9978</v>
      </c>
      <c r="AD54" s="32">
        <v>43227</v>
      </c>
      <c r="AJ54" t="s">
        <v>9958</v>
      </c>
      <c r="AL54" t="s">
        <v>10478</v>
      </c>
    </row>
    <row r="55" spans="1:38">
      <c r="A55" t="s">
        <v>6533</v>
      </c>
      <c r="B55" t="s">
        <v>12797</v>
      </c>
      <c r="C55" t="s">
        <v>7556</v>
      </c>
      <c r="D55" t="s">
        <v>7557</v>
      </c>
      <c r="E55" s="2">
        <v>10300</v>
      </c>
      <c r="F55" s="2">
        <v>10300</v>
      </c>
      <c r="G55" s="3">
        <v>43298</v>
      </c>
      <c r="H55" s="4">
        <v>0.54839120370369998</v>
      </c>
      <c r="I55" s="3">
        <v>43298</v>
      </c>
      <c r="J55" s="4">
        <v>0.88498842592592997</v>
      </c>
      <c r="K55" s="2">
        <v>0</v>
      </c>
      <c r="L55" t="s">
        <v>5856</v>
      </c>
      <c r="M55" t="s">
        <v>6483</v>
      </c>
      <c r="N55" s="3">
        <v>43301</v>
      </c>
      <c r="O55" s="3">
        <v>43300</v>
      </c>
      <c r="P55" t="s">
        <v>5960</v>
      </c>
      <c r="Q55" t="s">
        <v>12798</v>
      </c>
      <c r="R55" t="s">
        <v>6036</v>
      </c>
      <c r="S55" s="3">
        <v>43301</v>
      </c>
      <c r="T55" t="s">
        <v>9938</v>
      </c>
      <c r="U55" t="s">
        <v>6582</v>
      </c>
      <c r="V55" t="s">
        <v>7558</v>
      </c>
      <c r="W55" t="s">
        <v>5857</v>
      </c>
      <c r="X55" s="2">
        <v>1275</v>
      </c>
      <c r="Y55" t="s">
        <v>5858</v>
      </c>
      <c r="Z55" t="s">
        <v>6037</v>
      </c>
      <c r="AA55" s="2">
        <v>10000</v>
      </c>
      <c r="AB55" t="s">
        <v>5863</v>
      </c>
      <c r="AC55" t="s">
        <v>9976</v>
      </c>
      <c r="AD55" s="32">
        <v>43280</v>
      </c>
      <c r="AJ55" t="s">
        <v>9958</v>
      </c>
      <c r="AL55" t="s">
        <v>13794</v>
      </c>
    </row>
    <row r="56" spans="1:38">
      <c r="A56" t="s">
        <v>6533</v>
      </c>
      <c r="B56" t="s">
        <v>11579</v>
      </c>
      <c r="C56" t="s">
        <v>6613</v>
      </c>
      <c r="D56" t="s">
        <v>6614</v>
      </c>
      <c r="E56" s="2">
        <v>5000</v>
      </c>
      <c r="F56" s="2">
        <v>5000</v>
      </c>
      <c r="G56" s="3">
        <v>43298</v>
      </c>
      <c r="H56" s="4">
        <v>0.90582175925926001</v>
      </c>
      <c r="I56" s="3">
        <v>43299</v>
      </c>
      <c r="J56" s="4">
        <v>6.9224537037039999E-2</v>
      </c>
      <c r="K56" s="2">
        <v>0</v>
      </c>
      <c r="L56" t="s">
        <v>5856</v>
      </c>
      <c r="M56" t="s">
        <v>6511</v>
      </c>
      <c r="N56" s="3">
        <v>43301</v>
      </c>
      <c r="O56" s="3">
        <v>43301</v>
      </c>
      <c r="P56" t="s">
        <v>6615</v>
      </c>
      <c r="Q56" t="s">
        <v>6616</v>
      </c>
      <c r="R56" t="s">
        <v>6036</v>
      </c>
      <c r="S56" s="3">
        <v>43301</v>
      </c>
      <c r="T56" t="s">
        <v>9938</v>
      </c>
      <c r="U56" t="s">
        <v>5879</v>
      </c>
      <c r="V56" t="s">
        <v>6617</v>
      </c>
      <c r="W56" t="s">
        <v>5857</v>
      </c>
      <c r="X56" s="2">
        <v>1275</v>
      </c>
      <c r="Y56" t="s">
        <v>5858</v>
      </c>
      <c r="Z56" t="s">
        <v>6037</v>
      </c>
      <c r="AA56" s="2">
        <v>5000</v>
      </c>
      <c r="AB56" t="s">
        <v>5863</v>
      </c>
      <c r="AC56" t="s">
        <v>9974</v>
      </c>
      <c r="AD56" s="32">
        <v>43245</v>
      </c>
      <c r="AI56" t="s">
        <v>9943</v>
      </c>
      <c r="AJ56" t="s">
        <v>9959</v>
      </c>
      <c r="AL56" t="s">
        <v>10481</v>
      </c>
    </row>
    <row r="57" spans="1:38">
      <c r="A57" t="s">
        <v>6533</v>
      </c>
      <c r="B57" t="s">
        <v>11571</v>
      </c>
      <c r="C57" t="s">
        <v>6588</v>
      </c>
      <c r="D57" t="s">
        <v>6589</v>
      </c>
      <c r="E57" s="2">
        <v>9925</v>
      </c>
      <c r="F57" s="2">
        <v>9925</v>
      </c>
      <c r="G57" s="3">
        <v>43299</v>
      </c>
      <c r="H57" s="4">
        <v>0.19167824074074</v>
      </c>
      <c r="I57" s="3">
        <v>43299</v>
      </c>
      <c r="J57" s="4">
        <v>0.51603009259259003</v>
      </c>
      <c r="K57" s="2">
        <v>0</v>
      </c>
      <c r="L57" t="s">
        <v>5856</v>
      </c>
      <c r="M57" t="s">
        <v>6590</v>
      </c>
      <c r="N57" s="3">
        <v>43298</v>
      </c>
      <c r="O57" s="3">
        <v>43301</v>
      </c>
      <c r="P57" t="s">
        <v>6591</v>
      </c>
      <c r="Q57" t="s">
        <v>6592</v>
      </c>
      <c r="R57" t="s">
        <v>6036</v>
      </c>
      <c r="S57" s="3">
        <v>43298</v>
      </c>
      <c r="T57" t="s">
        <v>9938</v>
      </c>
      <c r="U57" t="s">
        <v>6593</v>
      </c>
      <c r="V57" t="s">
        <v>6594</v>
      </c>
      <c r="W57" t="s">
        <v>6038</v>
      </c>
      <c r="X57" s="2">
        <v>1275</v>
      </c>
      <c r="Y57" t="s">
        <v>5858</v>
      </c>
      <c r="Z57" t="s">
        <v>6037</v>
      </c>
      <c r="AA57" s="2">
        <v>9925</v>
      </c>
      <c r="AB57" t="s">
        <v>5863</v>
      </c>
      <c r="AC57" t="s">
        <v>9974</v>
      </c>
      <c r="AD57" s="32">
        <v>43271</v>
      </c>
      <c r="AJ57" t="s">
        <v>9958</v>
      </c>
      <c r="AL57" t="s">
        <v>10473</v>
      </c>
    </row>
    <row r="58" spans="1:38">
      <c r="A58" t="s">
        <v>6533</v>
      </c>
      <c r="B58" t="s">
        <v>11572</v>
      </c>
      <c r="C58" t="s">
        <v>6068</v>
      </c>
      <c r="D58" t="s">
        <v>5919</v>
      </c>
      <c r="E58" s="2">
        <v>2000</v>
      </c>
      <c r="F58" s="2">
        <v>2000</v>
      </c>
      <c r="G58" s="3">
        <v>43299</v>
      </c>
      <c r="H58" s="4">
        <v>0.53686342592592995</v>
      </c>
      <c r="I58" s="3">
        <v>43299</v>
      </c>
      <c r="J58" s="4">
        <v>0.60222222222221999</v>
      </c>
      <c r="K58" s="2">
        <v>0</v>
      </c>
      <c r="L58" t="s">
        <v>5856</v>
      </c>
      <c r="M58" t="s">
        <v>6491</v>
      </c>
      <c r="N58" s="3">
        <v>43298</v>
      </c>
      <c r="O58" s="3">
        <v>43301</v>
      </c>
      <c r="P58" t="s">
        <v>5951</v>
      </c>
      <c r="Q58" t="s">
        <v>6595</v>
      </c>
      <c r="R58" t="s">
        <v>6036</v>
      </c>
      <c r="S58" s="3">
        <v>43298</v>
      </c>
      <c r="T58" t="s">
        <v>9938</v>
      </c>
      <c r="U58" t="s">
        <v>6052</v>
      </c>
      <c r="V58" t="s">
        <v>5920</v>
      </c>
      <c r="W58" t="s">
        <v>5857</v>
      </c>
      <c r="X58" s="2">
        <v>1275</v>
      </c>
      <c r="Y58" t="s">
        <v>5858</v>
      </c>
      <c r="Z58" t="s">
        <v>6037</v>
      </c>
      <c r="AA58" s="2">
        <v>2000</v>
      </c>
      <c r="AB58" t="s">
        <v>5863</v>
      </c>
      <c r="AC58" t="s">
        <v>9974</v>
      </c>
      <c r="AD58" s="32">
        <v>43265</v>
      </c>
      <c r="AJ58" t="s">
        <v>9958</v>
      </c>
      <c r="AL58" t="s">
        <v>10474</v>
      </c>
    </row>
    <row r="59" spans="1:38">
      <c r="A59" t="s">
        <v>6533</v>
      </c>
      <c r="B59" t="s">
        <v>11573</v>
      </c>
      <c r="C59" t="s">
        <v>6596</v>
      </c>
      <c r="D59" t="s">
        <v>6597</v>
      </c>
      <c r="E59" s="2">
        <v>6000</v>
      </c>
      <c r="F59" s="2">
        <v>6000</v>
      </c>
      <c r="G59" s="3">
        <v>43299</v>
      </c>
      <c r="H59" s="4">
        <v>0.62305555555556003</v>
      </c>
      <c r="I59" s="3">
        <v>43299</v>
      </c>
      <c r="J59" s="4">
        <v>0.81913194444444004</v>
      </c>
      <c r="K59" s="2">
        <v>20</v>
      </c>
      <c r="L59" t="s">
        <v>5856</v>
      </c>
      <c r="M59" t="s">
        <v>6598</v>
      </c>
      <c r="N59" s="3">
        <v>43318</v>
      </c>
      <c r="O59" s="3">
        <v>43301</v>
      </c>
      <c r="P59" t="s">
        <v>6580</v>
      </c>
      <c r="Q59" t="s">
        <v>6599</v>
      </c>
      <c r="R59" t="s">
        <v>6042</v>
      </c>
      <c r="S59" s="3">
        <v>43298</v>
      </c>
      <c r="T59" t="s">
        <v>9938</v>
      </c>
      <c r="U59" t="s">
        <v>6600</v>
      </c>
      <c r="V59" t="s">
        <v>6601</v>
      </c>
      <c r="W59" t="s">
        <v>6038</v>
      </c>
      <c r="X59" s="2">
        <v>1275</v>
      </c>
      <c r="Y59" t="s">
        <v>5858</v>
      </c>
      <c r="Z59" t="s">
        <v>6037</v>
      </c>
      <c r="AA59" s="2">
        <v>6000</v>
      </c>
      <c r="AB59" t="s">
        <v>5863</v>
      </c>
      <c r="AC59" t="s">
        <v>9976</v>
      </c>
      <c r="AD59" s="32">
        <v>43265</v>
      </c>
      <c r="AJ59" t="s">
        <v>9958</v>
      </c>
      <c r="AL59" t="s">
        <v>10475</v>
      </c>
    </row>
    <row r="60" spans="1:38">
      <c r="A60" t="s">
        <v>6533</v>
      </c>
      <c r="B60" t="s">
        <v>11574</v>
      </c>
      <c r="C60" t="s">
        <v>6602</v>
      </c>
      <c r="D60" t="s">
        <v>6603</v>
      </c>
      <c r="E60" s="2">
        <v>2000</v>
      </c>
      <c r="F60" s="2">
        <v>2000</v>
      </c>
      <c r="G60" s="3">
        <v>43299</v>
      </c>
      <c r="H60" s="4">
        <v>0.83996527777777996</v>
      </c>
      <c r="I60" s="3">
        <v>43299</v>
      </c>
      <c r="J60" s="4">
        <v>0.90532407407407001</v>
      </c>
      <c r="K60" s="2">
        <v>20</v>
      </c>
      <c r="L60" t="s">
        <v>5856</v>
      </c>
      <c r="M60" t="s">
        <v>6491</v>
      </c>
      <c r="N60" s="3">
        <v>43299</v>
      </c>
      <c r="O60" s="3">
        <v>43301</v>
      </c>
      <c r="P60" t="s">
        <v>5964</v>
      </c>
      <c r="Q60" t="s">
        <v>6604</v>
      </c>
      <c r="R60" t="s">
        <v>6036</v>
      </c>
      <c r="S60" s="3">
        <v>43299</v>
      </c>
      <c r="T60" t="s">
        <v>9938</v>
      </c>
      <c r="U60" t="s">
        <v>5893</v>
      </c>
      <c r="V60" t="s">
        <v>6605</v>
      </c>
      <c r="W60" t="s">
        <v>6038</v>
      </c>
      <c r="X60" s="2">
        <v>1275</v>
      </c>
      <c r="Y60" t="s">
        <v>5858</v>
      </c>
      <c r="Z60" t="s">
        <v>6037</v>
      </c>
      <c r="AA60" s="2">
        <v>2000</v>
      </c>
      <c r="AB60" t="s">
        <v>5863</v>
      </c>
      <c r="AC60" t="s">
        <v>9978</v>
      </c>
      <c r="AD60" s="32">
        <v>43272</v>
      </c>
      <c r="AJ60" t="s">
        <v>9958</v>
      </c>
      <c r="AL60" t="s">
        <v>10476</v>
      </c>
    </row>
    <row r="61" spans="1:38">
      <c r="A61" t="s">
        <v>6533</v>
      </c>
      <c r="B61" t="s">
        <v>11575</v>
      </c>
      <c r="C61" t="s">
        <v>6552</v>
      </c>
      <c r="D61" t="s">
        <v>6553</v>
      </c>
      <c r="E61" s="2">
        <v>10000</v>
      </c>
      <c r="F61" s="2">
        <v>10000</v>
      </c>
      <c r="G61" s="3">
        <v>43299</v>
      </c>
      <c r="H61" s="4">
        <v>0.92615740740741004</v>
      </c>
      <c r="I61" s="3">
        <v>43300</v>
      </c>
      <c r="J61" s="4">
        <v>0.25295138888889002</v>
      </c>
      <c r="K61" s="2">
        <v>20</v>
      </c>
      <c r="L61" t="s">
        <v>5856</v>
      </c>
      <c r="M61" t="s">
        <v>6498</v>
      </c>
      <c r="N61" s="3">
        <v>43299</v>
      </c>
      <c r="O61" s="3">
        <v>43302</v>
      </c>
      <c r="P61" t="s">
        <v>5862</v>
      </c>
      <c r="Q61" t="s">
        <v>6606</v>
      </c>
      <c r="R61" t="s">
        <v>6036</v>
      </c>
      <c r="S61" s="3">
        <v>43299</v>
      </c>
      <c r="T61" t="s">
        <v>9938</v>
      </c>
      <c r="U61" t="s">
        <v>6555</v>
      </c>
      <c r="V61" t="s">
        <v>6556</v>
      </c>
      <c r="W61" t="s">
        <v>5857</v>
      </c>
      <c r="X61" s="2">
        <v>1275</v>
      </c>
      <c r="Y61" t="s">
        <v>5858</v>
      </c>
      <c r="Z61" t="s">
        <v>6037</v>
      </c>
      <c r="AA61" s="2">
        <v>10000</v>
      </c>
      <c r="AB61" t="s">
        <v>5863</v>
      </c>
      <c r="AC61" t="s">
        <v>9978</v>
      </c>
      <c r="AD61" s="32">
        <v>43271</v>
      </c>
      <c r="AI61" t="s">
        <v>9943</v>
      </c>
      <c r="AJ61" t="s">
        <v>9958</v>
      </c>
      <c r="AL61" t="s">
        <v>10477</v>
      </c>
    </row>
    <row r="62" spans="1:38">
      <c r="A62" t="s">
        <v>6533</v>
      </c>
      <c r="B62" t="s">
        <v>11577</v>
      </c>
      <c r="C62" t="s">
        <v>6539</v>
      </c>
      <c r="D62" t="s">
        <v>6540</v>
      </c>
      <c r="E62" s="2">
        <v>10000</v>
      </c>
      <c r="F62" s="2">
        <v>10000</v>
      </c>
      <c r="G62" s="3">
        <v>43300</v>
      </c>
      <c r="H62" s="4">
        <v>0.27378472222222</v>
      </c>
      <c r="I62" s="3">
        <v>43300</v>
      </c>
      <c r="J62" s="4">
        <v>0.60057870370370003</v>
      </c>
      <c r="K62" s="2">
        <v>20</v>
      </c>
      <c r="L62" t="s">
        <v>5856</v>
      </c>
      <c r="M62" t="s">
        <v>6498</v>
      </c>
      <c r="N62" s="3">
        <v>43300</v>
      </c>
      <c r="O62" s="3">
        <v>43302</v>
      </c>
      <c r="P62" t="s">
        <v>5862</v>
      </c>
      <c r="Q62" t="s">
        <v>6608</v>
      </c>
      <c r="R62" t="s">
        <v>6036</v>
      </c>
      <c r="S62" s="3">
        <v>43300</v>
      </c>
      <c r="T62" t="s">
        <v>9938</v>
      </c>
      <c r="U62" t="s">
        <v>6541</v>
      </c>
      <c r="V62" t="s">
        <v>6542</v>
      </c>
      <c r="W62" t="s">
        <v>5857</v>
      </c>
      <c r="X62" s="2">
        <v>1275</v>
      </c>
      <c r="Y62" t="s">
        <v>5858</v>
      </c>
      <c r="Z62" t="s">
        <v>6037</v>
      </c>
      <c r="AA62" s="2">
        <v>10000</v>
      </c>
      <c r="AB62" t="s">
        <v>5863</v>
      </c>
      <c r="AC62" t="s">
        <v>9974</v>
      </c>
      <c r="AD62" s="32">
        <v>43180</v>
      </c>
      <c r="AJ62" t="s">
        <v>9959</v>
      </c>
      <c r="AL62" t="s">
        <v>10479</v>
      </c>
    </row>
    <row r="63" spans="1:38">
      <c r="A63" t="s">
        <v>6533</v>
      </c>
      <c r="B63" t="s">
        <v>11578</v>
      </c>
      <c r="C63" t="s">
        <v>6609</v>
      </c>
      <c r="D63" t="s">
        <v>6610</v>
      </c>
      <c r="E63" s="2">
        <v>2000</v>
      </c>
      <c r="F63" s="2">
        <v>2000</v>
      </c>
      <c r="G63" s="3">
        <v>43300</v>
      </c>
      <c r="H63" s="4">
        <v>0.62141203703703995</v>
      </c>
      <c r="I63" s="3">
        <v>43300</v>
      </c>
      <c r="J63" s="4">
        <v>0.68677083333333</v>
      </c>
      <c r="K63" s="2">
        <v>0</v>
      </c>
      <c r="L63" t="s">
        <v>5856</v>
      </c>
      <c r="M63" t="s">
        <v>6491</v>
      </c>
      <c r="N63" s="3">
        <v>43301</v>
      </c>
      <c r="O63" s="3">
        <v>43302</v>
      </c>
      <c r="P63" t="s">
        <v>5964</v>
      </c>
      <c r="Q63" t="s">
        <v>6611</v>
      </c>
      <c r="R63" t="s">
        <v>6036</v>
      </c>
      <c r="S63" s="3">
        <v>43301</v>
      </c>
      <c r="T63" t="s">
        <v>9938</v>
      </c>
      <c r="U63" t="s">
        <v>5886</v>
      </c>
      <c r="V63" t="s">
        <v>6612</v>
      </c>
      <c r="W63" t="s">
        <v>5857</v>
      </c>
      <c r="X63" s="2">
        <v>1275</v>
      </c>
      <c r="Y63" t="s">
        <v>5858</v>
      </c>
      <c r="Z63" t="s">
        <v>6037</v>
      </c>
      <c r="AA63" s="2">
        <v>2000</v>
      </c>
      <c r="AB63" t="s">
        <v>5863</v>
      </c>
      <c r="AC63" t="s">
        <v>9978</v>
      </c>
      <c r="AD63" s="32">
        <v>43257</v>
      </c>
      <c r="AI63" t="s">
        <v>9943</v>
      </c>
      <c r="AJ63" t="s">
        <v>9958</v>
      </c>
      <c r="AL63" t="s">
        <v>10480</v>
      </c>
    </row>
    <row r="64" spans="1:38">
      <c r="A64" t="s">
        <v>6533</v>
      </c>
      <c r="B64" t="s">
        <v>11580</v>
      </c>
      <c r="C64" t="s">
        <v>6618</v>
      </c>
      <c r="D64" t="s">
        <v>6619</v>
      </c>
      <c r="E64" s="2">
        <v>10000</v>
      </c>
      <c r="F64" s="2">
        <v>10000</v>
      </c>
      <c r="G64" s="3">
        <v>43301</v>
      </c>
      <c r="H64" s="4">
        <v>0.67320601851852002</v>
      </c>
      <c r="I64" s="3">
        <v>43302</v>
      </c>
      <c r="J64" s="4">
        <v>0</v>
      </c>
      <c r="K64" s="2">
        <v>20</v>
      </c>
      <c r="L64" t="s">
        <v>5856</v>
      </c>
      <c r="M64" t="s">
        <v>6498</v>
      </c>
      <c r="N64" s="3">
        <v>43304</v>
      </c>
      <c r="O64" s="3">
        <v>43303</v>
      </c>
      <c r="P64" t="s">
        <v>5883</v>
      </c>
      <c r="Q64" t="s">
        <v>6620</v>
      </c>
      <c r="R64" t="s">
        <v>6036</v>
      </c>
      <c r="S64" s="3">
        <v>43304</v>
      </c>
      <c r="T64" t="s">
        <v>9938</v>
      </c>
      <c r="U64" t="s">
        <v>6621</v>
      </c>
      <c r="V64" t="s">
        <v>6622</v>
      </c>
      <c r="W64" t="s">
        <v>5857</v>
      </c>
      <c r="X64" s="2">
        <v>1275</v>
      </c>
      <c r="Y64" t="s">
        <v>5858</v>
      </c>
      <c r="Z64" t="s">
        <v>6037</v>
      </c>
      <c r="AA64" s="2">
        <v>10000</v>
      </c>
      <c r="AB64" t="s">
        <v>5863</v>
      </c>
      <c r="AC64" t="s">
        <v>9978</v>
      </c>
      <c r="AD64" s="32">
        <v>43248</v>
      </c>
      <c r="AI64" t="s">
        <v>9945</v>
      </c>
      <c r="AJ64" t="s">
        <v>9958</v>
      </c>
      <c r="AL64" t="s">
        <v>10482</v>
      </c>
    </row>
    <row r="65" spans="1:38">
      <c r="A65" t="s">
        <v>6533</v>
      </c>
      <c r="B65" t="s">
        <v>11581</v>
      </c>
      <c r="C65" t="s">
        <v>6546</v>
      </c>
      <c r="D65" t="s">
        <v>6547</v>
      </c>
      <c r="E65" s="2">
        <v>2000</v>
      </c>
      <c r="F65" s="2">
        <v>2000</v>
      </c>
      <c r="G65" s="3">
        <v>43302</v>
      </c>
      <c r="H65" s="4">
        <v>0.66208333333333003</v>
      </c>
      <c r="I65" s="3">
        <v>43302</v>
      </c>
      <c r="J65" s="4">
        <v>0.72744212962962995</v>
      </c>
      <c r="K65" s="2">
        <v>20</v>
      </c>
      <c r="L65" t="s">
        <v>5856</v>
      </c>
      <c r="M65" t="s">
        <v>6491</v>
      </c>
      <c r="N65" s="3">
        <v>43305</v>
      </c>
      <c r="O65" s="3">
        <v>43304</v>
      </c>
      <c r="P65" t="s">
        <v>5960</v>
      </c>
      <c r="Q65" t="s">
        <v>6623</v>
      </c>
      <c r="R65" t="s">
        <v>6036</v>
      </c>
      <c r="S65" s="3">
        <v>43305</v>
      </c>
      <c r="T65" t="s">
        <v>9938</v>
      </c>
      <c r="U65" t="s">
        <v>6550</v>
      </c>
      <c r="V65" t="s">
        <v>6538</v>
      </c>
      <c r="W65" t="s">
        <v>5857</v>
      </c>
      <c r="X65" s="2">
        <v>1275</v>
      </c>
      <c r="Y65" t="s">
        <v>5858</v>
      </c>
      <c r="Z65" t="s">
        <v>6037</v>
      </c>
      <c r="AA65" s="2">
        <v>2000</v>
      </c>
      <c r="AB65" t="s">
        <v>5863</v>
      </c>
      <c r="AC65" t="s">
        <v>9976</v>
      </c>
      <c r="AD65" s="32">
        <v>43271</v>
      </c>
      <c r="AJ65" t="s">
        <v>9960</v>
      </c>
      <c r="AL65" t="s">
        <v>10483</v>
      </c>
    </row>
    <row r="66" spans="1:38">
      <c r="A66" t="s">
        <v>6533</v>
      </c>
      <c r="B66" t="s">
        <v>11582</v>
      </c>
      <c r="C66" t="s">
        <v>6552</v>
      </c>
      <c r="D66" t="s">
        <v>6553</v>
      </c>
      <c r="E66" s="2">
        <v>11025</v>
      </c>
      <c r="F66" s="2">
        <v>11025</v>
      </c>
      <c r="G66" s="3">
        <v>43302</v>
      </c>
      <c r="H66" s="4">
        <v>0.74827546296295999</v>
      </c>
      <c r="I66" s="3">
        <v>43303</v>
      </c>
      <c r="J66" s="4">
        <v>0.10856481481481001</v>
      </c>
      <c r="K66" s="2">
        <v>20</v>
      </c>
      <c r="L66" t="s">
        <v>5856</v>
      </c>
      <c r="M66" t="s">
        <v>6624</v>
      </c>
      <c r="N66" s="3">
        <v>43307</v>
      </c>
      <c r="O66" s="3">
        <v>43305</v>
      </c>
      <c r="P66" t="s">
        <v>5862</v>
      </c>
      <c r="Q66" t="s">
        <v>6625</v>
      </c>
      <c r="R66" t="s">
        <v>6036</v>
      </c>
      <c r="S66" s="3">
        <v>43307</v>
      </c>
      <c r="T66" t="s">
        <v>9938</v>
      </c>
      <c r="U66" t="s">
        <v>6555</v>
      </c>
      <c r="V66" t="s">
        <v>6556</v>
      </c>
      <c r="W66" t="s">
        <v>5857</v>
      </c>
      <c r="X66" s="2">
        <v>1275</v>
      </c>
      <c r="Y66" t="s">
        <v>5858</v>
      </c>
      <c r="Z66" t="s">
        <v>6037</v>
      </c>
      <c r="AA66" s="2">
        <v>11025</v>
      </c>
      <c r="AB66" t="s">
        <v>5863</v>
      </c>
      <c r="AC66" t="s">
        <v>9978</v>
      </c>
      <c r="AD66" s="32">
        <v>43200</v>
      </c>
      <c r="AI66" t="s">
        <v>9943</v>
      </c>
      <c r="AJ66" t="s">
        <v>9958</v>
      </c>
      <c r="AL66" t="s">
        <v>10484</v>
      </c>
    </row>
    <row r="67" spans="1:38">
      <c r="A67" t="s">
        <v>6533</v>
      </c>
      <c r="B67" t="s">
        <v>12799</v>
      </c>
      <c r="C67" t="s">
        <v>12800</v>
      </c>
      <c r="D67" t="s">
        <v>12801</v>
      </c>
      <c r="E67" s="2">
        <v>5150</v>
      </c>
      <c r="F67" s="2">
        <v>5150</v>
      </c>
      <c r="G67" s="3">
        <v>43304</v>
      </c>
      <c r="H67" s="4">
        <v>0.15726851851852</v>
      </c>
      <c r="I67" s="3">
        <v>43304</v>
      </c>
      <c r="J67" s="4">
        <v>0.32556712962963003</v>
      </c>
      <c r="K67" s="2">
        <v>0</v>
      </c>
      <c r="L67" t="s">
        <v>5856</v>
      </c>
      <c r="M67" t="s">
        <v>6536</v>
      </c>
      <c r="N67" s="3">
        <v>43307</v>
      </c>
      <c r="O67" s="3">
        <v>43306</v>
      </c>
      <c r="P67" t="s">
        <v>5992</v>
      </c>
      <c r="Q67" t="s">
        <v>12802</v>
      </c>
      <c r="R67" t="s">
        <v>6036</v>
      </c>
      <c r="S67" s="3">
        <v>43307</v>
      </c>
      <c r="T67" t="s">
        <v>9938</v>
      </c>
      <c r="U67" t="s">
        <v>7024</v>
      </c>
      <c r="V67" t="s">
        <v>12803</v>
      </c>
      <c r="W67" t="s">
        <v>5857</v>
      </c>
      <c r="X67" s="2">
        <v>1275</v>
      </c>
      <c r="Y67" t="s">
        <v>5858</v>
      </c>
      <c r="Z67" t="s">
        <v>6037</v>
      </c>
      <c r="AA67" s="2">
        <v>5000</v>
      </c>
      <c r="AB67" t="s">
        <v>5863</v>
      </c>
      <c r="AC67" t="s">
        <v>9974</v>
      </c>
      <c r="AD67" s="32">
        <v>43279</v>
      </c>
      <c r="AJ67" t="s">
        <v>9958</v>
      </c>
      <c r="AL67" t="s">
        <v>13795</v>
      </c>
    </row>
    <row r="68" spans="1:38">
      <c r="A68" t="s">
        <v>6533</v>
      </c>
      <c r="B68" t="s">
        <v>11583</v>
      </c>
      <c r="C68" t="s">
        <v>6626</v>
      </c>
      <c r="D68" t="s">
        <v>6627</v>
      </c>
      <c r="E68" s="2">
        <v>20000</v>
      </c>
      <c r="F68" s="2">
        <v>20000</v>
      </c>
      <c r="G68" s="3">
        <v>43304</v>
      </c>
      <c r="H68" s="4">
        <v>0.34640046296296001</v>
      </c>
      <c r="I68" s="3">
        <v>43305</v>
      </c>
      <c r="J68" s="4">
        <v>0</v>
      </c>
      <c r="K68" s="2">
        <v>0</v>
      </c>
      <c r="L68" t="s">
        <v>5856</v>
      </c>
      <c r="M68" t="s">
        <v>6494</v>
      </c>
      <c r="N68" s="3">
        <v>43307</v>
      </c>
      <c r="O68" s="3">
        <v>43306</v>
      </c>
      <c r="P68" t="s">
        <v>5992</v>
      </c>
      <c r="Q68" t="s">
        <v>6628</v>
      </c>
      <c r="R68" t="s">
        <v>6036</v>
      </c>
      <c r="S68" s="3">
        <v>43307</v>
      </c>
      <c r="T68" t="s">
        <v>9938</v>
      </c>
      <c r="U68" t="s">
        <v>5879</v>
      </c>
      <c r="V68" t="s">
        <v>6629</v>
      </c>
      <c r="W68" t="s">
        <v>5857</v>
      </c>
      <c r="X68" s="2">
        <v>1275</v>
      </c>
      <c r="Y68" t="s">
        <v>5858</v>
      </c>
      <c r="Z68" t="s">
        <v>6037</v>
      </c>
      <c r="AA68" s="2">
        <v>20000</v>
      </c>
      <c r="AB68" t="s">
        <v>5863</v>
      </c>
      <c r="AC68" t="s">
        <v>9974</v>
      </c>
      <c r="AD68" s="32">
        <v>43262</v>
      </c>
      <c r="AI68" t="s">
        <v>9943</v>
      </c>
      <c r="AJ68" t="s">
        <v>9959</v>
      </c>
      <c r="AL68" t="s">
        <v>10485</v>
      </c>
    </row>
    <row r="69" spans="1:38">
      <c r="A69" t="s">
        <v>6533</v>
      </c>
      <c r="B69" t="s">
        <v>11584</v>
      </c>
      <c r="C69" t="s">
        <v>6630</v>
      </c>
      <c r="D69" t="s">
        <v>6631</v>
      </c>
      <c r="E69" s="2">
        <v>10000</v>
      </c>
      <c r="F69" s="2">
        <v>10000</v>
      </c>
      <c r="G69" s="3">
        <v>43305</v>
      </c>
      <c r="H69" s="4">
        <v>0.55432870370370002</v>
      </c>
      <c r="I69" s="3">
        <v>43305</v>
      </c>
      <c r="J69" s="4">
        <v>0.88112268518518999</v>
      </c>
      <c r="K69" s="2">
        <v>0</v>
      </c>
      <c r="L69" t="s">
        <v>5856</v>
      </c>
      <c r="M69" t="s">
        <v>6498</v>
      </c>
      <c r="N69" s="3">
        <v>43308</v>
      </c>
      <c r="O69" s="3">
        <v>43307</v>
      </c>
      <c r="P69" t="s">
        <v>5883</v>
      </c>
      <c r="Q69" t="s">
        <v>6632</v>
      </c>
      <c r="R69" t="s">
        <v>6036</v>
      </c>
      <c r="S69" s="3">
        <v>43308</v>
      </c>
      <c r="T69" t="s">
        <v>9938</v>
      </c>
      <c r="U69" t="s">
        <v>5886</v>
      </c>
      <c r="V69" t="s">
        <v>6633</v>
      </c>
      <c r="W69" t="s">
        <v>5857</v>
      </c>
      <c r="X69" s="2">
        <v>1275</v>
      </c>
      <c r="Y69" t="s">
        <v>5858</v>
      </c>
      <c r="Z69" t="s">
        <v>6037</v>
      </c>
      <c r="AA69" s="2">
        <v>10000</v>
      </c>
      <c r="AB69" t="s">
        <v>5863</v>
      </c>
      <c r="AC69" t="s">
        <v>9978</v>
      </c>
      <c r="AD69" s="32">
        <v>43259</v>
      </c>
      <c r="AJ69" t="s">
        <v>9958</v>
      </c>
      <c r="AL69" t="s">
        <v>10486</v>
      </c>
    </row>
    <row r="70" spans="1:38">
      <c r="A70" t="s">
        <v>6533</v>
      </c>
      <c r="B70" t="s">
        <v>11585</v>
      </c>
      <c r="C70" t="s">
        <v>6543</v>
      </c>
      <c r="D70" t="s">
        <v>6544</v>
      </c>
      <c r="E70" s="2">
        <v>3000</v>
      </c>
      <c r="F70" s="2">
        <v>3000</v>
      </c>
      <c r="G70" s="3">
        <v>43305</v>
      </c>
      <c r="H70" s="4">
        <v>0.90195601851852003</v>
      </c>
      <c r="I70" s="3">
        <v>43306</v>
      </c>
      <c r="J70" s="4">
        <v>0</v>
      </c>
      <c r="K70" s="2">
        <v>0</v>
      </c>
      <c r="L70" t="s">
        <v>5856</v>
      </c>
      <c r="M70" t="s">
        <v>6634</v>
      </c>
      <c r="N70" s="3">
        <v>43308</v>
      </c>
      <c r="O70" s="3">
        <v>43307</v>
      </c>
      <c r="P70" t="s">
        <v>5883</v>
      </c>
      <c r="Q70" t="s">
        <v>6635</v>
      </c>
      <c r="R70" t="s">
        <v>6036</v>
      </c>
      <c r="S70" s="3">
        <v>43308</v>
      </c>
      <c r="T70" t="s">
        <v>9938</v>
      </c>
      <c r="U70" t="s">
        <v>5886</v>
      </c>
      <c r="V70" t="s">
        <v>6545</v>
      </c>
      <c r="W70" t="s">
        <v>5857</v>
      </c>
      <c r="X70" s="2">
        <v>1275</v>
      </c>
      <c r="Y70" t="s">
        <v>5858</v>
      </c>
      <c r="Z70" t="s">
        <v>6037</v>
      </c>
      <c r="AA70" s="2">
        <v>3000</v>
      </c>
      <c r="AB70" t="s">
        <v>5863</v>
      </c>
      <c r="AC70" t="s">
        <v>9978</v>
      </c>
      <c r="AD70" s="32">
        <v>43259</v>
      </c>
      <c r="AJ70" t="s">
        <v>9958</v>
      </c>
      <c r="AL70" t="s">
        <v>10487</v>
      </c>
    </row>
    <row r="71" spans="1:38">
      <c r="A71" t="s">
        <v>6533</v>
      </c>
      <c r="B71" t="s">
        <v>11586</v>
      </c>
      <c r="C71" t="s">
        <v>6636</v>
      </c>
      <c r="D71" t="s">
        <v>6637</v>
      </c>
      <c r="E71" s="2">
        <v>10000</v>
      </c>
      <c r="F71" s="2">
        <v>10000</v>
      </c>
      <c r="G71" s="3">
        <v>43308</v>
      </c>
      <c r="H71" s="4">
        <v>2.696759259259E-2</v>
      </c>
      <c r="I71" s="3">
        <v>43308</v>
      </c>
      <c r="J71" s="4">
        <v>0.35376157407407</v>
      </c>
      <c r="K71" s="2">
        <v>20</v>
      </c>
      <c r="L71" t="s">
        <v>5856</v>
      </c>
      <c r="M71" t="s">
        <v>6498</v>
      </c>
      <c r="N71" s="3">
        <v>43311</v>
      </c>
      <c r="O71" s="3">
        <v>43310</v>
      </c>
      <c r="P71" t="s">
        <v>6638</v>
      </c>
      <c r="Q71" t="s">
        <v>6639</v>
      </c>
      <c r="R71" t="s">
        <v>6036</v>
      </c>
      <c r="S71" s="3">
        <v>43311</v>
      </c>
      <c r="T71" t="s">
        <v>9938</v>
      </c>
      <c r="U71" t="s">
        <v>5963</v>
      </c>
      <c r="V71" t="s">
        <v>6640</v>
      </c>
      <c r="W71" t="s">
        <v>5857</v>
      </c>
      <c r="X71" s="2">
        <v>1275</v>
      </c>
      <c r="Y71" t="s">
        <v>5858</v>
      </c>
      <c r="Z71" t="s">
        <v>6037</v>
      </c>
      <c r="AA71" s="2">
        <v>10000</v>
      </c>
      <c r="AB71" t="s">
        <v>5863</v>
      </c>
      <c r="AC71" t="s">
        <v>9978</v>
      </c>
      <c r="AD71" s="32">
        <v>43264</v>
      </c>
      <c r="AI71" t="s">
        <v>9943</v>
      </c>
      <c r="AJ71" t="s">
        <v>9958</v>
      </c>
      <c r="AL71" t="s">
        <v>10488</v>
      </c>
    </row>
    <row r="72" spans="1:38">
      <c r="A72" t="s">
        <v>6533</v>
      </c>
      <c r="B72" t="s">
        <v>11587</v>
      </c>
      <c r="C72" t="s">
        <v>6539</v>
      </c>
      <c r="D72" t="s">
        <v>6540</v>
      </c>
      <c r="E72" s="2">
        <v>10000</v>
      </c>
      <c r="F72" s="2">
        <v>10000</v>
      </c>
      <c r="G72" s="3">
        <v>43308</v>
      </c>
      <c r="H72" s="4">
        <v>0.72222222222221999</v>
      </c>
      <c r="I72" s="3">
        <v>43309</v>
      </c>
      <c r="J72" s="4">
        <v>4.9016203703700002E-2</v>
      </c>
      <c r="K72" s="2">
        <v>20</v>
      </c>
      <c r="L72" t="s">
        <v>5856</v>
      </c>
      <c r="M72" t="s">
        <v>6498</v>
      </c>
      <c r="N72" s="3">
        <v>43311</v>
      </c>
      <c r="O72" s="3">
        <v>43311</v>
      </c>
      <c r="P72" t="s">
        <v>5862</v>
      </c>
      <c r="Q72" t="s">
        <v>6641</v>
      </c>
      <c r="R72" t="s">
        <v>6036</v>
      </c>
      <c r="S72" s="3">
        <v>43311</v>
      </c>
      <c r="T72" t="s">
        <v>9938</v>
      </c>
      <c r="U72" t="s">
        <v>6541</v>
      </c>
      <c r="V72" t="s">
        <v>6542</v>
      </c>
      <c r="W72" t="s">
        <v>5857</v>
      </c>
      <c r="X72" s="2">
        <v>1275</v>
      </c>
      <c r="Y72" t="s">
        <v>5858</v>
      </c>
      <c r="Z72" t="s">
        <v>6037</v>
      </c>
      <c r="AA72" s="2">
        <v>10000</v>
      </c>
      <c r="AB72" t="s">
        <v>5863</v>
      </c>
      <c r="AC72" t="s">
        <v>9974</v>
      </c>
      <c r="AD72" s="32">
        <v>43180</v>
      </c>
      <c r="AJ72" t="s">
        <v>9959</v>
      </c>
      <c r="AL72" t="s">
        <v>10489</v>
      </c>
    </row>
    <row r="73" spans="1:38">
      <c r="A73" t="s">
        <v>6533</v>
      </c>
      <c r="B73" t="s">
        <v>11588</v>
      </c>
      <c r="C73" t="s">
        <v>6642</v>
      </c>
      <c r="D73" t="s">
        <v>6643</v>
      </c>
      <c r="E73" s="2">
        <v>10000</v>
      </c>
      <c r="F73" s="2">
        <v>10000</v>
      </c>
      <c r="G73" s="3">
        <v>43309</v>
      </c>
      <c r="H73" s="4">
        <v>0.48896990740740998</v>
      </c>
      <c r="I73" s="3">
        <v>43309</v>
      </c>
      <c r="J73" s="4">
        <v>0.81576388888888995</v>
      </c>
      <c r="K73" s="2">
        <v>20</v>
      </c>
      <c r="L73" t="s">
        <v>5856</v>
      </c>
      <c r="M73" t="s">
        <v>6498</v>
      </c>
      <c r="N73" s="3">
        <v>43285</v>
      </c>
      <c r="O73" s="3">
        <v>43311</v>
      </c>
      <c r="P73" t="s">
        <v>5885</v>
      </c>
      <c r="Q73" t="s">
        <v>6644</v>
      </c>
      <c r="R73" t="s">
        <v>6036</v>
      </c>
      <c r="S73" s="3">
        <v>43285</v>
      </c>
      <c r="T73" t="s">
        <v>9938</v>
      </c>
      <c r="U73" t="s">
        <v>5886</v>
      </c>
      <c r="V73" t="s">
        <v>6645</v>
      </c>
      <c r="W73" t="s">
        <v>5857</v>
      </c>
      <c r="X73" s="2">
        <v>1275</v>
      </c>
      <c r="Y73" t="s">
        <v>5858</v>
      </c>
      <c r="Z73" t="s">
        <v>6037</v>
      </c>
      <c r="AA73" s="2">
        <v>10000</v>
      </c>
      <c r="AB73" t="s">
        <v>5863</v>
      </c>
      <c r="AC73" t="s">
        <v>9978</v>
      </c>
      <c r="AD73" s="32">
        <v>43257</v>
      </c>
      <c r="AJ73" t="s">
        <v>9958</v>
      </c>
      <c r="AL73" t="s">
        <v>10490</v>
      </c>
    </row>
    <row r="74" spans="1:38">
      <c r="A74" t="s">
        <v>6533</v>
      </c>
      <c r="B74" t="s">
        <v>11589</v>
      </c>
      <c r="C74" t="s">
        <v>6646</v>
      </c>
      <c r="D74" t="s">
        <v>6647</v>
      </c>
      <c r="E74" s="2">
        <v>5000</v>
      </c>
      <c r="F74" s="2">
        <v>5000</v>
      </c>
      <c r="G74" s="3">
        <v>43309</v>
      </c>
      <c r="H74" s="4">
        <v>0.83659722222221999</v>
      </c>
      <c r="I74" s="3">
        <v>43310</v>
      </c>
      <c r="J74" s="4">
        <v>0</v>
      </c>
      <c r="K74" s="2">
        <v>20</v>
      </c>
      <c r="L74" t="s">
        <v>5856</v>
      </c>
      <c r="M74" t="s">
        <v>6511</v>
      </c>
      <c r="N74" s="3">
        <v>43312</v>
      </c>
      <c r="O74" s="3">
        <v>43311</v>
      </c>
      <c r="P74" t="s">
        <v>5978</v>
      </c>
      <c r="Q74" t="s">
        <v>6648</v>
      </c>
      <c r="R74" t="s">
        <v>6036</v>
      </c>
      <c r="S74" s="3">
        <v>43312</v>
      </c>
      <c r="T74" t="s">
        <v>9938</v>
      </c>
      <c r="U74" t="s">
        <v>5893</v>
      </c>
      <c r="V74" t="s">
        <v>6649</v>
      </c>
      <c r="W74" t="s">
        <v>5857</v>
      </c>
      <c r="X74" s="2">
        <v>1275</v>
      </c>
      <c r="Y74" t="s">
        <v>5858</v>
      </c>
      <c r="Z74" t="s">
        <v>6037</v>
      </c>
      <c r="AA74" s="2">
        <v>5000</v>
      </c>
      <c r="AB74" t="s">
        <v>5863</v>
      </c>
      <c r="AC74" t="s">
        <v>9978</v>
      </c>
      <c r="AD74" s="32">
        <v>43270</v>
      </c>
      <c r="AI74" t="s">
        <v>9943</v>
      </c>
      <c r="AJ74" t="s">
        <v>9958</v>
      </c>
      <c r="AL74" t="s">
        <v>10491</v>
      </c>
    </row>
    <row r="75" spans="1:38">
      <c r="A75" t="s">
        <v>6533</v>
      </c>
      <c r="B75" t="s">
        <v>12804</v>
      </c>
      <c r="C75" t="s">
        <v>12805</v>
      </c>
      <c r="D75" t="s">
        <v>12806</v>
      </c>
      <c r="E75" s="2">
        <v>8240</v>
      </c>
      <c r="F75" s="2">
        <v>8240</v>
      </c>
      <c r="G75" s="3">
        <v>43310</v>
      </c>
      <c r="H75" s="4">
        <v>0.95761574074073996</v>
      </c>
      <c r="I75" s="3">
        <v>43311</v>
      </c>
      <c r="J75" s="4">
        <v>0.22689814814814999</v>
      </c>
      <c r="K75" s="2">
        <v>20</v>
      </c>
      <c r="L75" t="s">
        <v>5856</v>
      </c>
      <c r="M75" t="s">
        <v>12807</v>
      </c>
      <c r="N75" s="3">
        <v>43314</v>
      </c>
      <c r="O75" s="3">
        <v>43313</v>
      </c>
      <c r="P75" t="s">
        <v>5960</v>
      </c>
      <c r="Q75" t="s">
        <v>12808</v>
      </c>
      <c r="R75" t="s">
        <v>6036</v>
      </c>
      <c r="S75" s="3">
        <v>43314</v>
      </c>
      <c r="T75" t="s">
        <v>9938</v>
      </c>
      <c r="U75" t="s">
        <v>6507</v>
      </c>
      <c r="V75" t="s">
        <v>6538</v>
      </c>
      <c r="W75" t="s">
        <v>5857</v>
      </c>
      <c r="X75" s="2">
        <v>1275</v>
      </c>
      <c r="Y75" t="s">
        <v>5858</v>
      </c>
      <c r="Z75" t="s">
        <v>6037</v>
      </c>
      <c r="AA75" s="2">
        <v>8000</v>
      </c>
      <c r="AB75" t="s">
        <v>5863</v>
      </c>
      <c r="AC75" t="s">
        <v>9976</v>
      </c>
      <c r="AD75" s="32">
        <v>43280</v>
      </c>
      <c r="AJ75" t="s">
        <v>9960</v>
      </c>
      <c r="AL75" t="s">
        <v>13796</v>
      </c>
    </row>
    <row r="76" spans="1:38">
      <c r="A76" t="s">
        <v>6533</v>
      </c>
      <c r="B76" t="s">
        <v>12809</v>
      </c>
      <c r="C76" t="s">
        <v>6739</v>
      </c>
      <c r="D76" t="s">
        <v>6740</v>
      </c>
      <c r="E76" s="5">
        <v>3244.5</v>
      </c>
      <c r="F76" s="5">
        <v>3244.5</v>
      </c>
      <c r="G76" s="3">
        <v>43311</v>
      </c>
      <c r="H76" s="4">
        <v>0.24773148148148</v>
      </c>
      <c r="I76" s="3">
        <v>43311</v>
      </c>
      <c r="J76" s="4">
        <v>0.35376157407407</v>
      </c>
      <c r="K76" s="2">
        <v>20</v>
      </c>
      <c r="L76" t="s">
        <v>5856</v>
      </c>
      <c r="M76" t="s">
        <v>12810</v>
      </c>
      <c r="N76" s="3">
        <v>43314</v>
      </c>
      <c r="O76" s="3">
        <v>43313</v>
      </c>
      <c r="P76" t="s">
        <v>5862</v>
      </c>
      <c r="Q76" t="s">
        <v>12811</v>
      </c>
      <c r="R76" t="s">
        <v>6036</v>
      </c>
      <c r="S76" s="3">
        <v>43314</v>
      </c>
      <c r="T76" t="s">
        <v>9938</v>
      </c>
      <c r="U76" t="s">
        <v>6555</v>
      </c>
      <c r="V76" t="s">
        <v>6743</v>
      </c>
      <c r="W76" t="s">
        <v>5857</v>
      </c>
      <c r="X76" s="2">
        <v>1275</v>
      </c>
      <c r="Y76" t="s">
        <v>5858</v>
      </c>
      <c r="Z76" t="s">
        <v>6037</v>
      </c>
      <c r="AA76" s="2">
        <v>3150</v>
      </c>
      <c r="AB76" t="s">
        <v>5863</v>
      </c>
      <c r="AC76" t="s">
        <v>9978</v>
      </c>
      <c r="AD76" s="32">
        <v>43280</v>
      </c>
      <c r="AI76" t="s">
        <v>9939</v>
      </c>
      <c r="AJ76" t="s">
        <v>9958</v>
      </c>
      <c r="AL76" t="s">
        <v>13797</v>
      </c>
    </row>
    <row r="77" spans="1:38">
      <c r="A77" t="s">
        <v>6533</v>
      </c>
      <c r="B77" t="s">
        <v>11590</v>
      </c>
      <c r="C77" t="s">
        <v>6557</v>
      </c>
      <c r="D77" t="s">
        <v>6558</v>
      </c>
      <c r="E77" s="2">
        <v>10000</v>
      </c>
      <c r="F77" s="2">
        <v>10000</v>
      </c>
      <c r="G77" s="3">
        <v>43311</v>
      </c>
      <c r="H77" s="4">
        <v>0.37459490740741003</v>
      </c>
      <c r="I77" s="3">
        <v>43311</v>
      </c>
      <c r="J77" s="4">
        <v>0.70138888888888995</v>
      </c>
      <c r="K77" s="2">
        <v>0</v>
      </c>
      <c r="L77" t="s">
        <v>5856</v>
      </c>
      <c r="M77" t="s">
        <v>6498</v>
      </c>
      <c r="N77" s="3">
        <v>43314</v>
      </c>
      <c r="O77" s="3">
        <v>43313</v>
      </c>
      <c r="P77" t="s">
        <v>5862</v>
      </c>
      <c r="Q77" t="s">
        <v>6650</v>
      </c>
      <c r="R77" t="s">
        <v>6036</v>
      </c>
      <c r="S77" s="3">
        <v>43314</v>
      </c>
      <c r="T77" t="s">
        <v>9938</v>
      </c>
      <c r="U77" t="s">
        <v>5886</v>
      </c>
      <c r="V77" t="s">
        <v>6559</v>
      </c>
      <c r="W77" t="s">
        <v>5857</v>
      </c>
      <c r="X77" s="2">
        <v>1275</v>
      </c>
      <c r="Y77" t="s">
        <v>5858</v>
      </c>
      <c r="Z77" t="s">
        <v>6037</v>
      </c>
      <c r="AA77" s="2">
        <v>10000</v>
      </c>
      <c r="AB77" t="s">
        <v>5863</v>
      </c>
      <c r="AC77" t="s">
        <v>9978</v>
      </c>
      <c r="AD77" s="32">
        <v>43248</v>
      </c>
      <c r="AI77" t="s">
        <v>9943</v>
      </c>
      <c r="AJ77" t="s">
        <v>9958</v>
      </c>
      <c r="AL77" t="s">
        <v>10492</v>
      </c>
    </row>
    <row r="78" spans="1:38">
      <c r="A78" t="s">
        <v>6533</v>
      </c>
      <c r="B78" t="s">
        <v>11591</v>
      </c>
      <c r="C78" t="s">
        <v>6539</v>
      </c>
      <c r="D78" t="s">
        <v>6540</v>
      </c>
      <c r="E78" s="2">
        <v>10000</v>
      </c>
      <c r="F78" s="2">
        <v>10000</v>
      </c>
      <c r="G78" s="3">
        <v>43311</v>
      </c>
      <c r="H78" s="4">
        <v>0.72222222222221999</v>
      </c>
      <c r="I78" s="3">
        <v>43312</v>
      </c>
      <c r="J78" s="4">
        <v>4.9016203703700002E-2</v>
      </c>
      <c r="K78" s="2">
        <v>20</v>
      </c>
      <c r="L78" t="s">
        <v>5856</v>
      </c>
      <c r="M78" t="s">
        <v>6498</v>
      </c>
      <c r="N78" s="3">
        <v>43314</v>
      </c>
      <c r="O78" s="3">
        <v>43314</v>
      </c>
      <c r="P78" t="s">
        <v>5862</v>
      </c>
      <c r="Q78" t="s">
        <v>6651</v>
      </c>
      <c r="R78" t="s">
        <v>6036</v>
      </c>
      <c r="S78" s="3">
        <v>43314</v>
      </c>
      <c r="T78" t="s">
        <v>9938</v>
      </c>
      <c r="U78" t="s">
        <v>6541</v>
      </c>
      <c r="V78" t="s">
        <v>6542</v>
      </c>
      <c r="W78" t="s">
        <v>5857</v>
      </c>
      <c r="X78" s="2">
        <v>1275</v>
      </c>
      <c r="Y78" t="s">
        <v>5858</v>
      </c>
      <c r="Z78" t="s">
        <v>6037</v>
      </c>
      <c r="AA78" s="2">
        <v>10000</v>
      </c>
      <c r="AB78" t="s">
        <v>5863</v>
      </c>
      <c r="AC78" t="s">
        <v>9974</v>
      </c>
      <c r="AD78" s="32">
        <v>43180</v>
      </c>
      <c r="AJ78" t="s">
        <v>9959</v>
      </c>
      <c r="AL78" t="s">
        <v>10493</v>
      </c>
    </row>
    <row r="79" spans="1:38">
      <c r="A79" t="s">
        <v>6533</v>
      </c>
      <c r="B79" t="s">
        <v>11592</v>
      </c>
      <c r="C79" t="s">
        <v>6652</v>
      </c>
      <c r="D79" t="s">
        <v>6653</v>
      </c>
      <c r="E79" s="2">
        <v>10000</v>
      </c>
      <c r="F79" s="2">
        <v>10000</v>
      </c>
      <c r="G79" s="3">
        <v>43312</v>
      </c>
      <c r="H79" s="4">
        <v>0.67320601851852002</v>
      </c>
      <c r="I79" s="3">
        <v>43313</v>
      </c>
      <c r="J79" s="4">
        <v>0</v>
      </c>
      <c r="K79" s="2">
        <v>20</v>
      </c>
      <c r="L79" t="s">
        <v>5856</v>
      </c>
      <c r="M79" t="s">
        <v>6498</v>
      </c>
      <c r="N79" s="3">
        <v>43315</v>
      </c>
      <c r="O79" s="3">
        <v>43314</v>
      </c>
      <c r="P79" t="s">
        <v>6654</v>
      </c>
      <c r="Q79" t="s">
        <v>6655</v>
      </c>
      <c r="R79" t="s">
        <v>6036</v>
      </c>
      <c r="S79" s="3">
        <v>43315</v>
      </c>
      <c r="T79" t="s">
        <v>9938</v>
      </c>
      <c r="U79" t="s">
        <v>5963</v>
      </c>
      <c r="V79" t="s">
        <v>6656</v>
      </c>
      <c r="W79" t="s">
        <v>5857</v>
      </c>
      <c r="X79" s="2">
        <v>1275</v>
      </c>
      <c r="Y79" t="s">
        <v>5858</v>
      </c>
      <c r="Z79" t="s">
        <v>6037</v>
      </c>
      <c r="AA79" s="2">
        <v>10000</v>
      </c>
      <c r="AB79" t="s">
        <v>5863</v>
      </c>
      <c r="AC79" t="s">
        <v>9978</v>
      </c>
      <c r="AD79" s="32">
        <v>43262</v>
      </c>
      <c r="AI79" t="s">
        <v>9943</v>
      </c>
      <c r="AJ79" t="s">
        <v>9958</v>
      </c>
      <c r="AL79" t="s">
        <v>10494</v>
      </c>
    </row>
    <row r="80" spans="1:38">
      <c r="A80" t="s">
        <v>6533</v>
      </c>
      <c r="B80" t="s">
        <v>11593</v>
      </c>
      <c r="C80" t="s">
        <v>6657</v>
      </c>
      <c r="D80" t="s">
        <v>6658</v>
      </c>
      <c r="E80" s="2">
        <v>5150</v>
      </c>
      <c r="F80" s="2">
        <v>5150</v>
      </c>
      <c r="G80" s="3">
        <v>43316</v>
      </c>
      <c r="H80" s="4">
        <v>0.34395833333332998</v>
      </c>
      <c r="I80" s="3">
        <v>43316</v>
      </c>
      <c r="J80" s="4">
        <v>0.51225694444444003</v>
      </c>
      <c r="K80" s="2">
        <v>20</v>
      </c>
      <c r="L80" t="s">
        <v>5856</v>
      </c>
      <c r="M80" t="s">
        <v>6536</v>
      </c>
      <c r="N80" s="3">
        <v>43319</v>
      </c>
      <c r="O80" s="3">
        <v>43318</v>
      </c>
      <c r="P80" t="s">
        <v>5990</v>
      </c>
      <c r="Q80" t="s">
        <v>6659</v>
      </c>
      <c r="R80" t="s">
        <v>6036</v>
      </c>
      <c r="S80" s="3">
        <v>43319</v>
      </c>
      <c r="T80" t="s">
        <v>9938</v>
      </c>
      <c r="U80" t="s">
        <v>5963</v>
      </c>
      <c r="V80" t="s">
        <v>6660</v>
      </c>
      <c r="W80" t="s">
        <v>5857</v>
      </c>
      <c r="X80" s="2">
        <v>1275</v>
      </c>
      <c r="Y80" t="s">
        <v>5858</v>
      </c>
      <c r="Z80" t="s">
        <v>6037</v>
      </c>
      <c r="AA80" s="2">
        <v>5000</v>
      </c>
      <c r="AB80" t="s">
        <v>5863</v>
      </c>
      <c r="AC80" t="s">
        <v>9978</v>
      </c>
      <c r="AD80" s="32">
        <v>43278</v>
      </c>
      <c r="AJ80" t="s">
        <v>9958</v>
      </c>
      <c r="AL80" t="s">
        <v>13798</v>
      </c>
    </row>
    <row r="81" spans="1:38">
      <c r="A81" t="s">
        <v>6533</v>
      </c>
      <c r="B81" t="s">
        <v>11595</v>
      </c>
      <c r="C81" t="s">
        <v>6539</v>
      </c>
      <c r="D81" t="s">
        <v>6540</v>
      </c>
      <c r="E81" s="2">
        <v>10000</v>
      </c>
      <c r="F81" s="2">
        <v>10000</v>
      </c>
      <c r="G81" s="3">
        <v>43316</v>
      </c>
      <c r="H81" s="4">
        <v>0.72222222222221999</v>
      </c>
      <c r="I81" s="3">
        <v>43317</v>
      </c>
      <c r="J81" s="4">
        <v>4.9016203703700002E-2</v>
      </c>
      <c r="K81" s="2">
        <v>20</v>
      </c>
      <c r="L81" t="s">
        <v>5856</v>
      </c>
      <c r="M81" t="s">
        <v>6498</v>
      </c>
      <c r="N81" s="3">
        <v>43322</v>
      </c>
      <c r="O81" s="3">
        <v>43319</v>
      </c>
      <c r="P81" t="s">
        <v>5862</v>
      </c>
      <c r="Q81" t="s">
        <v>6662</v>
      </c>
      <c r="R81" t="s">
        <v>6036</v>
      </c>
      <c r="S81" s="3">
        <v>43322</v>
      </c>
      <c r="T81" t="s">
        <v>9938</v>
      </c>
      <c r="U81" t="s">
        <v>6541</v>
      </c>
      <c r="V81" t="s">
        <v>6542</v>
      </c>
      <c r="W81" t="s">
        <v>5857</v>
      </c>
      <c r="X81" s="2">
        <v>1275</v>
      </c>
      <c r="Y81" t="s">
        <v>5858</v>
      </c>
      <c r="Z81" t="s">
        <v>6037</v>
      </c>
      <c r="AA81" s="2">
        <v>10000</v>
      </c>
      <c r="AB81" t="s">
        <v>5863</v>
      </c>
      <c r="AC81" t="s">
        <v>9974</v>
      </c>
      <c r="AD81" s="32">
        <v>43180</v>
      </c>
      <c r="AJ81" t="s">
        <v>9959</v>
      </c>
      <c r="AL81" t="s">
        <v>10497</v>
      </c>
    </row>
    <row r="82" spans="1:38">
      <c r="A82" t="s">
        <v>6533</v>
      </c>
      <c r="B82" t="s">
        <v>12812</v>
      </c>
      <c r="C82" t="s">
        <v>12813</v>
      </c>
      <c r="D82" t="s">
        <v>12814</v>
      </c>
      <c r="E82" s="2">
        <v>3090</v>
      </c>
      <c r="F82" s="2">
        <v>3090</v>
      </c>
      <c r="G82" s="3">
        <v>43317</v>
      </c>
      <c r="H82" s="4">
        <v>0.71478009259259001</v>
      </c>
      <c r="I82" s="3">
        <v>43317</v>
      </c>
      <c r="J82" s="4">
        <v>0.81576388888888995</v>
      </c>
      <c r="K82" s="2">
        <v>20</v>
      </c>
      <c r="L82" t="s">
        <v>5856</v>
      </c>
      <c r="M82" t="s">
        <v>6785</v>
      </c>
      <c r="N82" s="3">
        <v>43320</v>
      </c>
      <c r="O82" s="3">
        <v>43319</v>
      </c>
      <c r="P82" t="s">
        <v>5904</v>
      </c>
      <c r="Q82" t="s">
        <v>12815</v>
      </c>
      <c r="R82" t="s">
        <v>6036</v>
      </c>
      <c r="S82" s="3">
        <v>43320</v>
      </c>
      <c r="T82" t="s">
        <v>9938</v>
      </c>
      <c r="U82" t="s">
        <v>12816</v>
      </c>
      <c r="V82" t="s">
        <v>12817</v>
      </c>
      <c r="W82" t="s">
        <v>5857</v>
      </c>
      <c r="X82" s="2">
        <v>1275</v>
      </c>
      <c r="Y82" t="s">
        <v>5858</v>
      </c>
      <c r="Z82" t="s">
        <v>6037</v>
      </c>
      <c r="AA82" s="2">
        <v>3000</v>
      </c>
      <c r="AB82" t="s">
        <v>5863</v>
      </c>
      <c r="AC82" t="s">
        <v>9974</v>
      </c>
      <c r="AD82" s="32">
        <v>43279</v>
      </c>
      <c r="AJ82" t="s">
        <v>9959</v>
      </c>
      <c r="AL82" t="s">
        <v>13799</v>
      </c>
    </row>
    <row r="83" spans="1:38">
      <c r="A83" t="s">
        <v>6533</v>
      </c>
      <c r="B83" t="s">
        <v>11596</v>
      </c>
      <c r="C83" t="s">
        <v>6663</v>
      </c>
      <c r="D83" t="s">
        <v>6664</v>
      </c>
      <c r="E83" s="2">
        <v>5000</v>
      </c>
      <c r="F83" s="2">
        <v>5000</v>
      </c>
      <c r="G83" s="3">
        <v>43317</v>
      </c>
      <c r="H83" s="4">
        <v>0.83659722222221999</v>
      </c>
      <c r="I83" s="3">
        <v>43318</v>
      </c>
      <c r="J83" s="4">
        <v>0</v>
      </c>
      <c r="K83" s="2">
        <v>0</v>
      </c>
      <c r="L83" t="s">
        <v>5856</v>
      </c>
      <c r="M83" t="s">
        <v>6511</v>
      </c>
      <c r="N83" s="3">
        <v>43320</v>
      </c>
      <c r="O83" s="3">
        <v>43319</v>
      </c>
      <c r="P83" t="s">
        <v>5981</v>
      </c>
      <c r="Q83" t="s">
        <v>6665</v>
      </c>
      <c r="R83" t="s">
        <v>6036</v>
      </c>
      <c r="S83" s="3">
        <v>43320</v>
      </c>
      <c r="T83" t="s">
        <v>9938</v>
      </c>
      <c r="U83" t="s">
        <v>6582</v>
      </c>
      <c r="V83" t="s">
        <v>6666</v>
      </c>
      <c r="W83" t="s">
        <v>5857</v>
      </c>
      <c r="X83" s="2">
        <v>1275</v>
      </c>
      <c r="Y83" t="s">
        <v>5858</v>
      </c>
      <c r="Z83" t="s">
        <v>6037</v>
      </c>
      <c r="AA83" s="2">
        <v>5000</v>
      </c>
      <c r="AB83" t="s">
        <v>5863</v>
      </c>
      <c r="AC83" t="s">
        <v>9976</v>
      </c>
      <c r="AD83" s="32">
        <v>43242</v>
      </c>
      <c r="AJ83" t="s">
        <v>9958</v>
      </c>
      <c r="AL83" t="s">
        <v>10498</v>
      </c>
    </row>
    <row r="84" spans="1:38">
      <c r="A84" t="s">
        <v>6533</v>
      </c>
      <c r="B84" t="s">
        <v>11597</v>
      </c>
      <c r="C84" t="s">
        <v>6055</v>
      </c>
      <c r="D84" t="s">
        <v>5895</v>
      </c>
      <c r="E84" s="2">
        <v>5000</v>
      </c>
      <c r="F84" s="2">
        <v>5000</v>
      </c>
      <c r="G84" s="3">
        <v>43318</v>
      </c>
      <c r="H84" s="4">
        <v>0.48896990740740998</v>
      </c>
      <c r="I84" s="3">
        <v>43318</v>
      </c>
      <c r="J84" s="4">
        <v>0.65237268518518998</v>
      </c>
      <c r="K84" s="2">
        <v>20</v>
      </c>
      <c r="L84" t="s">
        <v>5856</v>
      </c>
      <c r="M84" t="s">
        <v>6511</v>
      </c>
      <c r="N84" s="3">
        <v>43321</v>
      </c>
      <c r="O84" s="3">
        <v>43320</v>
      </c>
      <c r="P84" t="s">
        <v>5883</v>
      </c>
      <c r="Q84" t="s">
        <v>6667</v>
      </c>
      <c r="R84" t="s">
        <v>6036</v>
      </c>
      <c r="S84" s="3">
        <v>43321</v>
      </c>
      <c r="T84" t="s">
        <v>9938</v>
      </c>
      <c r="U84" t="s">
        <v>5893</v>
      </c>
      <c r="V84" t="s">
        <v>5896</v>
      </c>
      <c r="W84" t="s">
        <v>5857</v>
      </c>
      <c r="X84" s="2">
        <v>1275</v>
      </c>
      <c r="Y84" t="s">
        <v>5858</v>
      </c>
      <c r="Z84" t="s">
        <v>6037</v>
      </c>
      <c r="AA84" s="2">
        <v>5000</v>
      </c>
      <c r="AB84" t="s">
        <v>5863</v>
      </c>
      <c r="AC84" t="s">
        <v>9978</v>
      </c>
      <c r="AD84" s="32">
        <v>43251</v>
      </c>
      <c r="AJ84" t="s">
        <v>9958</v>
      </c>
      <c r="AL84" t="s">
        <v>10499</v>
      </c>
    </row>
    <row r="85" spans="1:38">
      <c r="A85" t="s">
        <v>6533</v>
      </c>
      <c r="B85" t="s">
        <v>11598</v>
      </c>
      <c r="C85" t="s">
        <v>6557</v>
      </c>
      <c r="D85" t="s">
        <v>6558</v>
      </c>
      <c r="E85" s="2">
        <v>10000</v>
      </c>
      <c r="F85" s="2">
        <v>10000</v>
      </c>
      <c r="G85" s="3">
        <v>43318</v>
      </c>
      <c r="H85" s="4">
        <v>0.56903935185184995</v>
      </c>
      <c r="I85" s="3">
        <v>43318</v>
      </c>
      <c r="J85" s="4">
        <v>0.89583333333333004</v>
      </c>
      <c r="K85" s="2">
        <v>0</v>
      </c>
      <c r="L85" t="s">
        <v>5856</v>
      </c>
      <c r="M85" t="s">
        <v>6498</v>
      </c>
      <c r="N85" s="3">
        <v>43321</v>
      </c>
      <c r="O85" s="3">
        <v>43320</v>
      </c>
      <c r="P85" t="s">
        <v>5862</v>
      </c>
      <c r="Q85" t="s">
        <v>6668</v>
      </c>
      <c r="R85" t="s">
        <v>6036</v>
      </c>
      <c r="S85" s="3">
        <v>43321</v>
      </c>
      <c r="T85" t="s">
        <v>9938</v>
      </c>
      <c r="U85" t="s">
        <v>5886</v>
      </c>
      <c r="V85" t="s">
        <v>6559</v>
      </c>
      <c r="W85" t="s">
        <v>5857</v>
      </c>
      <c r="X85" s="2">
        <v>1275</v>
      </c>
      <c r="Y85" t="s">
        <v>5858</v>
      </c>
      <c r="Z85" t="s">
        <v>6037</v>
      </c>
      <c r="AA85" s="2">
        <v>10000</v>
      </c>
      <c r="AB85" t="s">
        <v>5863</v>
      </c>
      <c r="AC85" t="s">
        <v>9978</v>
      </c>
      <c r="AD85" s="32">
        <v>43217</v>
      </c>
      <c r="AI85" t="s">
        <v>9943</v>
      </c>
      <c r="AJ85" t="s">
        <v>9958</v>
      </c>
      <c r="AL85" t="s">
        <v>10500</v>
      </c>
    </row>
    <row r="86" spans="1:38">
      <c r="A86" t="s">
        <v>6533</v>
      </c>
      <c r="B86" t="s">
        <v>11599</v>
      </c>
      <c r="C86" t="s">
        <v>6618</v>
      </c>
      <c r="D86" t="s">
        <v>6619</v>
      </c>
      <c r="E86" s="2">
        <v>10000</v>
      </c>
      <c r="F86" s="2">
        <v>10000</v>
      </c>
      <c r="G86" s="3">
        <v>43318</v>
      </c>
      <c r="H86" s="4">
        <v>0.67320601851852002</v>
      </c>
      <c r="I86" s="3">
        <v>43319</v>
      </c>
      <c r="J86" s="4">
        <v>0</v>
      </c>
      <c r="K86" s="2">
        <v>20</v>
      </c>
      <c r="L86" t="s">
        <v>5856</v>
      </c>
      <c r="M86" t="s">
        <v>6498</v>
      </c>
      <c r="N86" s="3">
        <v>43321</v>
      </c>
      <c r="O86" s="3">
        <v>43320</v>
      </c>
      <c r="P86" t="s">
        <v>5883</v>
      </c>
      <c r="Q86" t="s">
        <v>6669</v>
      </c>
      <c r="R86" t="s">
        <v>6036</v>
      </c>
      <c r="S86" s="3">
        <v>43321</v>
      </c>
      <c r="T86" t="s">
        <v>9938</v>
      </c>
      <c r="U86" t="s">
        <v>6621</v>
      </c>
      <c r="V86" t="s">
        <v>6622</v>
      </c>
      <c r="W86" t="s">
        <v>5857</v>
      </c>
      <c r="X86" s="2">
        <v>1275</v>
      </c>
      <c r="Y86" t="s">
        <v>5858</v>
      </c>
      <c r="Z86" t="s">
        <v>6037</v>
      </c>
      <c r="AA86" s="2">
        <v>10000</v>
      </c>
      <c r="AB86" t="s">
        <v>5863</v>
      </c>
      <c r="AC86" t="s">
        <v>9978</v>
      </c>
      <c r="AD86" s="32">
        <v>43248</v>
      </c>
      <c r="AI86" t="s">
        <v>9945</v>
      </c>
      <c r="AJ86" t="s">
        <v>9958</v>
      </c>
      <c r="AL86" t="s">
        <v>10501</v>
      </c>
    </row>
    <row r="87" spans="1:38">
      <c r="A87" t="s">
        <v>6533</v>
      </c>
      <c r="B87" t="s">
        <v>11600</v>
      </c>
      <c r="C87" t="s">
        <v>6670</v>
      </c>
      <c r="D87" t="s">
        <v>6671</v>
      </c>
      <c r="E87" s="2">
        <v>22000</v>
      </c>
      <c r="F87" s="2">
        <v>22000</v>
      </c>
      <c r="G87" s="3">
        <v>43322</v>
      </c>
      <c r="H87" s="4">
        <v>0.38887731481481003</v>
      </c>
      <c r="I87" s="3">
        <v>43323</v>
      </c>
      <c r="J87" s="4">
        <v>0.10783564814815</v>
      </c>
      <c r="K87" s="2">
        <v>0</v>
      </c>
      <c r="L87" t="s">
        <v>5856</v>
      </c>
      <c r="M87" t="s">
        <v>6672</v>
      </c>
      <c r="N87" s="3"/>
      <c r="O87" s="3">
        <v>43325</v>
      </c>
      <c r="P87" t="s">
        <v>6673</v>
      </c>
      <c r="Q87" t="s">
        <v>8871</v>
      </c>
      <c r="R87" t="s">
        <v>6036</v>
      </c>
      <c r="S87" s="3">
        <v>43325</v>
      </c>
      <c r="T87" t="s">
        <v>9938</v>
      </c>
      <c r="U87" t="s">
        <v>6675</v>
      </c>
      <c r="V87" t="s">
        <v>6067</v>
      </c>
      <c r="W87" t="s">
        <v>5857</v>
      </c>
      <c r="X87" s="2">
        <v>0</v>
      </c>
      <c r="Y87" t="s">
        <v>5858</v>
      </c>
      <c r="Z87" t="s">
        <v>6037</v>
      </c>
      <c r="AA87" s="2">
        <v>22000</v>
      </c>
      <c r="AB87" t="s">
        <v>5861</v>
      </c>
      <c r="AC87" t="s">
        <v>9979</v>
      </c>
      <c r="AD87" s="32"/>
      <c r="AJ87" t="s">
        <v>9958</v>
      </c>
      <c r="AL87" t="s">
        <v>10502</v>
      </c>
    </row>
    <row r="88" spans="1:38">
      <c r="A88" t="s">
        <v>6533</v>
      </c>
      <c r="B88" t="s">
        <v>11601</v>
      </c>
      <c r="C88" t="s">
        <v>6646</v>
      </c>
      <c r="D88" t="s">
        <v>6647</v>
      </c>
      <c r="E88" s="2">
        <v>5000</v>
      </c>
      <c r="F88" s="2">
        <v>5000</v>
      </c>
      <c r="G88" s="3">
        <v>43323</v>
      </c>
      <c r="H88" s="4">
        <v>0.53797453703704001</v>
      </c>
      <c r="I88" s="3">
        <v>43323</v>
      </c>
      <c r="J88" s="4">
        <v>0.70137731481481003</v>
      </c>
      <c r="K88" s="2">
        <v>20</v>
      </c>
      <c r="L88" t="s">
        <v>5856</v>
      </c>
      <c r="M88" t="s">
        <v>6511</v>
      </c>
      <c r="N88" s="3">
        <v>43326</v>
      </c>
      <c r="O88" s="3">
        <v>43325</v>
      </c>
      <c r="P88" t="s">
        <v>5978</v>
      </c>
      <c r="Q88" t="s">
        <v>6676</v>
      </c>
      <c r="R88" t="s">
        <v>6036</v>
      </c>
      <c r="S88" s="3">
        <v>43326</v>
      </c>
      <c r="T88" t="s">
        <v>9938</v>
      </c>
      <c r="U88" t="s">
        <v>5893</v>
      </c>
      <c r="V88" t="s">
        <v>6649</v>
      </c>
      <c r="W88" t="s">
        <v>5857</v>
      </c>
      <c r="X88" s="2">
        <v>1275</v>
      </c>
      <c r="Y88" t="s">
        <v>5858</v>
      </c>
      <c r="Z88" t="s">
        <v>6037</v>
      </c>
      <c r="AA88" s="2">
        <v>5000</v>
      </c>
      <c r="AB88" t="s">
        <v>5863</v>
      </c>
      <c r="AC88" t="s">
        <v>9978</v>
      </c>
      <c r="AD88" s="32"/>
      <c r="AI88" t="s">
        <v>9943</v>
      </c>
      <c r="AJ88" t="s">
        <v>9958</v>
      </c>
      <c r="AL88" t="s">
        <v>10503</v>
      </c>
    </row>
    <row r="89" spans="1:38">
      <c r="A89" t="s">
        <v>6533</v>
      </c>
      <c r="B89" t="s">
        <v>11602</v>
      </c>
      <c r="C89" t="s">
        <v>6670</v>
      </c>
      <c r="D89" t="s">
        <v>6671</v>
      </c>
      <c r="E89" s="2">
        <v>10000</v>
      </c>
      <c r="F89" s="2">
        <v>10000</v>
      </c>
      <c r="G89" s="3">
        <v>43323</v>
      </c>
      <c r="H89" s="4">
        <v>0.72221064814814995</v>
      </c>
      <c r="I89" s="3">
        <v>43324</v>
      </c>
      <c r="J89" s="4">
        <v>4.9004629629630002E-2</v>
      </c>
      <c r="K89" s="2">
        <v>0</v>
      </c>
      <c r="L89" t="s">
        <v>5856</v>
      </c>
      <c r="M89" t="s">
        <v>6498</v>
      </c>
      <c r="N89" s="3"/>
      <c r="O89" s="3">
        <v>43326</v>
      </c>
      <c r="P89" t="s">
        <v>6673</v>
      </c>
      <c r="Q89" t="s">
        <v>12818</v>
      </c>
      <c r="R89" t="s">
        <v>6036</v>
      </c>
      <c r="S89" s="3">
        <v>43327</v>
      </c>
      <c r="T89" t="s">
        <v>9938</v>
      </c>
      <c r="U89" t="s">
        <v>6675</v>
      </c>
      <c r="V89" t="s">
        <v>6067</v>
      </c>
      <c r="W89" t="s">
        <v>5857</v>
      </c>
      <c r="X89" s="2">
        <v>0</v>
      </c>
      <c r="Y89" t="s">
        <v>5858</v>
      </c>
      <c r="Z89" t="s">
        <v>6037</v>
      </c>
      <c r="AA89" s="2">
        <v>10000</v>
      </c>
      <c r="AB89" t="s">
        <v>5861</v>
      </c>
      <c r="AC89" t="s">
        <v>9979</v>
      </c>
      <c r="AD89" s="32"/>
      <c r="AJ89" t="s">
        <v>9958</v>
      </c>
      <c r="AL89" t="s">
        <v>10504</v>
      </c>
    </row>
    <row r="90" spans="1:38">
      <c r="A90" t="s">
        <v>6533</v>
      </c>
      <c r="B90" t="s">
        <v>11603</v>
      </c>
      <c r="C90" t="s">
        <v>6618</v>
      </c>
      <c r="D90" t="s">
        <v>6619</v>
      </c>
      <c r="E90" s="2">
        <v>20000</v>
      </c>
      <c r="F90" s="2">
        <v>20000</v>
      </c>
      <c r="G90" s="3">
        <v>43324</v>
      </c>
      <c r="H90" s="4">
        <v>0.34640046296296001</v>
      </c>
      <c r="I90" s="3">
        <v>43325</v>
      </c>
      <c r="J90" s="4">
        <v>0</v>
      </c>
      <c r="K90" s="2">
        <v>20</v>
      </c>
      <c r="L90" t="s">
        <v>5856</v>
      </c>
      <c r="M90" t="s">
        <v>6494</v>
      </c>
      <c r="N90" s="3">
        <v>43327</v>
      </c>
      <c r="O90" s="3">
        <v>43326</v>
      </c>
      <c r="P90" t="s">
        <v>5883</v>
      </c>
      <c r="Q90" t="s">
        <v>6677</v>
      </c>
      <c r="R90" t="s">
        <v>6036</v>
      </c>
      <c r="S90" s="3">
        <v>43327</v>
      </c>
      <c r="T90" t="s">
        <v>9938</v>
      </c>
      <c r="U90" t="s">
        <v>6621</v>
      </c>
      <c r="V90" t="s">
        <v>6622</v>
      </c>
      <c r="W90" t="s">
        <v>5857</v>
      </c>
      <c r="X90" s="2">
        <v>1275</v>
      </c>
      <c r="Y90" t="s">
        <v>5858</v>
      </c>
      <c r="Z90" t="s">
        <v>6037</v>
      </c>
      <c r="AA90" s="2">
        <v>20000</v>
      </c>
      <c r="AB90" t="s">
        <v>5863</v>
      </c>
      <c r="AC90" t="s">
        <v>9978</v>
      </c>
      <c r="AD90" s="32"/>
      <c r="AI90" t="s">
        <v>9945</v>
      </c>
      <c r="AJ90" t="s">
        <v>9958</v>
      </c>
      <c r="AL90" t="s">
        <v>10505</v>
      </c>
    </row>
    <row r="91" spans="1:38">
      <c r="A91" t="s">
        <v>6533</v>
      </c>
      <c r="B91" t="s">
        <v>11604</v>
      </c>
      <c r="C91" t="s">
        <v>6539</v>
      </c>
      <c r="D91" t="s">
        <v>6540</v>
      </c>
      <c r="E91" s="2">
        <v>10000</v>
      </c>
      <c r="F91" s="2">
        <v>10000</v>
      </c>
      <c r="G91" s="3">
        <v>43330</v>
      </c>
      <c r="H91" s="4">
        <v>0.72222222222221999</v>
      </c>
      <c r="I91" s="3">
        <v>43331</v>
      </c>
      <c r="J91" s="4">
        <v>4.9016203703700002E-2</v>
      </c>
      <c r="K91" s="2">
        <v>20</v>
      </c>
      <c r="L91" t="s">
        <v>5856</v>
      </c>
      <c r="M91" t="s">
        <v>6498</v>
      </c>
      <c r="N91" s="3">
        <v>43336</v>
      </c>
      <c r="O91" s="3">
        <v>43333</v>
      </c>
      <c r="P91" t="s">
        <v>5862</v>
      </c>
      <c r="Q91" t="s">
        <v>6678</v>
      </c>
      <c r="R91" t="s">
        <v>6036</v>
      </c>
      <c r="S91" s="3">
        <v>43336</v>
      </c>
      <c r="T91" t="s">
        <v>9938</v>
      </c>
      <c r="U91" t="s">
        <v>6541</v>
      </c>
      <c r="V91" t="s">
        <v>6542</v>
      </c>
      <c r="W91" t="s">
        <v>5857</v>
      </c>
      <c r="X91" s="2">
        <v>1275</v>
      </c>
      <c r="Y91" t="s">
        <v>5858</v>
      </c>
      <c r="Z91" t="s">
        <v>6037</v>
      </c>
      <c r="AA91" s="2">
        <v>10000</v>
      </c>
      <c r="AB91" t="s">
        <v>5863</v>
      </c>
      <c r="AC91" t="s">
        <v>9974</v>
      </c>
      <c r="AD91" s="32"/>
      <c r="AJ91" t="s">
        <v>9959</v>
      </c>
      <c r="AL91" t="s">
        <v>10506</v>
      </c>
    </row>
    <row r="92" spans="1:38">
      <c r="A92" t="s">
        <v>6533</v>
      </c>
      <c r="B92" t="s">
        <v>11605</v>
      </c>
      <c r="C92" t="s">
        <v>6630</v>
      </c>
      <c r="D92" t="s">
        <v>6631</v>
      </c>
      <c r="E92" s="2">
        <v>5000</v>
      </c>
      <c r="F92" s="2">
        <v>5000</v>
      </c>
      <c r="G92" s="3">
        <v>43331</v>
      </c>
      <c r="H92" s="4">
        <v>0.16216435185184999</v>
      </c>
      <c r="I92" s="3">
        <v>43331</v>
      </c>
      <c r="J92" s="4">
        <v>0.32556712962963003</v>
      </c>
      <c r="K92" s="2">
        <v>0</v>
      </c>
      <c r="L92" t="s">
        <v>5856</v>
      </c>
      <c r="M92" t="s">
        <v>6511</v>
      </c>
      <c r="N92" s="3">
        <v>43334</v>
      </c>
      <c r="O92" s="3">
        <v>43333</v>
      </c>
      <c r="P92" t="s">
        <v>5883</v>
      </c>
      <c r="Q92" t="s">
        <v>6679</v>
      </c>
      <c r="R92" t="s">
        <v>6036</v>
      </c>
      <c r="S92" s="3">
        <v>43334</v>
      </c>
      <c r="T92" t="s">
        <v>9938</v>
      </c>
      <c r="U92" t="s">
        <v>5886</v>
      </c>
      <c r="V92" t="s">
        <v>6633</v>
      </c>
      <c r="W92" t="s">
        <v>5857</v>
      </c>
      <c r="X92" s="2">
        <v>1275</v>
      </c>
      <c r="Y92" t="s">
        <v>5858</v>
      </c>
      <c r="Z92" t="s">
        <v>6037</v>
      </c>
      <c r="AA92" s="2">
        <v>5000</v>
      </c>
      <c r="AB92" t="s">
        <v>5863</v>
      </c>
      <c r="AC92" t="s">
        <v>9978</v>
      </c>
      <c r="AD92" s="32"/>
      <c r="AJ92" t="s">
        <v>9958</v>
      </c>
      <c r="AL92" t="s">
        <v>10507</v>
      </c>
    </row>
    <row r="93" spans="1:38">
      <c r="A93" t="s">
        <v>6533</v>
      </c>
      <c r="B93" t="s">
        <v>11606</v>
      </c>
      <c r="C93" t="s">
        <v>6543</v>
      </c>
      <c r="D93" t="s">
        <v>6544</v>
      </c>
      <c r="E93" s="2">
        <v>5000</v>
      </c>
      <c r="F93" s="2">
        <v>5000</v>
      </c>
      <c r="G93" s="3">
        <v>43331</v>
      </c>
      <c r="H93" s="4">
        <v>0.55023148148148004</v>
      </c>
      <c r="I93" s="3">
        <v>43331</v>
      </c>
      <c r="J93" s="4">
        <v>0.71363425925926005</v>
      </c>
      <c r="K93" s="2">
        <v>0</v>
      </c>
      <c r="L93" t="s">
        <v>5856</v>
      </c>
      <c r="M93" t="s">
        <v>6511</v>
      </c>
      <c r="N93" s="3">
        <v>43334</v>
      </c>
      <c r="O93" s="3">
        <v>43333</v>
      </c>
      <c r="P93" t="s">
        <v>5883</v>
      </c>
      <c r="Q93" t="s">
        <v>6680</v>
      </c>
      <c r="R93" t="s">
        <v>6036</v>
      </c>
      <c r="S93" s="3">
        <v>43334</v>
      </c>
      <c r="T93" t="s">
        <v>9938</v>
      </c>
      <c r="U93" t="s">
        <v>5886</v>
      </c>
      <c r="V93" t="s">
        <v>6545</v>
      </c>
      <c r="W93" t="s">
        <v>5857</v>
      </c>
      <c r="X93" s="2">
        <v>1275</v>
      </c>
      <c r="Y93" t="s">
        <v>5858</v>
      </c>
      <c r="Z93" t="s">
        <v>6037</v>
      </c>
      <c r="AA93" s="2">
        <v>5000</v>
      </c>
      <c r="AB93" t="s">
        <v>5863</v>
      </c>
      <c r="AC93" t="s">
        <v>9978</v>
      </c>
      <c r="AD93" s="32"/>
      <c r="AJ93" t="s">
        <v>9958</v>
      </c>
      <c r="AL93" t="s">
        <v>10508</v>
      </c>
    </row>
    <row r="94" spans="1:38">
      <c r="A94" t="s">
        <v>6533</v>
      </c>
      <c r="B94" t="s">
        <v>11607</v>
      </c>
      <c r="C94" t="s">
        <v>6646</v>
      </c>
      <c r="D94" t="s">
        <v>6647</v>
      </c>
      <c r="E94" s="2">
        <v>5000</v>
      </c>
      <c r="F94" s="2">
        <v>5000</v>
      </c>
      <c r="G94" s="3">
        <v>43332</v>
      </c>
      <c r="H94" s="4">
        <v>0.83659722222221999</v>
      </c>
      <c r="I94" s="3">
        <v>43333</v>
      </c>
      <c r="J94" s="4">
        <v>0</v>
      </c>
      <c r="K94" s="2">
        <v>20</v>
      </c>
      <c r="L94" t="s">
        <v>5856</v>
      </c>
      <c r="M94" t="s">
        <v>6511</v>
      </c>
      <c r="N94" s="3">
        <v>43335</v>
      </c>
      <c r="O94" s="3">
        <v>43334</v>
      </c>
      <c r="P94" t="s">
        <v>5978</v>
      </c>
      <c r="Q94" t="s">
        <v>6681</v>
      </c>
      <c r="R94" t="s">
        <v>6036</v>
      </c>
      <c r="S94" s="3">
        <v>43335</v>
      </c>
      <c r="T94" t="s">
        <v>9938</v>
      </c>
      <c r="U94" t="s">
        <v>5893</v>
      </c>
      <c r="V94" t="s">
        <v>6649</v>
      </c>
      <c r="W94" t="s">
        <v>5857</v>
      </c>
      <c r="X94" s="2">
        <v>1275</v>
      </c>
      <c r="Y94" t="s">
        <v>5858</v>
      </c>
      <c r="Z94" t="s">
        <v>6037</v>
      </c>
      <c r="AA94" s="2">
        <v>5000</v>
      </c>
      <c r="AB94" t="s">
        <v>5863</v>
      </c>
      <c r="AC94" t="s">
        <v>9978</v>
      </c>
      <c r="AD94" s="32"/>
      <c r="AI94" t="s">
        <v>9943</v>
      </c>
      <c r="AJ94" t="s">
        <v>9958</v>
      </c>
      <c r="AL94" t="s">
        <v>10509</v>
      </c>
    </row>
    <row r="95" spans="1:38">
      <c r="A95" t="s">
        <v>6533</v>
      </c>
      <c r="B95" t="s">
        <v>11608</v>
      </c>
      <c r="C95" t="s">
        <v>6543</v>
      </c>
      <c r="D95" t="s">
        <v>6544</v>
      </c>
      <c r="E95" s="2">
        <v>5000</v>
      </c>
      <c r="F95" s="2">
        <v>5000</v>
      </c>
      <c r="G95" s="3">
        <v>43335</v>
      </c>
      <c r="H95" s="4">
        <v>0.4419212962963</v>
      </c>
      <c r="I95" s="3">
        <v>43335</v>
      </c>
      <c r="J95" s="4">
        <v>0.60532407407406996</v>
      </c>
      <c r="K95" s="2">
        <v>20</v>
      </c>
      <c r="L95" t="s">
        <v>5856</v>
      </c>
      <c r="M95" t="s">
        <v>6511</v>
      </c>
      <c r="N95" s="3">
        <v>43339</v>
      </c>
      <c r="O95" s="3">
        <v>43337</v>
      </c>
      <c r="P95" t="s">
        <v>5883</v>
      </c>
      <c r="Q95" t="s">
        <v>6682</v>
      </c>
      <c r="R95" t="s">
        <v>6036</v>
      </c>
      <c r="S95" s="3">
        <v>43339</v>
      </c>
      <c r="T95" t="s">
        <v>9938</v>
      </c>
      <c r="U95" t="s">
        <v>5886</v>
      </c>
      <c r="V95" t="s">
        <v>6545</v>
      </c>
      <c r="W95" t="s">
        <v>5857</v>
      </c>
      <c r="X95" s="2">
        <v>1275</v>
      </c>
      <c r="Y95" t="s">
        <v>5858</v>
      </c>
      <c r="Z95" t="s">
        <v>6037</v>
      </c>
      <c r="AA95" s="2">
        <v>5000</v>
      </c>
      <c r="AB95" t="s">
        <v>5863</v>
      </c>
      <c r="AC95" t="s">
        <v>9978</v>
      </c>
      <c r="AD95" s="32"/>
      <c r="AJ95" t="s">
        <v>9958</v>
      </c>
      <c r="AL95" t="s">
        <v>10510</v>
      </c>
    </row>
    <row r="96" spans="1:38">
      <c r="A96" t="s">
        <v>6533</v>
      </c>
      <c r="B96" t="s">
        <v>12819</v>
      </c>
      <c r="C96" t="s">
        <v>12805</v>
      </c>
      <c r="D96" t="s">
        <v>12806</v>
      </c>
      <c r="E96" s="2">
        <v>8240</v>
      </c>
      <c r="F96" s="2">
        <v>8240</v>
      </c>
      <c r="G96" s="3">
        <v>43336</v>
      </c>
      <c r="H96" s="4">
        <v>0.31322916666667</v>
      </c>
      <c r="I96" s="3">
        <v>43336</v>
      </c>
      <c r="J96" s="4">
        <v>0.58251157407406995</v>
      </c>
      <c r="K96" s="2">
        <v>20</v>
      </c>
      <c r="L96" t="s">
        <v>5856</v>
      </c>
      <c r="M96" t="s">
        <v>12807</v>
      </c>
      <c r="N96" s="3">
        <v>43339</v>
      </c>
      <c r="O96" s="3">
        <v>43338</v>
      </c>
      <c r="P96" t="s">
        <v>5960</v>
      </c>
      <c r="Q96" t="s">
        <v>12820</v>
      </c>
      <c r="R96" t="s">
        <v>6036</v>
      </c>
      <c r="S96" s="3">
        <v>43339</v>
      </c>
      <c r="T96" t="s">
        <v>9938</v>
      </c>
      <c r="U96" t="s">
        <v>6507</v>
      </c>
      <c r="V96" t="s">
        <v>6538</v>
      </c>
      <c r="W96" t="s">
        <v>5857</v>
      </c>
      <c r="X96" s="2">
        <v>1275</v>
      </c>
      <c r="Y96" t="s">
        <v>5858</v>
      </c>
      <c r="Z96" t="s">
        <v>6037</v>
      </c>
      <c r="AA96" s="2">
        <v>8000</v>
      </c>
      <c r="AB96" t="s">
        <v>5863</v>
      </c>
      <c r="AC96" t="s">
        <v>9976</v>
      </c>
      <c r="AD96" s="32"/>
      <c r="AJ96" t="s">
        <v>9960</v>
      </c>
      <c r="AL96" t="s">
        <v>13800</v>
      </c>
    </row>
    <row r="97" spans="1:38">
      <c r="A97" t="s">
        <v>6533</v>
      </c>
      <c r="B97" t="s">
        <v>11609</v>
      </c>
      <c r="C97" t="s">
        <v>6683</v>
      </c>
      <c r="D97" t="s">
        <v>6684</v>
      </c>
      <c r="E97" s="2">
        <v>3000</v>
      </c>
      <c r="F97" s="2">
        <v>3000</v>
      </c>
      <c r="G97" s="3">
        <v>43336</v>
      </c>
      <c r="H97" s="4">
        <v>0.60334490740740998</v>
      </c>
      <c r="I97" s="3">
        <v>43336</v>
      </c>
      <c r="J97" s="4">
        <v>0.70138888888888995</v>
      </c>
      <c r="K97" s="2">
        <v>20</v>
      </c>
      <c r="L97" t="s">
        <v>5856</v>
      </c>
      <c r="M97" t="s">
        <v>6634</v>
      </c>
      <c r="N97" s="3">
        <v>43339</v>
      </c>
      <c r="O97" s="3">
        <v>43338</v>
      </c>
      <c r="P97" t="s">
        <v>5862</v>
      </c>
      <c r="Q97" t="s">
        <v>6685</v>
      </c>
      <c r="R97" t="s">
        <v>6036</v>
      </c>
      <c r="S97" s="3">
        <v>43339</v>
      </c>
      <c r="T97" t="s">
        <v>9938</v>
      </c>
      <c r="U97" t="s">
        <v>6686</v>
      </c>
      <c r="V97" t="s">
        <v>6687</v>
      </c>
      <c r="W97" t="s">
        <v>5857</v>
      </c>
      <c r="X97" s="2">
        <v>1275</v>
      </c>
      <c r="Y97" t="s">
        <v>5858</v>
      </c>
      <c r="Z97" t="s">
        <v>6037</v>
      </c>
      <c r="AA97" s="2">
        <v>3000</v>
      </c>
      <c r="AB97" t="s">
        <v>5863</v>
      </c>
      <c r="AD97" s="32"/>
      <c r="AJ97" t="s">
        <v>9958</v>
      </c>
      <c r="AL97" t="s">
        <v>10511</v>
      </c>
    </row>
    <row r="98" spans="1:38">
      <c r="A98" t="s">
        <v>6533</v>
      </c>
      <c r="B98" t="s">
        <v>11610</v>
      </c>
      <c r="C98" t="s">
        <v>6688</v>
      </c>
      <c r="D98" t="s">
        <v>6689</v>
      </c>
      <c r="E98" s="2">
        <v>10000</v>
      </c>
      <c r="F98" s="2">
        <v>10000</v>
      </c>
      <c r="G98" s="3">
        <v>43336</v>
      </c>
      <c r="H98" s="4">
        <v>0.72222222222221999</v>
      </c>
      <c r="I98" s="3">
        <v>43337</v>
      </c>
      <c r="J98" s="4">
        <v>4.9016203703700002E-2</v>
      </c>
      <c r="K98" s="2">
        <v>20</v>
      </c>
      <c r="L98" t="s">
        <v>5856</v>
      </c>
      <c r="M98" t="s">
        <v>6498</v>
      </c>
      <c r="N98" s="3">
        <v>43342</v>
      </c>
      <c r="O98" s="3">
        <v>43339</v>
      </c>
      <c r="P98" t="s">
        <v>6580</v>
      </c>
      <c r="Q98" t="s">
        <v>6690</v>
      </c>
      <c r="R98" t="s">
        <v>6036</v>
      </c>
      <c r="S98" s="3">
        <v>43342</v>
      </c>
      <c r="T98" t="s">
        <v>9938</v>
      </c>
      <c r="U98" t="s">
        <v>6537</v>
      </c>
      <c r="V98" t="s">
        <v>6691</v>
      </c>
      <c r="W98" t="s">
        <v>5857</v>
      </c>
      <c r="X98" s="2">
        <v>1275</v>
      </c>
      <c r="Y98" t="s">
        <v>5858</v>
      </c>
      <c r="Z98" t="s">
        <v>6037</v>
      </c>
      <c r="AA98" s="2">
        <v>10000</v>
      </c>
      <c r="AB98" t="s">
        <v>5863</v>
      </c>
      <c r="AC98" t="s">
        <v>9976</v>
      </c>
      <c r="AD98" s="32"/>
      <c r="AJ98" t="s">
        <v>9960</v>
      </c>
      <c r="AL98" t="s">
        <v>10512</v>
      </c>
    </row>
    <row r="99" spans="1:38">
      <c r="A99" t="s">
        <v>6533</v>
      </c>
      <c r="B99" t="s">
        <v>11611</v>
      </c>
      <c r="C99" t="s">
        <v>6539</v>
      </c>
      <c r="D99" t="s">
        <v>6540</v>
      </c>
      <c r="E99" s="2">
        <v>10000</v>
      </c>
      <c r="F99" s="2">
        <v>10000</v>
      </c>
      <c r="G99" s="3">
        <v>43343</v>
      </c>
      <c r="H99" s="4">
        <v>0.72222222222221999</v>
      </c>
      <c r="I99" s="3">
        <v>43344</v>
      </c>
      <c r="J99" s="4">
        <v>4.9016203703700002E-2</v>
      </c>
      <c r="K99" s="2">
        <v>20</v>
      </c>
      <c r="L99" t="s">
        <v>5856</v>
      </c>
      <c r="M99" t="s">
        <v>6498</v>
      </c>
      <c r="N99" s="3">
        <v>43349</v>
      </c>
      <c r="O99" s="3">
        <v>43346</v>
      </c>
      <c r="P99" t="s">
        <v>5862</v>
      </c>
      <c r="Q99" t="s">
        <v>6692</v>
      </c>
      <c r="R99" t="s">
        <v>6036</v>
      </c>
      <c r="S99" s="3">
        <v>43349</v>
      </c>
      <c r="T99" t="s">
        <v>9938</v>
      </c>
      <c r="U99" t="s">
        <v>6541</v>
      </c>
      <c r="V99" t="s">
        <v>6542</v>
      </c>
      <c r="W99" t="s">
        <v>5857</v>
      </c>
      <c r="X99" s="2">
        <v>1275</v>
      </c>
      <c r="Y99" t="s">
        <v>5858</v>
      </c>
      <c r="Z99" t="s">
        <v>6037</v>
      </c>
      <c r="AA99" s="2">
        <v>10000</v>
      </c>
      <c r="AB99" t="s">
        <v>5863</v>
      </c>
      <c r="AC99" t="s">
        <v>9974</v>
      </c>
      <c r="AD99" s="32"/>
      <c r="AJ99" t="s">
        <v>9959</v>
      </c>
      <c r="AL99" t="s">
        <v>10513</v>
      </c>
    </row>
    <row r="100" spans="1:38">
      <c r="A100" t="s">
        <v>6533</v>
      </c>
      <c r="B100" t="s">
        <v>11612</v>
      </c>
      <c r="C100" t="s">
        <v>6642</v>
      </c>
      <c r="D100" t="s">
        <v>6643</v>
      </c>
      <c r="E100" s="2">
        <v>20000</v>
      </c>
      <c r="F100" s="2">
        <v>20000</v>
      </c>
      <c r="G100" s="3">
        <v>43344</v>
      </c>
      <c r="H100" s="4">
        <v>0.34640046296296001</v>
      </c>
      <c r="I100" s="3">
        <v>43345</v>
      </c>
      <c r="J100" s="4">
        <v>0</v>
      </c>
      <c r="K100" s="2">
        <v>20</v>
      </c>
      <c r="L100" t="s">
        <v>5856</v>
      </c>
      <c r="M100" t="s">
        <v>6494</v>
      </c>
      <c r="N100" s="3">
        <v>43347</v>
      </c>
      <c r="O100" s="3">
        <v>43346</v>
      </c>
      <c r="P100" t="s">
        <v>5885</v>
      </c>
      <c r="Q100" t="s">
        <v>6693</v>
      </c>
      <c r="R100" t="s">
        <v>6036</v>
      </c>
      <c r="S100" s="3">
        <v>43347</v>
      </c>
      <c r="T100" t="s">
        <v>9938</v>
      </c>
      <c r="U100" t="s">
        <v>5886</v>
      </c>
      <c r="V100" t="s">
        <v>6645</v>
      </c>
      <c r="W100" t="s">
        <v>5857</v>
      </c>
      <c r="X100" s="2">
        <v>1275</v>
      </c>
      <c r="Y100" t="s">
        <v>5858</v>
      </c>
      <c r="Z100" t="s">
        <v>6037</v>
      </c>
      <c r="AA100" s="2">
        <v>20000</v>
      </c>
      <c r="AB100" t="s">
        <v>5863</v>
      </c>
      <c r="AC100" t="s">
        <v>9978</v>
      </c>
      <c r="AD100" s="32"/>
      <c r="AJ100" t="s">
        <v>9958</v>
      </c>
      <c r="AL100" t="s">
        <v>10514</v>
      </c>
    </row>
    <row r="101" spans="1:38">
      <c r="A101" t="s">
        <v>6533</v>
      </c>
      <c r="B101" t="s">
        <v>12821</v>
      </c>
      <c r="C101" t="s">
        <v>6534</v>
      </c>
      <c r="D101" t="s">
        <v>6535</v>
      </c>
      <c r="E101" s="2">
        <v>5150</v>
      </c>
      <c r="F101" s="2">
        <v>5150</v>
      </c>
      <c r="G101" s="3">
        <v>43347</v>
      </c>
      <c r="H101" s="4">
        <v>0.54158564814815002</v>
      </c>
      <c r="I101" s="3">
        <v>43347</v>
      </c>
      <c r="J101" s="4">
        <v>0.70988425925926002</v>
      </c>
      <c r="K101" s="2">
        <v>20</v>
      </c>
      <c r="L101" t="s">
        <v>5856</v>
      </c>
      <c r="M101" t="s">
        <v>6536</v>
      </c>
      <c r="N101" s="3">
        <v>43350</v>
      </c>
      <c r="O101" s="3">
        <v>43349</v>
      </c>
      <c r="P101" t="s">
        <v>5960</v>
      </c>
      <c r="Q101" t="s">
        <v>12822</v>
      </c>
      <c r="R101" t="s">
        <v>6036</v>
      </c>
      <c r="S101" s="3">
        <v>43350</v>
      </c>
      <c r="T101" t="s">
        <v>9938</v>
      </c>
      <c r="U101" t="s">
        <v>6537</v>
      </c>
      <c r="V101" t="s">
        <v>6538</v>
      </c>
      <c r="W101" t="s">
        <v>5857</v>
      </c>
      <c r="X101" s="2">
        <v>1275</v>
      </c>
      <c r="Y101" t="s">
        <v>5858</v>
      </c>
      <c r="Z101" t="s">
        <v>6037</v>
      </c>
      <c r="AA101" s="2">
        <v>5000</v>
      </c>
      <c r="AB101" t="s">
        <v>5863</v>
      </c>
      <c r="AC101" t="s">
        <v>9976</v>
      </c>
      <c r="AD101" s="32"/>
      <c r="AJ101" t="s">
        <v>9960</v>
      </c>
      <c r="AL101" t="s">
        <v>13801</v>
      </c>
    </row>
    <row r="102" spans="1:38">
      <c r="A102" t="s">
        <v>6533</v>
      </c>
      <c r="B102" t="s">
        <v>12823</v>
      </c>
      <c r="C102" t="s">
        <v>12805</v>
      </c>
      <c r="D102" t="s">
        <v>12806</v>
      </c>
      <c r="E102" s="2">
        <v>8240</v>
      </c>
      <c r="F102" s="2">
        <v>8240</v>
      </c>
      <c r="G102" s="3">
        <v>43347</v>
      </c>
      <c r="H102" s="4">
        <v>0.73071759259258995</v>
      </c>
      <c r="I102" s="3">
        <v>43348</v>
      </c>
      <c r="J102" s="4">
        <v>0</v>
      </c>
      <c r="K102" s="2">
        <v>20</v>
      </c>
      <c r="L102" t="s">
        <v>5856</v>
      </c>
      <c r="M102" t="s">
        <v>12807</v>
      </c>
      <c r="N102" s="3">
        <v>43350</v>
      </c>
      <c r="O102" s="3">
        <v>43349</v>
      </c>
      <c r="P102" t="s">
        <v>5960</v>
      </c>
      <c r="Q102" t="s">
        <v>12824</v>
      </c>
      <c r="R102" t="s">
        <v>6036</v>
      </c>
      <c r="S102" s="3">
        <v>43350</v>
      </c>
      <c r="T102" t="s">
        <v>9938</v>
      </c>
      <c r="U102" t="s">
        <v>6507</v>
      </c>
      <c r="V102" t="s">
        <v>6538</v>
      </c>
      <c r="W102" t="s">
        <v>5857</v>
      </c>
      <c r="X102" s="2">
        <v>1275</v>
      </c>
      <c r="Y102" t="s">
        <v>5858</v>
      </c>
      <c r="Z102" t="s">
        <v>6037</v>
      </c>
      <c r="AA102" s="2">
        <v>8000</v>
      </c>
      <c r="AB102" t="s">
        <v>5863</v>
      </c>
      <c r="AC102" t="s">
        <v>9976</v>
      </c>
      <c r="AD102" s="32"/>
      <c r="AJ102" t="s">
        <v>9960</v>
      </c>
      <c r="AL102" t="s">
        <v>13802</v>
      </c>
    </row>
    <row r="103" spans="1:38">
      <c r="A103" t="s">
        <v>6533</v>
      </c>
      <c r="B103" t="s">
        <v>11613</v>
      </c>
      <c r="C103" t="s">
        <v>6657</v>
      </c>
      <c r="D103" t="s">
        <v>6658</v>
      </c>
      <c r="E103" s="2">
        <v>5150</v>
      </c>
      <c r="F103" s="2">
        <v>5150</v>
      </c>
      <c r="G103" s="3">
        <v>43353</v>
      </c>
      <c r="H103" s="4">
        <v>0.83170138888889</v>
      </c>
      <c r="I103" s="3">
        <v>43354</v>
      </c>
      <c r="J103" s="4">
        <v>0</v>
      </c>
      <c r="K103" s="2">
        <v>20</v>
      </c>
      <c r="L103" t="s">
        <v>5856</v>
      </c>
      <c r="M103" t="s">
        <v>6536</v>
      </c>
      <c r="N103" s="3">
        <v>43356</v>
      </c>
      <c r="O103" s="3">
        <v>43355</v>
      </c>
      <c r="P103" t="s">
        <v>5990</v>
      </c>
      <c r="Q103" t="s">
        <v>6694</v>
      </c>
      <c r="R103" t="s">
        <v>6036</v>
      </c>
      <c r="S103" s="3">
        <v>43356</v>
      </c>
      <c r="T103" t="s">
        <v>9938</v>
      </c>
      <c r="U103" t="s">
        <v>5963</v>
      </c>
      <c r="V103" t="s">
        <v>6660</v>
      </c>
      <c r="W103" t="s">
        <v>5857</v>
      </c>
      <c r="X103" s="2">
        <v>1275</v>
      </c>
      <c r="Y103" t="s">
        <v>5858</v>
      </c>
      <c r="Z103" t="s">
        <v>6037</v>
      </c>
      <c r="AA103" s="2">
        <v>5000</v>
      </c>
      <c r="AB103" t="s">
        <v>5863</v>
      </c>
      <c r="AC103" t="s">
        <v>9978</v>
      </c>
      <c r="AD103" s="32"/>
      <c r="AJ103" t="s">
        <v>9958</v>
      </c>
      <c r="AL103" t="s">
        <v>13803</v>
      </c>
    </row>
    <row r="104" spans="1:38">
      <c r="A104" t="s">
        <v>6533</v>
      </c>
      <c r="B104" t="s">
        <v>11614</v>
      </c>
      <c r="C104" t="s">
        <v>6695</v>
      </c>
      <c r="D104" t="s">
        <v>6696</v>
      </c>
      <c r="E104" s="2">
        <v>9000</v>
      </c>
      <c r="F104" s="2">
        <v>9000</v>
      </c>
      <c r="G104" s="3">
        <v>43367</v>
      </c>
      <c r="H104" s="4">
        <v>0.70587962962963002</v>
      </c>
      <c r="I104" s="3">
        <v>43368</v>
      </c>
      <c r="J104" s="4">
        <v>0</v>
      </c>
      <c r="K104" s="2">
        <v>0</v>
      </c>
      <c r="L104" t="s">
        <v>5856</v>
      </c>
      <c r="M104" t="s">
        <v>6697</v>
      </c>
      <c r="N104" s="3">
        <v>43370</v>
      </c>
      <c r="O104" s="3">
        <v>43369</v>
      </c>
      <c r="P104" t="s">
        <v>5911</v>
      </c>
      <c r="Q104" t="s">
        <v>6698</v>
      </c>
      <c r="R104" t="s">
        <v>6036</v>
      </c>
      <c r="S104" s="3">
        <v>43370</v>
      </c>
      <c r="T104" t="s">
        <v>9938</v>
      </c>
      <c r="U104" t="s">
        <v>5935</v>
      </c>
      <c r="V104" t="s">
        <v>6699</v>
      </c>
      <c r="W104" t="s">
        <v>5857</v>
      </c>
      <c r="X104" s="2">
        <v>1275</v>
      </c>
      <c r="Y104" t="s">
        <v>5858</v>
      </c>
      <c r="Z104" t="s">
        <v>6037</v>
      </c>
      <c r="AA104" s="2">
        <v>9000</v>
      </c>
      <c r="AB104" t="s">
        <v>5863</v>
      </c>
      <c r="AC104" t="s">
        <v>9974</v>
      </c>
      <c r="AD104" s="32"/>
      <c r="AI104" t="s">
        <v>9943</v>
      </c>
      <c r="AJ104" t="s">
        <v>9959</v>
      </c>
      <c r="AL104" t="s">
        <v>10516</v>
      </c>
    </row>
    <row r="105" spans="1:38">
      <c r="A105" t="s">
        <v>6700</v>
      </c>
      <c r="B105" t="s">
        <v>11615</v>
      </c>
      <c r="C105" t="s">
        <v>6706</v>
      </c>
      <c r="D105" t="s">
        <v>6707</v>
      </c>
      <c r="E105" s="5">
        <v>10686.25</v>
      </c>
      <c r="F105" s="5">
        <v>10686.25</v>
      </c>
      <c r="G105" s="3">
        <v>43280</v>
      </c>
      <c r="H105" s="4">
        <v>0.38043981481480998</v>
      </c>
      <c r="I105" s="3">
        <v>43280</v>
      </c>
      <c r="J105" s="4">
        <v>0.72966435185184997</v>
      </c>
      <c r="K105" s="2">
        <v>20</v>
      </c>
      <c r="L105" t="s">
        <v>5856</v>
      </c>
      <c r="M105" t="s">
        <v>6708</v>
      </c>
      <c r="N105" s="3">
        <v>43283</v>
      </c>
      <c r="O105" s="3">
        <v>43282</v>
      </c>
      <c r="P105" t="s">
        <v>5862</v>
      </c>
      <c r="Q105" t="s">
        <v>6709</v>
      </c>
      <c r="R105" t="s">
        <v>6036</v>
      </c>
      <c r="S105" s="3">
        <v>43283</v>
      </c>
      <c r="T105" t="s">
        <v>9938</v>
      </c>
      <c r="U105" t="s">
        <v>6555</v>
      </c>
      <c r="V105" t="s">
        <v>6710</v>
      </c>
      <c r="W105" t="s">
        <v>5857</v>
      </c>
      <c r="X105" s="2">
        <v>1275</v>
      </c>
      <c r="Y105" t="s">
        <v>5858</v>
      </c>
      <c r="Z105" t="s">
        <v>6037</v>
      </c>
      <c r="AA105" s="2">
        <v>10375</v>
      </c>
      <c r="AB105" t="s">
        <v>5859</v>
      </c>
      <c r="AC105" t="s">
        <v>9978</v>
      </c>
      <c r="AD105" s="32">
        <v>43255</v>
      </c>
      <c r="AJ105" t="s">
        <v>9958</v>
      </c>
      <c r="AL105" t="s">
        <v>10517</v>
      </c>
    </row>
    <row r="106" spans="1:38">
      <c r="A106" t="s">
        <v>6700</v>
      </c>
      <c r="B106" t="s">
        <v>12825</v>
      </c>
      <c r="C106" t="s">
        <v>6770</v>
      </c>
      <c r="D106" t="s">
        <v>6771</v>
      </c>
      <c r="E106" s="2">
        <v>20600</v>
      </c>
      <c r="F106" s="2">
        <v>20600</v>
      </c>
      <c r="G106" s="3">
        <v>43281</v>
      </c>
      <c r="H106" s="4">
        <v>2.0833333333330002E-2</v>
      </c>
      <c r="I106" s="3">
        <v>43281</v>
      </c>
      <c r="J106" s="4">
        <v>0.69403935185184995</v>
      </c>
      <c r="K106" s="2">
        <v>0</v>
      </c>
      <c r="L106" t="s">
        <v>5856</v>
      </c>
      <c r="M106" t="s">
        <v>6457</v>
      </c>
      <c r="N106" s="3"/>
      <c r="O106" s="3">
        <v>43283</v>
      </c>
      <c r="P106" t="s">
        <v>6018</v>
      </c>
      <c r="Q106" t="s">
        <v>12826</v>
      </c>
      <c r="R106" t="s">
        <v>6036</v>
      </c>
      <c r="S106" s="3">
        <v>43290</v>
      </c>
      <c r="T106" t="s">
        <v>9938</v>
      </c>
      <c r="U106" t="s">
        <v>6675</v>
      </c>
      <c r="V106" t="s">
        <v>6760</v>
      </c>
      <c r="W106" t="s">
        <v>5857</v>
      </c>
      <c r="X106" s="2">
        <v>1275</v>
      </c>
      <c r="Y106" t="s">
        <v>5858</v>
      </c>
      <c r="Z106" t="s">
        <v>6037</v>
      </c>
      <c r="AA106" s="2">
        <v>20000</v>
      </c>
      <c r="AB106" t="s">
        <v>5863</v>
      </c>
      <c r="AC106" t="s">
        <v>9979</v>
      </c>
      <c r="AD106" s="32">
        <v>43280</v>
      </c>
      <c r="AJ106" t="s">
        <v>9958</v>
      </c>
      <c r="AL106" t="s">
        <v>13804</v>
      </c>
    </row>
    <row r="107" spans="1:38">
      <c r="A107" t="s">
        <v>6700</v>
      </c>
      <c r="B107" t="s">
        <v>12827</v>
      </c>
      <c r="C107" t="s">
        <v>6770</v>
      </c>
      <c r="D107" t="s">
        <v>6771</v>
      </c>
      <c r="E107" s="2">
        <v>20600</v>
      </c>
      <c r="F107" s="2">
        <v>20600</v>
      </c>
      <c r="G107" s="3">
        <v>43281</v>
      </c>
      <c r="H107" s="4">
        <v>0.97984953703704003</v>
      </c>
      <c r="I107" s="3">
        <v>43282</v>
      </c>
      <c r="J107" s="4">
        <v>0.65305555555556005</v>
      </c>
      <c r="K107" s="2">
        <v>0</v>
      </c>
      <c r="L107" t="s">
        <v>5856</v>
      </c>
      <c r="M107" t="s">
        <v>6457</v>
      </c>
      <c r="N107" s="3"/>
      <c r="O107" s="3">
        <v>43284</v>
      </c>
      <c r="P107" t="s">
        <v>6018</v>
      </c>
      <c r="Q107" t="s">
        <v>12828</v>
      </c>
      <c r="R107" t="s">
        <v>6036</v>
      </c>
      <c r="S107" s="3">
        <v>43291</v>
      </c>
      <c r="T107" t="s">
        <v>9938</v>
      </c>
      <c r="U107" t="s">
        <v>6675</v>
      </c>
      <c r="V107" t="s">
        <v>6760</v>
      </c>
      <c r="W107" t="s">
        <v>5857</v>
      </c>
      <c r="X107" s="2">
        <v>1275</v>
      </c>
      <c r="Y107" t="s">
        <v>5858</v>
      </c>
      <c r="Z107" t="s">
        <v>6037</v>
      </c>
      <c r="AA107" s="2">
        <v>20000</v>
      </c>
      <c r="AB107" t="s">
        <v>5863</v>
      </c>
      <c r="AC107" t="s">
        <v>9979</v>
      </c>
      <c r="AD107" s="32">
        <v>43280</v>
      </c>
      <c r="AJ107" t="s">
        <v>9958</v>
      </c>
      <c r="AL107" t="s">
        <v>13805</v>
      </c>
    </row>
    <row r="108" spans="1:38">
      <c r="A108" t="s">
        <v>6700</v>
      </c>
      <c r="B108" t="s">
        <v>12829</v>
      </c>
      <c r="C108" t="s">
        <v>6770</v>
      </c>
      <c r="D108" t="s">
        <v>6771</v>
      </c>
      <c r="E108" s="2">
        <v>20600</v>
      </c>
      <c r="F108" s="2">
        <v>20600</v>
      </c>
      <c r="G108" s="3">
        <v>43282</v>
      </c>
      <c r="H108" s="4">
        <v>0.80175925925925995</v>
      </c>
      <c r="I108" s="3">
        <v>43283</v>
      </c>
      <c r="J108" s="4">
        <v>0.47496527777778003</v>
      </c>
      <c r="K108" s="2">
        <v>0</v>
      </c>
      <c r="L108" t="s">
        <v>5856</v>
      </c>
      <c r="M108" t="s">
        <v>6457</v>
      </c>
      <c r="N108" s="3"/>
      <c r="O108" s="3">
        <v>43285</v>
      </c>
      <c r="P108" t="s">
        <v>6018</v>
      </c>
      <c r="Q108" t="s">
        <v>12830</v>
      </c>
      <c r="R108" t="s">
        <v>6036</v>
      </c>
      <c r="S108" s="3">
        <v>43298</v>
      </c>
      <c r="T108" t="s">
        <v>9938</v>
      </c>
      <c r="U108" t="s">
        <v>6675</v>
      </c>
      <c r="V108" t="s">
        <v>6760</v>
      </c>
      <c r="W108" t="s">
        <v>5857</v>
      </c>
      <c r="X108" s="2">
        <v>1275</v>
      </c>
      <c r="Y108" t="s">
        <v>5858</v>
      </c>
      <c r="Z108" t="s">
        <v>6037</v>
      </c>
      <c r="AA108" s="2">
        <v>20000</v>
      </c>
      <c r="AB108" t="s">
        <v>5863</v>
      </c>
      <c r="AC108" t="s">
        <v>9979</v>
      </c>
      <c r="AD108" s="32">
        <v>43280</v>
      </c>
      <c r="AJ108" t="s">
        <v>9958</v>
      </c>
      <c r="AL108" t="s">
        <v>13806</v>
      </c>
    </row>
    <row r="109" spans="1:38">
      <c r="A109" t="s">
        <v>6700</v>
      </c>
      <c r="B109" t="s">
        <v>12831</v>
      </c>
      <c r="C109" t="s">
        <v>6770</v>
      </c>
      <c r="D109" t="s">
        <v>6771</v>
      </c>
      <c r="E109" s="2">
        <v>20600</v>
      </c>
      <c r="F109" s="2">
        <v>20600</v>
      </c>
      <c r="G109" s="3">
        <v>43285</v>
      </c>
      <c r="H109" s="4">
        <v>2.0833333333330002E-2</v>
      </c>
      <c r="I109" s="3">
        <v>43285</v>
      </c>
      <c r="J109" s="4">
        <v>0.69403935185184995</v>
      </c>
      <c r="K109" s="2">
        <v>0</v>
      </c>
      <c r="L109" t="s">
        <v>5856</v>
      </c>
      <c r="M109" t="s">
        <v>6457</v>
      </c>
      <c r="N109" s="3">
        <v>43295</v>
      </c>
      <c r="O109" s="3">
        <v>43287</v>
      </c>
      <c r="P109" t="s">
        <v>6018</v>
      </c>
      <c r="Q109" t="s">
        <v>12832</v>
      </c>
      <c r="R109" t="s">
        <v>6036</v>
      </c>
      <c r="S109" s="3">
        <v>43300</v>
      </c>
      <c r="T109" t="s">
        <v>9938</v>
      </c>
      <c r="U109" t="s">
        <v>6675</v>
      </c>
      <c r="V109" t="s">
        <v>6760</v>
      </c>
      <c r="W109" t="s">
        <v>5857</v>
      </c>
      <c r="X109" s="2">
        <v>1275</v>
      </c>
      <c r="Y109" t="s">
        <v>5858</v>
      </c>
      <c r="Z109" t="s">
        <v>6037</v>
      </c>
      <c r="AA109" s="2">
        <v>20000</v>
      </c>
      <c r="AB109" t="s">
        <v>5859</v>
      </c>
      <c r="AC109" t="s">
        <v>9979</v>
      </c>
      <c r="AD109" s="32">
        <v>43280</v>
      </c>
      <c r="AJ109" t="s">
        <v>9958</v>
      </c>
      <c r="AL109" t="s">
        <v>13807</v>
      </c>
    </row>
    <row r="110" spans="1:38">
      <c r="A110" t="s">
        <v>6700</v>
      </c>
      <c r="B110" t="s">
        <v>12833</v>
      </c>
      <c r="C110" t="s">
        <v>6770</v>
      </c>
      <c r="D110" t="s">
        <v>6771</v>
      </c>
      <c r="E110" s="2">
        <v>20600</v>
      </c>
      <c r="F110" s="2">
        <v>20600</v>
      </c>
      <c r="G110" s="3">
        <v>43285</v>
      </c>
      <c r="H110" s="4">
        <v>0.71487268518518998</v>
      </c>
      <c r="I110" s="3">
        <v>43286</v>
      </c>
      <c r="J110" s="4">
        <v>0.38807870370370001</v>
      </c>
      <c r="K110" s="2">
        <v>0</v>
      </c>
      <c r="L110" t="s">
        <v>5856</v>
      </c>
      <c r="M110" t="s">
        <v>6457</v>
      </c>
      <c r="N110" s="3"/>
      <c r="O110" s="3">
        <v>43288</v>
      </c>
      <c r="P110" t="s">
        <v>6018</v>
      </c>
      <c r="Q110" t="s">
        <v>12834</v>
      </c>
      <c r="R110" t="s">
        <v>6036</v>
      </c>
      <c r="S110" s="3">
        <v>43300</v>
      </c>
      <c r="T110" t="s">
        <v>9938</v>
      </c>
      <c r="U110" t="s">
        <v>6675</v>
      </c>
      <c r="V110" t="s">
        <v>6760</v>
      </c>
      <c r="W110" t="s">
        <v>5857</v>
      </c>
      <c r="X110" s="2">
        <v>1275</v>
      </c>
      <c r="Y110" t="s">
        <v>5858</v>
      </c>
      <c r="Z110" t="s">
        <v>6037</v>
      </c>
      <c r="AA110" s="2">
        <v>20000</v>
      </c>
      <c r="AB110" t="s">
        <v>5863</v>
      </c>
      <c r="AC110" t="s">
        <v>9979</v>
      </c>
      <c r="AD110" s="32">
        <v>43280</v>
      </c>
      <c r="AJ110" t="s">
        <v>9958</v>
      </c>
      <c r="AL110" t="s">
        <v>13808</v>
      </c>
    </row>
    <row r="111" spans="1:38">
      <c r="A111" t="s">
        <v>6700</v>
      </c>
      <c r="B111" t="s">
        <v>12835</v>
      </c>
      <c r="C111" t="s">
        <v>6770</v>
      </c>
      <c r="D111" t="s">
        <v>6771</v>
      </c>
      <c r="E111" s="2">
        <v>600</v>
      </c>
      <c r="F111" s="2">
        <v>20600</v>
      </c>
      <c r="G111" s="3">
        <v>43287</v>
      </c>
      <c r="H111" s="4">
        <v>0.26144675925925998</v>
      </c>
      <c r="I111" s="3">
        <v>43287</v>
      </c>
      <c r="J111" s="4">
        <v>0.93465277777778</v>
      </c>
      <c r="K111" s="2">
        <v>20</v>
      </c>
      <c r="L111" t="s">
        <v>5856</v>
      </c>
      <c r="M111" t="s">
        <v>6457</v>
      </c>
      <c r="N111" s="3">
        <v>43296</v>
      </c>
      <c r="O111" s="3">
        <v>43289</v>
      </c>
      <c r="P111" t="s">
        <v>6018</v>
      </c>
      <c r="Q111" t="s">
        <v>6038</v>
      </c>
      <c r="R111" t="s">
        <v>6039</v>
      </c>
      <c r="S111" s="3"/>
      <c r="T111" t="s">
        <v>9938</v>
      </c>
      <c r="U111" t="s">
        <v>6675</v>
      </c>
      <c r="V111" t="s">
        <v>6760</v>
      </c>
      <c r="W111" t="s">
        <v>5857</v>
      </c>
      <c r="X111" s="2">
        <v>1275</v>
      </c>
      <c r="Y111" t="s">
        <v>5858</v>
      </c>
      <c r="Z111" t="s">
        <v>6037</v>
      </c>
      <c r="AA111" s="2">
        <v>0</v>
      </c>
      <c r="AB111" t="s">
        <v>5859</v>
      </c>
      <c r="AC111" t="s">
        <v>9979</v>
      </c>
      <c r="AD111" s="32">
        <v>43280</v>
      </c>
      <c r="AJ111" t="s">
        <v>9958</v>
      </c>
      <c r="AL111" t="s">
        <v>13809</v>
      </c>
    </row>
    <row r="112" spans="1:38">
      <c r="A112" t="s">
        <v>6700</v>
      </c>
      <c r="B112" t="s">
        <v>12836</v>
      </c>
      <c r="C112" t="s">
        <v>6770</v>
      </c>
      <c r="D112" t="s">
        <v>6771</v>
      </c>
      <c r="E112" s="2">
        <v>20600</v>
      </c>
      <c r="F112" s="2">
        <v>20600</v>
      </c>
      <c r="G112" s="3">
        <v>43287</v>
      </c>
      <c r="H112" s="4">
        <v>0.26144675925925998</v>
      </c>
      <c r="I112" s="3">
        <v>43287</v>
      </c>
      <c r="J112" s="4">
        <v>0.93465277777778</v>
      </c>
      <c r="K112" s="2">
        <v>0</v>
      </c>
      <c r="L112" t="s">
        <v>5856</v>
      </c>
      <c r="M112" t="s">
        <v>6457</v>
      </c>
      <c r="N112" s="3">
        <v>43299</v>
      </c>
      <c r="O112" s="3">
        <v>43289</v>
      </c>
      <c r="P112" t="s">
        <v>6018</v>
      </c>
      <c r="Q112" t="s">
        <v>12837</v>
      </c>
      <c r="R112" t="s">
        <v>6036</v>
      </c>
      <c r="S112" s="3">
        <v>43300</v>
      </c>
      <c r="T112" t="s">
        <v>9938</v>
      </c>
      <c r="U112" t="s">
        <v>6675</v>
      </c>
      <c r="V112" t="s">
        <v>6760</v>
      </c>
      <c r="W112" t="s">
        <v>5857</v>
      </c>
      <c r="X112" s="2">
        <v>1275</v>
      </c>
      <c r="Y112" t="s">
        <v>5858</v>
      </c>
      <c r="Z112" t="s">
        <v>6037</v>
      </c>
      <c r="AA112" s="2">
        <v>20000</v>
      </c>
      <c r="AB112" t="s">
        <v>5859</v>
      </c>
      <c r="AC112" t="s">
        <v>9979</v>
      </c>
      <c r="AD112" s="32">
        <v>43280</v>
      </c>
      <c r="AJ112" t="s">
        <v>9958</v>
      </c>
      <c r="AL112" t="s">
        <v>13810</v>
      </c>
    </row>
    <row r="113" spans="1:38">
      <c r="A113" t="s">
        <v>6700</v>
      </c>
      <c r="B113" t="s">
        <v>12838</v>
      </c>
      <c r="C113" t="s">
        <v>12839</v>
      </c>
      <c r="D113" t="s">
        <v>12840</v>
      </c>
      <c r="E113" s="5">
        <v>13750.5</v>
      </c>
      <c r="F113" s="5">
        <v>13750.5</v>
      </c>
      <c r="G113" s="3">
        <v>43288</v>
      </c>
      <c r="H113" s="4">
        <v>0.64952546296295999</v>
      </c>
      <c r="I113" s="3">
        <v>43289</v>
      </c>
      <c r="J113" s="4">
        <v>9.8888888888889998E-2</v>
      </c>
      <c r="K113" s="2">
        <v>20</v>
      </c>
      <c r="L113" t="s">
        <v>5856</v>
      </c>
      <c r="M113" t="s">
        <v>12841</v>
      </c>
      <c r="N113" s="3">
        <v>43308</v>
      </c>
      <c r="O113" s="3">
        <v>43291</v>
      </c>
      <c r="P113" t="s">
        <v>5889</v>
      </c>
      <c r="Q113" t="s">
        <v>12842</v>
      </c>
      <c r="R113" t="s">
        <v>6042</v>
      </c>
      <c r="S113" s="3">
        <v>43308</v>
      </c>
      <c r="T113" t="s">
        <v>9938</v>
      </c>
      <c r="U113" t="s">
        <v>5893</v>
      </c>
      <c r="V113" t="s">
        <v>12843</v>
      </c>
      <c r="W113" t="s">
        <v>5857</v>
      </c>
      <c r="X113" s="2">
        <v>1275</v>
      </c>
      <c r="Y113" t="s">
        <v>5858</v>
      </c>
      <c r="Z113" t="s">
        <v>6037</v>
      </c>
      <c r="AA113" s="2">
        <v>13350</v>
      </c>
      <c r="AB113" t="s">
        <v>5863</v>
      </c>
      <c r="AC113" t="s">
        <v>9978</v>
      </c>
      <c r="AD113" s="32">
        <v>43280</v>
      </c>
      <c r="AJ113" t="s">
        <v>9958</v>
      </c>
      <c r="AL113" t="s">
        <v>13811</v>
      </c>
    </row>
    <row r="114" spans="1:38">
      <c r="A114" t="s">
        <v>6700</v>
      </c>
      <c r="B114" t="s">
        <v>12844</v>
      </c>
      <c r="C114" t="s">
        <v>6770</v>
      </c>
      <c r="D114" t="s">
        <v>6771</v>
      </c>
      <c r="E114" s="2">
        <v>20600</v>
      </c>
      <c r="F114" s="2">
        <v>20600</v>
      </c>
      <c r="G114" s="3">
        <v>43289</v>
      </c>
      <c r="H114" s="4">
        <v>0.11972222222222</v>
      </c>
      <c r="I114" s="3">
        <v>43289</v>
      </c>
      <c r="J114" s="4">
        <v>0.79292824074073998</v>
      </c>
      <c r="K114" s="2">
        <v>0</v>
      </c>
      <c r="L114" t="s">
        <v>5856</v>
      </c>
      <c r="M114" t="s">
        <v>6457</v>
      </c>
      <c r="N114" s="3"/>
      <c r="O114" s="3">
        <v>43291</v>
      </c>
      <c r="P114" t="s">
        <v>6018</v>
      </c>
      <c r="Q114" t="s">
        <v>8617</v>
      </c>
      <c r="R114" t="s">
        <v>6036</v>
      </c>
      <c r="S114" s="3">
        <v>43300</v>
      </c>
      <c r="T114" t="s">
        <v>9938</v>
      </c>
      <c r="U114" t="s">
        <v>6675</v>
      </c>
      <c r="V114" t="s">
        <v>6760</v>
      </c>
      <c r="W114" t="s">
        <v>5857</v>
      </c>
      <c r="X114" s="2">
        <v>1275</v>
      </c>
      <c r="Y114" t="s">
        <v>5858</v>
      </c>
      <c r="Z114" t="s">
        <v>6037</v>
      </c>
      <c r="AA114" s="2">
        <v>20000</v>
      </c>
      <c r="AB114" t="s">
        <v>5859</v>
      </c>
      <c r="AC114" t="s">
        <v>9979</v>
      </c>
      <c r="AD114" s="32">
        <v>43280</v>
      </c>
      <c r="AJ114" t="s">
        <v>9958</v>
      </c>
      <c r="AL114" t="s">
        <v>13812</v>
      </c>
    </row>
    <row r="115" spans="1:38">
      <c r="A115" t="s">
        <v>6700</v>
      </c>
      <c r="B115" t="s">
        <v>12845</v>
      </c>
      <c r="C115" t="s">
        <v>6770</v>
      </c>
      <c r="D115" t="s">
        <v>6771</v>
      </c>
      <c r="E115" s="2">
        <v>600</v>
      </c>
      <c r="F115" s="2">
        <v>20600</v>
      </c>
      <c r="G115" s="3">
        <v>43289</v>
      </c>
      <c r="H115" s="4">
        <v>0.81376157407407002</v>
      </c>
      <c r="I115" s="3">
        <v>43290</v>
      </c>
      <c r="J115" s="4">
        <v>0.48696759259258998</v>
      </c>
      <c r="K115" s="2">
        <v>0</v>
      </c>
      <c r="L115" t="s">
        <v>5856</v>
      </c>
      <c r="M115" t="s">
        <v>6457</v>
      </c>
      <c r="N115" s="3">
        <v>43291</v>
      </c>
      <c r="O115" s="3">
        <v>43292</v>
      </c>
      <c r="P115" t="s">
        <v>6018</v>
      </c>
      <c r="Q115" t="s">
        <v>6038</v>
      </c>
      <c r="R115" t="s">
        <v>6039</v>
      </c>
      <c r="S115" s="3"/>
      <c r="T115" t="s">
        <v>9938</v>
      </c>
      <c r="U115" t="s">
        <v>6675</v>
      </c>
      <c r="V115" t="s">
        <v>6760</v>
      </c>
      <c r="W115" t="s">
        <v>5857</v>
      </c>
      <c r="X115" s="2">
        <v>1275</v>
      </c>
      <c r="Y115" t="s">
        <v>5858</v>
      </c>
      <c r="Z115" t="s">
        <v>6037</v>
      </c>
      <c r="AA115" s="2">
        <v>0</v>
      </c>
      <c r="AB115" t="s">
        <v>5859</v>
      </c>
      <c r="AC115" t="s">
        <v>9979</v>
      </c>
      <c r="AD115" s="32">
        <v>43280</v>
      </c>
      <c r="AJ115" t="s">
        <v>9958</v>
      </c>
      <c r="AL115" t="s">
        <v>13813</v>
      </c>
    </row>
    <row r="116" spans="1:38">
      <c r="A116" t="s">
        <v>6700</v>
      </c>
      <c r="B116" t="s">
        <v>11616</v>
      </c>
      <c r="C116" t="s">
        <v>6725</v>
      </c>
      <c r="D116" t="s">
        <v>6726</v>
      </c>
      <c r="E116" s="2">
        <v>15450</v>
      </c>
      <c r="F116" s="2">
        <v>15450</v>
      </c>
      <c r="G116" s="3">
        <v>43295</v>
      </c>
      <c r="H116" s="4">
        <v>2.0821759259260001E-2</v>
      </c>
      <c r="I116" s="3">
        <v>43295</v>
      </c>
      <c r="J116" s="4">
        <v>0.52572916666667002</v>
      </c>
      <c r="K116" s="2">
        <v>20</v>
      </c>
      <c r="L116" t="s">
        <v>5856</v>
      </c>
      <c r="M116" t="s">
        <v>6484</v>
      </c>
      <c r="N116" s="3">
        <v>43313</v>
      </c>
      <c r="O116" s="3">
        <v>43297</v>
      </c>
      <c r="P116" t="s">
        <v>5978</v>
      </c>
      <c r="Q116" t="s">
        <v>6728</v>
      </c>
      <c r="R116" t="s">
        <v>6036</v>
      </c>
      <c r="S116" s="3">
        <v>43293</v>
      </c>
      <c r="T116" t="s">
        <v>9938</v>
      </c>
      <c r="U116" t="s">
        <v>6621</v>
      </c>
      <c r="V116" t="s">
        <v>6729</v>
      </c>
      <c r="W116" t="s">
        <v>5857</v>
      </c>
      <c r="X116" s="2">
        <v>1275</v>
      </c>
      <c r="Y116" t="s">
        <v>5858</v>
      </c>
      <c r="Z116" t="s">
        <v>6037</v>
      </c>
      <c r="AA116" s="2">
        <v>15000</v>
      </c>
      <c r="AB116" t="s">
        <v>5859</v>
      </c>
      <c r="AC116" t="s">
        <v>9978</v>
      </c>
      <c r="AD116" s="32">
        <v>43274</v>
      </c>
      <c r="AI116" t="s">
        <v>9943</v>
      </c>
      <c r="AJ116" t="s">
        <v>9958</v>
      </c>
      <c r="AL116" t="s">
        <v>13814</v>
      </c>
    </row>
    <row r="117" spans="1:38">
      <c r="A117" t="s">
        <v>6700</v>
      </c>
      <c r="B117" t="s">
        <v>11617</v>
      </c>
      <c r="C117" t="s">
        <v>6730</v>
      </c>
      <c r="D117" t="s">
        <v>6731</v>
      </c>
      <c r="E117" s="2">
        <v>10000</v>
      </c>
      <c r="F117" s="2">
        <v>10000</v>
      </c>
      <c r="G117" s="3">
        <v>43295</v>
      </c>
      <c r="H117" s="4">
        <v>0.54656249999999995</v>
      </c>
      <c r="I117" s="3">
        <v>43295</v>
      </c>
      <c r="J117" s="4">
        <v>0.87335648148148004</v>
      </c>
      <c r="K117" s="2">
        <v>20</v>
      </c>
      <c r="L117" t="s">
        <v>5856</v>
      </c>
      <c r="M117" t="s">
        <v>6498</v>
      </c>
      <c r="N117" s="3">
        <v>43291</v>
      </c>
      <c r="O117" s="3">
        <v>43297</v>
      </c>
      <c r="P117" t="s">
        <v>5881</v>
      </c>
      <c r="Q117" t="s">
        <v>6732</v>
      </c>
      <c r="R117" t="s">
        <v>6036</v>
      </c>
      <c r="S117" s="3">
        <v>43291</v>
      </c>
      <c r="T117" t="s">
        <v>9938</v>
      </c>
      <c r="U117" t="s">
        <v>6555</v>
      </c>
      <c r="V117" t="s">
        <v>6733</v>
      </c>
      <c r="W117" t="s">
        <v>5857</v>
      </c>
      <c r="X117" s="2">
        <v>1275</v>
      </c>
      <c r="Y117" t="s">
        <v>5858</v>
      </c>
      <c r="Z117" t="s">
        <v>6037</v>
      </c>
      <c r="AA117" s="2">
        <v>10000</v>
      </c>
      <c r="AB117" t="s">
        <v>5863</v>
      </c>
      <c r="AC117" t="s">
        <v>9978</v>
      </c>
      <c r="AD117" s="32">
        <v>43264</v>
      </c>
      <c r="AJ117" t="s">
        <v>9958</v>
      </c>
      <c r="AL117" t="s">
        <v>10518</v>
      </c>
    </row>
    <row r="118" spans="1:38">
      <c r="A118" t="s">
        <v>6700</v>
      </c>
      <c r="B118" t="s">
        <v>11618</v>
      </c>
      <c r="C118" t="s">
        <v>6725</v>
      </c>
      <c r="D118" t="s">
        <v>6726</v>
      </c>
      <c r="E118" s="2">
        <v>10000</v>
      </c>
      <c r="F118" s="2">
        <v>10000</v>
      </c>
      <c r="G118" s="3">
        <v>43295</v>
      </c>
      <c r="H118" s="4">
        <v>0.89418981481480997</v>
      </c>
      <c r="I118" s="3">
        <v>43296</v>
      </c>
      <c r="J118" s="4">
        <v>0.22098379629629999</v>
      </c>
      <c r="K118" s="2">
        <v>20</v>
      </c>
      <c r="L118" t="s">
        <v>5856</v>
      </c>
      <c r="M118" t="s">
        <v>6498</v>
      </c>
      <c r="N118" s="3">
        <v>43313</v>
      </c>
      <c r="O118" s="3">
        <v>43298</v>
      </c>
      <c r="P118" t="s">
        <v>5978</v>
      </c>
      <c r="Q118" t="s">
        <v>6728</v>
      </c>
      <c r="R118" t="s">
        <v>6042</v>
      </c>
      <c r="S118" s="3">
        <v>43293</v>
      </c>
      <c r="T118" t="s">
        <v>9938</v>
      </c>
      <c r="U118" t="s">
        <v>6621</v>
      </c>
      <c r="V118" t="s">
        <v>6729</v>
      </c>
      <c r="W118" t="s">
        <v>5857</v>
      </c>
      <c r="X118" s="2">
        <v>1275</v>
      </c>
      <c r="Y118" t="s">
        <v>5858</v>
      </c>
      <c r="Z118" t="s">
        <v>6037</v>
      </c>
      <c r="AA118" s="2">
        <v>10000</v>
      </c>
      <c r="AB118" t="s">
        <v>5863</v>
      </c>
      <c r="AC118" t="s">
        <v>9978</v>
      </c>
      <c r="AD118" s="32">
        <v>43274</v>
      </c>
      <c r="AI118" t="s">
        <v>9943</v>
      </c>
      <c r="AJ118" t="s">
        <v>9958</v>
      </c>
      <c r="AL118" t="s">
        <v>10519</v>
      </c>
    </row>
    <row r="119" spans="1:38">
      <c r="A119" t="s">
        <v>6700</v>
      </c>
      <c r="B119" t="s">
        <v>12846</v>
      </c>
      <c r="C119" t="s">
        <v>6770</v>
      </c>
      <c r="D119" t="s">
        <v>6771</v>
      </c>
      <c r="E119" s="2">
        <v>600</v>
      </c>
      <c r="F119" s="2">
        <v>20600</v>
      </c>
      <c r="G119" s="3">
        <v>43296</v>
      </c>
      <c r="H119" s="4">
        <v>0.24181712962963001</v>
      </c>
      <c r="I119" s="3">
        <v>43296</v>
      </c>
      <c r="J119" s="4">
        <v>0.91502314814815</v>
      </c>
      <c r="K119" s="2">
        <v>0</v>
      </c>
      <c r="L119" t="s">
        <v>5856</v>
      </c>
      <c r="M119" t="s">
        <v>6457</v>
      </c>
      <c r="N119" s="3">
        <v>43294</v>
      </c>
      <c r="O119" s="3">
        <v>43298</v>
      </c>
      <c r="P119" t="s">
        <v>6018</v>
      </c>
      <c r="Q119" t="s">
        <v>6038</v>
      </c>
      <c r="R119" t="s">
        <v>6039</v>
      </c>
      <c r="S119" s="3"/>
      <c r="T119" t="s">
        <v>9938</v>
      </c>
      <c r="U119" t="s">
        <v>6675</v>
      </c>
      <c r="V119" t="s">
        <v>6760</v>
      </c>
      <c r="W119" t="s">
        <v>5857</v>
      </c>
      <c r="X119" s="2">
        <v>1275</v>
      </c>
      <c r="Y119" t="s">
        <v>5858</v>
      </c>
      <c r="Z119" t="s">
        <v>6037</v>
      </c>
      <c r="AA119" s="2">
        <v>0</v>
      </c>
      <c r="AB119" t="s">
        <v>5859</v>
      </c>
      <c r="AC119" t="s">
        <v>9979</v>
      </c>
      <c r="AD119" s="32">
        <v>43280</v>
      </c>
      <c r="AJ119" t="s">
        <v>9958</v>
      </c>
      <c r="AL119" t="s">
        <v>13815</v>
      </c>
    </row>
    <row r="120" spans="1:38">
      <c r="A120" t="s">
        <v>6700</v>
      </c>
      <c r="B120" t="s">
        <v>11619</v>
      </c>
      <c r="C120" t="s">
        <v>6734</v>
      </c>
      <c r="D120" t="s">
        <v>6735</v>
      </c>
      <c r="E120" s="2">
        <v>13000</v>
      </c>
      <c r="F120" s="2">
        <v>13000</v>
      </c>
      <c r="G120" s="3">
        <v>43296</v>
      </c>
      <c r="H120" s="4">
        <v>0.93585648148148004</v>
      </c>
      <c r="I120" s="3">
        <v>43297</v>
      </c>
      <c r="J120" s="4">
        <v>0.36069444444443999</v>
      </c>
      <c r="K120" s="2">
        <v>20</v>
      </c>
      <c r="L120" t="s">
        <v>5856</v>
      </c>
      <c r="M120" t="s">
        <v>6736</v>
      </c>
      <c r="N120" s="3">
        <v>43301</v>
      </c>
      <c r="O120" s="3">
        <v>43299</v>
      </c>
      <c r="P120" t="s">
        <v>5881</v>
      </c>
      <c r="Q120" t="s">
        <v>6737</v>
      </c>
      <c r="R120" t="s">
        <v>6036</v>
      </c>
      <c r="S120" s="3">
        <v>43301</v>
      </c>
      <c r="T120" t="s">
        <v>9938</v>
      </c>
      <c r="U120" t="s">
        <v>5893</v>
      </c>
      <c r="V120" t="s">
        <v>6738</v>
      </c>
      <c r="W120" t="s">
        <v>6038</v>
      </c>
      <c r="X120" s="2">
        <v>1275</v>
      </c>
      <c r="Y120" t="s">
        <v>5858</v>
      </c>
      <c r="Z120" t="s">
        <v>6037</v>
      </c>
      <c r="AA120" s="2">
        <v>13000</v>
      </c>
      <c r="AB120" t="s">
        <v>5863</v>
      </c>
      <c r="AC120" t="s">
        <v>9978</v>
      </c>
      <c r="AD120" s="32">
        <v>43263</v>
      </c>
      <c r="AJ120" t="s">
        <v>9958</v>
      </c>
      <c r="AL120" t="s">
        <v>10520</v>
      </c>
    </row>
    <row r="121" spans="1:38">
      <c r="A121" t="s">
        <v>6700</v>
      </c>
      <c r="B121" t="s">
        <v>11620</v>
      </c>
      <c r="C121" t="s">
        <v>6739</v>
      </c>
      <c r="D121" t="s">
        <v>6740</v>
      </c>
      <c r="E121" s="5">
        <v>5407.5</v>
      </c>
      <c r="F121" s="5">
        <v>5407.5</v>
      </c>
      <c r="G121" s="3">
        <v>43297</v>
      </c>
      <c r="H121" s="4">
        <v>0.38152777777778002</v>
      </c>
      <c r="I121" s="3">
        <v>43297</v>
      </c>
      <c r="J121" s="4">
        <v>0.55825231481480997</v>
      </c>
      <c r="K121" s="2">
        <v>20</v>
      </c>
      <c r="L121" t="s">
        <v>5856</v>
      </c>
      <c r="M121" t="s">
        <v>12847</v>
      </c>
      <c r="N121" s="3">
        <v>43292</v>
      </c>
      <c r="O121" s="3">
        <v>43299</v>
      </c>
      <c r="P121" t="s">
        <v>5862</v>
      </c>
      <c r="Q121" t="s">
        <v>6742</v>
      </c>
      <c r="R121" t="s">
        <v>6036</v>
      </c>
      <c r="S121" s="3">
        <v>43292</v>
      </c>
      <c r="T121" t="s">
        <v>9938</v>
      </c>
      <c r="U121" t="s">
        <v>6555</v>
      </c>
      <c r="V121" t="s">
        <v>6743</v>
      </c>
      <c r="W121" t="s">
        <v>5857</v>
      </c>
      <c r="X121" s="2">
        <v>1275</v>
      </c>
      <c r="Y121" t="s">
        <v>5858</v>
      </c>
      <c r="Z121" t="s">
        <v>6037</v>
      </c>
      <c r="AA121" s="2">
        <v>5250</v>
      </c>
      <c r="AB121" t="s">
        <v>5859</v>
      </c>
      <c r="AC121" t="s">
        <v>9978</v>
      </c>
      <c r="AD121" s="32">
        <v>43244</v>
      </c>
      <c r="AI121" t="s">
        <v>9939</v>
      </c>
      <c r="AJ121" t="s">
        <v>9958</v>
      </c>
      <c r="AL121" t="s">
        <v>10521</v>
      </c>
    </row>
    <row r="122" spans="1:38">
      <c r="A122" t="s">
        <v>6700</v>
      </c>
      <c r="B122" t="s">
        <v>12848</v>
      </c>
      <c r="C122" t="s">
        <v>6750</v>
      </c>
      <c r="D122" t="s">
        <v>6751</v>
      </c>
      <c r="E122" s="2">
        <v>5000</v>
      </c>
      <c r="F122" s="2">
        <v>5000</v>
      </c>
      <c r="G122" s="3">
        <v>43297</v>
      </c>
      <c r="H122" s="4">
        <v>0.57908564814815</v>
      </c>
      <c r="I122" s="3">
        <v>43297</v>
      </c>
      <c r="J122" s="4">
        <v>0.74248842592593001</v>
      </c>
      <c r="K122" s="2">
        <v>0</v>
      </c>
      <c r="L122" t="s">
        <v>5856</v>
      </c>
      <c r="M122" t="s">
        <v>6511</v>
      </c>
      <c r="N122" s="3">
        <v>43293</v>
      </c>
      <c r="O122" s="3">
        <v>43299</v>
      </c>
      <c r="P122" t="s">
        <v>5889</v>
      </c>
      <c r="Q122" t="s">
        <v>6038</v>
      </c>
      <c r="R122" t="s">
        <v>6040</v>
      </c>
      <c r="S122" s="3">
        <v>43288</v>
      </c>
      <c r="T122" t="s">
        <v>9938</v>
      </c>
      <c r="U122" t="s">
        <v>6752</v>
      </c>
      <c r="V122" t="s">
        <v>6041</v>
      </c>
      <c r="W122" t="s">
        <v>5857</v>
      </c>
      <c r="X122" s="2">
        <v>1275</v>
      </c>
      <c r="Y122" t="s">
        <v>5858</v>
      </c>
      <c r="Z122" t="s">
        <v>6037</v>
      </c>
      <c r="AA122" s="2">
        <v>5000</v>
      </c>
      <c r="AB122" t="s">
        <v>5863</v>
      </c>
      <c r="AC122" t="s">
        <v>13767</v>
      </c>
      <c r="AD122" s="32">
        <v>43280</v>
      </c>
      <c r="AI122" t="s">
        <v>9948</v>
      </c>
      <c r="AJ122" t="s">
        <v>9958</v>
      </c>
      <c r="AL122" t="s">
        <v>13816</v>
      </c>
    </row>
    <row r="123" spans="1:38">
      <c r="A123" t="s">
        <v>6700</v>
      </c>
      <c r="B123" t="s">
        <v>11621</v>
      </c>
      <c r="C123" t="s">
        <v>6744</v>
      </c>
      <c r="D123" t="s">
        <v>6745</v>
      </c>
      <c r="E123" s="2">
        <v>20600</v>
      </c>
      <c r="F123" s="2">
        <v>20600</v>
      </c>
      <c r="G123" s="3">
        <v>43297</v>
      </c>
      <c r="H123" s="4">
        <v>0.76332175925926005</v>
      </c>
      <c r="I123" s="3">
        <v>43298</v>
      </c>
      <c r="J123" s="4">
        <v>0.43652777777778001</v>
      </c>
      <c r="K123" s="2">
        <v>0</v>
      </c>
      <c r="L123" t="s">
        <v>5856</v>
      </c>
      <c r="M123" t="s">
        <v>6457</v>
      </c>
      <c r="N123" s="3">
        <v>43300</v>
      </c>
      <c r="O123" s="3">
        <v>43300</v>
      </c>
      <c r="P123" t="s">
        <v>5889</v>
      </c>
      <c r="Q123" t="s">
        <v>6746</v>
      </c>
      <c r="R123" t="s">
        <v>6036</v>
      </c>
      <c r="S123" s="3">
        <v>43300</v>
      </c>
      <c r="T123" t="s">
        <v>9938</v>
      </c>
      <c r="U123" t="s">
        <v>6747</v>
      </c>
      <c r="V123" t="s">
        <v>6748</v>
      </c>
      <c r="W123" t="s">
        <v>5857</v>
      </c>
      <c r="X123" s="2">
        <v>1275</v>
      </c>
      <c r="Y123" t="s">
        <v>5858</v>
      </c>
      <c r="Z123" t="s">
        <v>6037</v>
      </c>
      <c r="AA123" s="2">
        <v>20000</v>
      </c>
      <c r="AB123" t="s">
        <v>5863</v>
      </c>
      <c r="AC123" t="s">
        <v>9978</v>
      </c>
      <c r="AD123" s="32">
        <v>43279</v>
      </c>
      <c r="AJ123" t="s">
        <v>9958</v>
      </c>
      <c r="AL123" t="s">
        <v>10522</v>
      </c>
    </row>
    <row r="124" spans="1:38">
      <c r="A124" t="s">
        <v>6700</v>
      </c>
      <c r="B124" t="s">
        <v>11622</v>
      </c>
      <c r="C124" t="s">
        <v>6730</v>
      </c>
      <c r="D124" t="s">
        <v>6731</v>
      </c>
      <c r="E124" s="2">
        <v>10000</v>
      </c>
      <c r="F124" s="2">
        <v>10000</v>
      </c>
      <c r="G124" s="3">
        <v>43298</v>
      </c>
      <c r="H124" s="4">
        <v>0.45736111111111</v>
      </c>
      <c r="I124" s="3">
        <v>43298</v>
      </c>
      <c r="J124" s="4">
        <v>0.78415509259258998</v>
      </c>
      <c r="K124" s="2">
        <v>20</v>
      </c>
      <c r="L124" t="s">
        <v>5856</v>
      </c>
      <c r="M124" t="s">
        <v>6498</v>
      </c>
      <c r="N124" s="3">
        <v>43293</v>
      </c>
      <c r="O124" s="3">
        <v>43300</v>
      </c>
      <c r="P124" t="s">
        <v>5881</v>
      </c>
      <c r="Q124" t="s">
        <v>6749</v>
      </c>
      <c r="R124" t="s">
        <v>6036</v>
      </c>
      <c r="S124" s="3">
        <v>43293</v>
      </c>
      <c r="T124" t="s">
        <v>9938</v>
      </c>
      <c r="U124" t="s">
        <v>6555</v>
      </c>
      <c r="V124" t="s">
        <v>6733</v>
      </c>
      <c r="W124" t="s">
        <v>5857</v>
      </c>
      <c r="X124" s="2">
        <v>1275</v>
      </c>
      <c r="Y124" t="s">
        <v>5858</v>
      </c>
      <c r="Z124" t="s">
        <v>6037</v>
      </c>
      <c r="AA124" s="2">
        <v>10000</v>
      </c>
      <c r="AB124" t="s">
        <v>5863</v>
      </c>
      <c r="AC124" t="s">
        <v>9978</v>
      </c>
      <c r="AD124" s="32">
        <v>43264</v>
      </c>
      <c r="AJ124" t="s">
        <v>9958</v>
      </c>
      <c r="AL124" t="s">
        <v>10523</v>
      </c>
    </row>
    <row r="125" spans="1:38">
      <c r="A125" t="s">
        <v>6700</v>
      </c>
      <c r="B125" t="s">
        <v>11623</v>
      </c>
      <c r="C125" t="s">
        <v>6753</v>
      </c>
      <c r="D125" t="s">
        <v>6754</v>
      </c>
      <c r="E125" s="2">
        <v>5000</v>
      </c>
      <c r="F125" s="2">
        <v>5000</v>
      </c>
      <c r="G125" s="3">
        <v>43298</v>
      </c>
      <c r="H125" s="4">
        <v>0.80498842592593001</v>
      </c>
      <c r="I125" s="3">
        <v>43298</v>
      </c>
      <c r="J125" s="4">
        <v>0.96839120370370002</v>
      </c>
      <c r="K125" s="2">
        <v>20</v>
      </c>
      <c r="L125" t="s">
        <v>5856</v>
      </c>
      <c r="M125" t="s">
        <v>6511</v>
      </c>
      <c r="N125" s="3">
        <v>43298</v>
      </c>
      <c r="O125" s="3">
        <v>43300</v>
      </c>
      <c r="P125" t="s">
        <v>5881</v>
      </c>
      <c r="Q125" t="s">
        <v>6755</v>
      </c>
      <c r="R125" t="s">
        <v>6036</v>
      </c>
      <c r="S125" s="3">
        <v>43298</v>
      </c>
      <c r="T125" t="s">
        <v>9938</v>
      </c>
      <c r="U125" t="s">
        <v>6756</v>
      </c>
      <c r="V125" t="s">
        <v>6757</v>
      </c>
      <c r="W125" t="s">
        <v>5857</v>
      </c>
      <c r="X125" s="2">
        <v>1275</v>
      </c>
      <c r="Y125" t="s">
        <v>5858</v>
      </c>
      <c r="Z125" t="s">
        <v>6037</v>
      </c>
      <c r="AA125" s="2">
        <v>5000</v>
      </c>
      <c r="AB125" t="s">
        <v>5863</v>
      </c>
      <c r="AC125" t="s">
        <v>9978</v>
      </c>
      <c r="AD125" s="32">
        <v>43270</v>
      </c>
      <c r="AJ125" t="s">
        <v>9958</v>
      </c>
      <c r="AL125" t="s">
        <v>10524</v>
      </c>
    </row>
    <row r="126" spans="1:38">
      <c r="A126" t="s">
        <v>6700</v>
      </c>
      <c r="B126" t="s">
        <v>12849</v>
      </c>
      <c r="C126" t="s">
        <v>12839</v>
      </c>
      <c r="D126" t="s">
        <v>12840</v>
      </c>
      <c r="E126" s="2">
        <v>10300</v>
      </c>
      <c r="F126" s="2">
        <v>10300</v>
      </c>
      <c r="G126" s="3">
        <v>43298</v>
      </c>
      <c r="H126" s="4">
        <v>0.98922453703704005</v>
      </c>
      <c r="I126" s="3">
        <v>43299</v>
      </c>
      <c r="J126" s="4">
        <v>0.32582175925925999</v>
      </c>
      <c r="K126" s="2">
        <v>20</v>
      </c>
      <c r="L126" t="s">
        <v>5856</v>
      </c>
      <c r="M126" t="s">
        <v>6483</v>
      </c>
      <c r="N126" s="3">
        <v>43308</v>
      </c>
      <c r="O126" s="3">
        <v>43301</v>
      </c>
      <c r="P126" t="s">
        <v>5889</v>
      </c>
      <c r="Q126" t="s">
        <v>12842</v>
      </c>
      <c r="R126" t="s">
        <v>6036</v>
      </c>
      <c r="S126" s="3">
        <v>43308</v>
      </c>
      <c r="T126" t="s">
        <v>9938</v>
      </c>
      <c r="U126" t="s">
        <v>5893</v>
      </c>
      <c r="V126" t="s">
        <v>12843</v>
      </c>
      <c r="W126" t="s">
        <v>5857</v>
      </c>
      <c r="X126" s="2">
        <v>1275</v>
      </c>
      <c r="Y126" t="s">
        <v>5858</v>
      </c>
      <c r="Z126" t="s">
        <v>6037</v>
      </c>
      <c r="AA126" s="2">
        <v>10000</v>
      </c>
      <c r="AB126" t="s">
        <v>5863</v>
      </c>
      <c r="AC126" t="s">
        <v>9978</v>
      </c>
      <c r="AD126" s="32">
        <v>43280</v>
      </c>
      <c r="AJ126" t="s">
        <v>9958</v>
      </c>
      <c r="AL126" t="s">
        <v>13817</v>
      </c>
    </row>
    <row r="127" spans="1:38">
      <c r="A127" t="s">
        <v>6700</v>
      </c>
      <c r="B127" t="s">
        <v>11624</v>
      </c>
      <c r="C127" t="s">
        <v>6758</v>
      </c>
      <c r="D127" t="s">
        <v>6759</v>
      </c>
      <c r="E127" s="2">
        <v>10000</v>
      </c>
      <c r="F127" s="2">
        <v>10000</v>
      </c>
      <c r="G127" s="3">
        <v>43299</v>
      </c>
      <c r="H127" s="4">
        <v>0.34665509259258998</v>
      </c>
      <c r="I127" s="3">
        <v>43299</v>
      </c>
      <c r="J127" s="4">
        <v>0.67344907407406995</v>
      </c>
      <c r="K127" s="2">
        <v>20</v>
      </c>
      <c r="L127" t="s">
        <v>5856</v>
      </c>
      <c r="M127" t="s">
        <v>6498</v>
      </c>
      <c r="N127" s="3">
        <v>43301</v>
      </c>
      <c r="O127" s="3">
        <v>43301</v>
      </c>
      <c r="P127" t="s">
        <v>6018</v>
      </c>
      <c r="Q127" t="s">
        <v>12850</v>
      </c>
      <c r="R127" t="s">
        <v>6036</v>
      </c>
      <c r="S127" s="3">
        <v>43301</v>
      </c>
      <c r="T127" t="s">
        <v>9938</v>
      </c>
      <c r="U127" t="s">
        <v>6714</v>
      </c>
      <c r="V127" t="s">
        <v>6760</v>
      </c>
      <c r="W127" t="s">
        <v>5857</v>
      </c>
      <c r="X127" s="2">
        <v>1275</v>
      </c>
      <c r="Y127" t="s">
        <v>5858</v>
      </c>
      <c r="Z127" t="s">
        <v>6037</v>
      </c>
      <c r="AA127" s="2">
        <v>10000</v>
      </c>
      <c r="AB127" t="s">
        <v>5863</v>
      </c>
      <c r="AC127" t="s">
        <v>9978</v>
      </c>
      <c r="AD127" s="32">
        <v>43259</v>
      </c>
      <c r="AJ127" t="s">
        <v>9958</v>
      </c>
      <c r="AL127" t="s">
        <v>10525</v>
      </c>
    </row>
    <row r="128" spans="1:38">
      <c r="A128" t="s">
        <v>6700</v>
      </c>
      <c r="B128" t="s">
        <v>11625</v>
      </c>
      <c r="C128" t="s">
        <v>6761</v>
      </c>
      <c r="D128" t="s">
        <v>6762</v>
      </c>
      <c r="E128" s="2">
        <v>10712</v>
      </c>
      <c r="F128" s="2">
        <v>10712</v>
      </c>
      <c r="G128" s="3">
        <v>43299</v>
      </c>
      <c r="H128" s="4">
        <v>0.69428240740740998</v>
      </c>
      <c r="I128" s="3">
        <v>43300</v>
      </c>
      <c r="J128" s="4">
        <v>4.4351851851849998E-2</v>
      </c>
      <c r="K128" s="2">
        <v>20</v>
      </c>
      <c r="L128" t="s">
        <v>5856</v>
      </c>
      <c r="M128" t="s">
        <v>6763</v>
      </c>
      <c r="N128" s="3">
        <v>43294</v>
      </c>
      <c r="O128" s="3">
        <v>43302</v>
      </c>
      <c r="P128" t="s">
        <v>5862</v>
      </c>
      <c r="Q128" t="s">
        <v>6764</v>
      </c>
      <c r="R128" t="s">
        <v>6036</v>
      </c>
      <c r="S128" s="3">
        <v>43294</v>
      </c>
      <c r="T128" t="s">
        <v>9938</v>
      </c>
      <c r="U128" t="s">
        <v>6555</v>
      </c>
      <c r="V128" t="s">
        <v>6765</v>
      </c>
      <c r="W128" t="s">
        <v>5857</v>
      </c>
      <c r="X128" s="2">
        <v>1275</v>
      </c>
      <c r="Y128" t="s">
        <v>5858</v>
      </c>
      <c r="Z128" t="s">
        <v>6037</v>
      </c>
      <c r="AA128" s="2">
        <v>10400</v>
      </c>
      <c r="AB128" t="s">
        <v>5863</v>
      </c>
      <c r="AC128" t="s">
        <v>9978</v>
      </c>
      <c r="AD128" s="32">
        <v>43257</v>
      </c>
      <c r="AJ128" t="s">
        <v>9958</v>
      </c>
      <c r="AL128" t="s">
        <v>10526</v>
      </c>
    </row>
    <row r="129" spans="1:38">
      <c r="A129" t="s">
        <v>6700</v>
      </c>
      <c r="B129" t="s">
        <v>12045</v>
      </c>
      <c r="C129" t="s">
        <v>8173</v>
      </c>
      <c r="D129" t="s">
        <v>8174</v>
      </c>
      <c r="E129" s="2">
        <v>10300</v>
      </c>
      <c r="F129" s="2">
        <v>10300</v>
      </c>
      <c r="G129" s="3">
        <v>43300</v>
      </c>
      <c r="H129" s="4">
        <v>6.5185185185189995E-2</v>
      </c>
      <c r="I129" s="3">
        <v>43300</v>
      </c>
      <c r="J129" s="4">
        <v>0.40178240740741</v>
      </c>
      <c r="K129" s="2">
        <v>0</v>
      </c>
      <c r="L129" t="s">
        <v>5856</v>
      </c>
      <c r="M129" t="s">
        <v>6483</v>
      </c>
      <c r="N129" s="3">
        <v>43299</v>
      </c>
      <c r="O129" s="3">
        <v>43302</v>
      </c>
      <c r="P129" t="s">
        <v>6868</v>
      </c>
      <c r="Q129" t="s">
        <v>8175</v>
      </c>
      <c r="R129" t="s">
        <v>6036</v>
      </c>
      <c r="S129" s="3">
        <v>43299</v>
      </c>
      <c r="T129" t="s">
        <v>9938</v>
      </c>
      <c r="U129" t="s">
        <v>6600</v>
      </c>
      <c r="V129" t="s">
        <v>8176</v>
      </c>
      <c r="W129" t="s">
        <v>5857</v>
      </c>
      <c r="X129" s="2">
        <v>1275</v>
      </c>
      <c r="Y129" t="s">
        <v>5858</v>
      </c>
      <c r="Z129" t="s">
        <v>6037</v>
      </c>
      <c r="AA129" s="2">
        <v>10000</v>
      </c>
      <c r="AB129" t="s">
        <v>5863</v>
      </c>
      <c r="AC129" t="s">
        <v>9976</v>
      </c>
      <c r="AD129" s="32">
        <v>43272</v>
      </c>
      <c r="AJ129" t="s">
        <v>9958</v>
      </c>
      <c r="AL129" t="s">
        <v>13818</v>
      </c>
    </row>
    <row r="130" spans="1:38">
      <c r="A130" t="s">
        <v>6700</v>
      </c>
      <c r="B130" t="s">
        <v>11626</v>
      </c>
      <c r="C130" t="s">
        <v>6758</v>
      </c>
      <c r="D130" t="s">
        <v>6759</v>
      </c>
      <c r="E130" s="2">
        <v>10000</v>
      </c>
      <c r="F130" s="2">
        <v>10000</v>
      </c>
      <c r="G130" s="3">
        <v>43300</v>
      </c>
      <c r="H130" s="4">
        <v>0.42261574074073999</v>
      </c>
      <c r="I130" s="3">
        <v>43300</v>
      </c>
      <c r="J130" s="4">
        <v>0.74940972222222002</v>
      </c>
      <c r="K130" s="2">
        <v>20</v>
      </c>
      <c r="L130" t="s">
        <v>5856</v>
      </c>
      <c r="M130" t="s">
        <v>6498</v>
      </c>
      <c r="N130" s="3">
        <v>43304</v>
      </c>
      <c r="O130" s="3">
        <v>43302</v>
      </c>
      <c r="P130" t="s">
        <v>6018</v>
      </c>
      <c r="Q130" t="s">
        <v>12851</v>
      </c>
      <c r="R130" t="s">
        <v>6036</v>
      </c>
      <c r="S130" s="3">
        <v>43304</v>
      </c>
      <c r="T130" t="s">
        <v>9938</v>
      </c>
      <c r="U130" t="s">
        <v>6714</v>
      </c>
      <c r="V130" t="s">
        <v>6760</v>
      </c>
      <c r="W130" t="s">
        <v>5857</v>
      </c>
      <c r="X130" s="2">
        <v>1275</v>
      </c>
      <c r="Y130" t="s">
        <v>5858</v>
      </c>
      <c r="Z130" t="s">
        <v>6037</v>
      </c>
      <c r="AA130" s="2">
        <v>10000</v>
      </c>
      <c r="AB130" t="s">
        <v>5863</v>
      </c>
      <c r="AC130" t="s">
        <v>9978</v>
      </c>
      <c r="AD130" s="32">
        <v>43259</v>
      </c>
      <c r="AJ130" t="s">
        <v>9958</v>
      </c>
      <c r="AL130" t="s">
        <v>10527</v>
      </c>
    </row>
    <row r="131" spans="1:38">
      <c r="A131" t="s">
        <v>6700</v>
      </c>
      <c r="B131" t="s">
        <v>11627</v>
      </c>
      <c r="C131" t="s">
        <v>6766</v>
      </c>
      <c r="D131" t="s">
        <v>6767</v>
      </c>
      <c r="E131" s="2">
        <v>3000</v>
      </c>
      <c r="F131" s="2">
        <v>3000</v>
      </c>
      <c r="G131" s="3">
        <v>43300</v>
      </c>
      <c r="H131" s="4">
        <v>0.77024305555556005</v>
      </c>
      <c r="I131" s="3">
        <v>43300</v>
      </c>
      <c r="J131" s="4">
        <v>0.86828703703704002</v>
      </c>
      <c r="K131" s="2">
        <v>20</v>
      </c>
      <c r="L131" t="s">
        <v>5856</v>
      </c>
      <c r="M131" t="s">
        <v>6634</v>
      </c>
      <c r="N131" s="3">
        <v>43299</v>
      </c>
      <c r="O131" s="3">
        <v>43302</v>
      </c>
      <c r="P131" t="s">
        <v>5994</v>
      </c>
      <c r="Q131" t="s">
        <v>6768</v>
      </c>
      <c r="R131" t="s">
        <v>6036</v>
      </c>
      <c r="S131" s="3">
        <v>43299</v>
      </c>
      <c r="T131" t="s">
        <v>9938</v>
      </c>
      <c r="U131" t="s">
        <v>6052</v>
      </c>
      <c r="V131" t="s">
        <v>6769</v>
      </c>
      <c r="W131" t="s">
        <v>6038</v>
      </c>
      <c r="X131" s="2">
        <v>1275</v>
      </c>
      <c r="Y131" t="s">
        <v>5858</v>
      </c>
      <c r="Z131" t="s">
        <v>6037</v>
      </c>
      <c r="AA131" s="2">
        <v>3000</v>
      </c>
      <c r="AB131" t="s">
        <v>5863</v>
      </c>
      <c r="AC131" t="s">
        <v>9974</v>
      </c>
      <c r="AD131" s="32">
        <v>43264</v>
      </c>
      <c r="AJ131" t="s">
        <v>9958</v>
      </c>
      <c r="AL131" t="s">
        <v>10528</v>
      </c>
    </row>
    <row r="132" spans="1:38">
      <c r="A132" t="s">
        <v>6700</v>
      </c>
      <c r="B132" t="s">
        <v>11628</v>
      </c>
      <c r="C132" t="s">
        <v>6772</v>
      </c>
      <c r="D132" t="s">
        <v>6773</v>
      </c>
      <c r="E132" s="2">
        <v>10000</v>
      </c>
      <c r="F132" s="2">
        <v>10000</v>
      </c>
      <c r="G132" s="3">
        <v>43300</v>
      </c>
      <c r="H132" s="4">
        <v>0.88912037037036995</v>
      </c>
      <c r="I132" s="3">
        <v>43301</v>
      </c>
      <c r="J132" s="4">
        <v>0.21591435185185001</v>
      </c>
      <c r="K132" s="2">
        <v>20</v>
      </c>
      <c r="L132" t="s">
        <v>5856</v>
      </c>
      <c r="M132" t="s">
        <v>6498</v>
      </c>
      <c r="N132" s="3">
        <v>43300</v>
      </c>
      <c r="O132" s="3">
        <v>43303</v>
      </c>
      <c r="P132" t="s">
        <v>5913</v>
      </c>
      <c r="Q132" t="s">
        <v>6774</v>
      </c>
      <c r="R132" t="s">
        <v>6036</v>
      </c>
      <c r="S132" s="3">
        <v>43300</v>
      </c>
      <c r="T132" t="s">
        <v>9938</v>
      </c>
      <c r="U132" t="s">
        <v>5923</v>
      </c>
      <c r="V132" t="s">
        <v>6775</v>
      </c>
      <c r="W132" t="s">
        <v>6478</v>
      </c>
      <c r="X132" s="2">
        <v>1275</v>
      </c>
      <c r="Y132" t="s">
        <v>5858</v>
      </c>
      <c r="Z132" t="s">
        <v>6037</v>
      </c>
      <c r="AA132" s="2">
        <v>10000</v>
      </c>
      <c r="AB132" t="s">
        <v>5863</v>
      </c>
      <c r="AC132" t="s">
        <v>9974</v>
      </c>
      <c r="AD132" s="32">
        <v>43194</v>
      </c>
      <c r="AJ132" t="s">
        <v>9959</v>
      </c>
      <c r="AL132" t="s">
        <v>10529</v>
      </c>
    </row>
    <row r="133" spans="1:38">
      <c r="A133" t="s">
        <v>6700</v>
      </c>
      <c r="B133" t="s">
        <v>11629</v>
      </c>
      <c r="C133" t="s">
        <v>6776</v>
      </c>
      <c r="D133" t="s">
        <v>6777</v>
      </c>
      <c r="E133" s="2">
        <v>5325</v>
      </c>
      <c r="F133" s="2">
        <v>5325</v>
      </c>
      <c r="G133" s="3">
        <v>43301</v>
      </c>
      <c r="H133" s="4">
        <v>0.23674768518518999</v>
      </c>
      <c r="I133" s="3">
        <v>43301</v>
      </c>
      <c r="J133" s="4">
        <v>0.41076388888888998</v>
      </c>
      <c r="K133" s="2">
        <v>0</v>
      </c>
      <c r="L133" t="s">
        <v>5856</v>
      </c>
      <c r="M133" t="s">
        <v>6778</v>
      </c>
      <c r="N133" s="3">
        <v>43300</v>
      </c>
      <c r="O133" s="3">
        <v>43303</v>
      </c>
      <c r="P133" t="s">
        <v>5881</v>
      </c>
      <c r="Q133" t="s">
        <v>6779</v>
      </c>
      <c r="R133" t="s">
        <v>6036</v>
      </c>
      <c r="S133" s="3">
        <v>43300</v>
      </c>
      <c r="T133" t="s">
        <v>9938</v>
      </c>
      <c r="U133" t="s">
        <v>5894</v>
      </c>
      <c r="V133" t="s">
        <v>6780</v>
      </c>
      <c r="W133" t="s">
        <v>6038</v>
      </c>
      <c r="X133" s="2">
        <v>1275</v>
      </c>
      <c r="Y133" t="s">
        <v>5858</v>
      </c>
      <c r="Z133" t="s">
        <v>6037</v>
      </c>
      <c r="AA133" s="2">
        <v>5325</v>
      </c>
      <c r="AB133" t="s">
        <v>5863</v>
      </c>
      <c r="AC133" t="s">
        <v>9978</v>
      </c>
      <c r="AD133" s="32">
        <v>43250</v>
      </c>
      <c r="AJ133" t="s">
        <v>9958</v>
      </c>
      <c r="AL133" t="s">
        <v>10530</v>
      </c>
    </row>
    <row r="134" spans="1:38">
      <c r="A134" t="s">
        <v>6700</v>
      </c>
      <c r="B134" t="s">
        <v>11630</v>
      </c>
      <c r="C134" t="s">
        <v>6086</v>
      </c>
      <c r="D134" t="s">
        <v>5998</v>
      </c>
      <c r="E134" s="2">
        <v>10300</v>
      </c>
      <c r="F134" s="2">
        <v>10300</v>
      </c>
      <c r="G134" s="3">
        <v>43301</v>
      </c>
      <c r="H134" s="4">
        <v>0.43159722222222002</v>
      </c>
      <c r="I134" s="3">
        <v>43301</v>
      </c>
      <c r="J134" s="4">
        <v>0.76819444444443996</v>
      </c>
      <c r="K134" s="2">
        <v>0</v>
      </c>
      <c r="L134" t="s">
        <v>5856</v>
      </c>
      <c r="M134" t="s">
        <v>6483</v>
      </c>
      <c r="N134" s="3">
        <v>43300</v>
      </c>
      <c r="O134" s="3">
        <v>43303</v>
      </c>
      <c r="P134" t="s">
        <v>5889</v>
      </c>
      <c r="Q134" t="s">
        <v>12852</v>
      </c>
      <c r="R134" t="s">
        <v>6036</v>
      </c>
      <c r="S134" s="3">
        <v>43298</v>
      </c>
      <c r="T134" t="s">
        <v>9938</v>
      </c>
      <c r="U134" t="s">
        <v>5894</v>
      </c>
      <c r="V134" t="s">
        <v>5999</v>
      </c>
      <c r="W134" t="s">
        <v>5857</v>
      </c>
      <c r="X134" s="2">
        <v>0</v>
      </c>
      <c r="Y134" t="s">
        <v>5858</v>
      </c>
      <c r="Z134" t="s">
        <v>6037</v>
      </c>
      <c r="AA134" s="2">
        <v>10000</v>
      </c>
      <c r="AB134" t="s">
        <v>5861</v>
      </c>
      <c r="AC134" t="s">
        <v>9979</v>
      </c>
      <c r="AD134" s="32"/>
      <c r="AJ134" t="s">
        <v>9958</v>
      </c>
      <c r="AL134" t="s">
        <v>10531</v>
      </c>
    </row>
    <row r="135" spans="1:38">
      <c r="A135" t="s">
        <v>6700</v>
      </c>
      <c r="B135" t="s">
        <v>11631</v>
      </c>
      <c r="C135" t="s">
        <v>6473</v>
      </c>
      <c r="D135" t="s">
        <v>6474</v>
      </c>
      <c r="E135" s="2">
        <v>20000</v>
      </c>
      <c r="F135" s="2">
        <v>20000</v>
      </c>
      <c r="G135" s="3">
        <v>43301</v>
      </c>
      <c r="H135" s="4">
        <v>0.78902777777777999</v>
      </c>
      <c r="I135" s="3">
        <v>43302</v>
      </c>
      <c r="J135" s="4">
        <v>0.34458333333333002</v>
      </c>
      <c r="K135" s="2">
        <v>0</v>
      </c>
      <c r="L135" t="s">
        <v>5856</v>
      </c>
      <c r="M135" t="s">
        <v>6723</v>
      </c>
      <c r="N135" s="3">
        <v>43302</v>
      </c>
      <c r="O135" s="3">
        <v>43304</v>
      </c>
      <c r="P135" t="s">
        <v>6724</v>
      </c>
      <c r="Q135" t="s">
        <v>12853</v>
      </c>
      <c r="R135" t="s">
        <v>6476</v>
      </c>
      <c r="S135" s="3">
        <v>43358</v>
      </c>
      <c r="T135" t="s">
        <v>9938</v>
      </c>
      <c r="U135" t="s">
        <v>6477</v>
      </c>
      <c r="V135" t="s">
        <v>5941</v>
      </c>
      <c r="W135" t="s">
        <v>6478</v>
      </c>
      <c r="X135" s="2">
        <v>0</v>
      </c>
      <c r="Y135" t="s">
        <v>5858</v>
      </c>
      <c r="Z135" t="s">
        <v>6037</v>
      </c>
      <c r="AA135" s="2">
        <v>20000</v>
      </c>
      <c r="AB135" t="s">
        <v>5861</v>
      </c>
      <c r="AC135" t="s">
        <v>9977</v>
      </c>
      <c r="AD135" s="32"/>
      <c r="AJ135" t="s">
        <v>9959</v>
      </c>
      <c r="AL135" t="s">
        <v>10532</v>
      </c>
    </row>
    <row r="136" spans="1:38">
      <c r="A136" t="s">
        <v>6700</v>
      </c>
      <c r="B136" t="s">
        <v>11632</v>
      </c>
      <c r="C136" t="s">
        <v>6730</v>
      </c>
      <c r="D136" t="s">
        <v>6731</v>
      </c>
      <c r="E136" s="2">
        <v>10600</v>
      </c>
      <c r="F136" s="2">
        <v>10600</v>
      </c>
      <c r="G136" s="3">
        <v>43302</v>
      </c>
      <c r="H136" s="4">
        <v>0.36541666666667</v>
      </c>
      <c r="I136" s="3">
        <v>43302</v>
      </c>
      <c r="J136" s="4">
        <v>0.71181712962962995</v>
      </c>
      <c r="K136" s="2">
        <v>20</v>
      </c>
      <c r="L136" t="s">
        <v>5856</v>
      </c>
      <c r="M136" t="s">
        <v>6781</v>
      </c>
      <c r="N136" s="3">
        <v>43304</v>
      </c>
      <c r="O136" s="3">
        <v>43304</v>
      </c>
      <c r="P136" t="s">
        <v>5881</v>
      </c>
      <c r="Q136" t="s">
        <v>6782</v>
      </c>
      <c r="R136" t="s">
        <v>6036</v>
      </c>
      <c r="S136" s="3">
        <v>43304</v>
      </c>
      <c r="T136" t="s">
        <v>9938</v>
      </c>
      <c r="U136" t="s">
        <v>6555</v>
      </c>
      <c r="V136" t="s">
        <v>6733</v>
      </c>
      <c r="W136" t="s">
        <v>5857</v>
      </c>
      <c r="X136" s="2">
        <v>1275</v>
      </c>
      <c r="Y136" t="s">
        <v>5858</v>
      </c>
      <c r="Z136" t="s">
        <v>6037</v>
      </c>
      <c r="AA136" s="2">
        <v>10600</v>
      </c>
      <c r="AB136" t="s">
        <v>5863</v>
      </c>
      <c r="AC136" t="s">
        <v>9978</v>
      </c>
      <c r="AD136" s="32">
        <v>43229</v>
      </c>
      <c r="AJ136" t="s">
        <v>9958</v>
      </c>
      <c r="AL136" t="s">
        <v>10533</v>
      </c>
    </row>
    <row r="137" spans="1:38">
      <c r="A137" t="s">
        <v>6700</v>
      </c>
      <c r="B137" t="s">
        <v>11633</v>
      </c>
      <c r="C137" t="s">
        <v>6473</v>
      </c>
      <c r="D137" t="s">
        <v>6474</v>
      </c>
      <c r="E137" s="2">
        <v>20000</v>
      </c>
      <c r="F137" s="2">
        <v>20000</v>
      </c>
      <c r="G137" s="3">
        <v>43302</v>
      </c>
      <c r="H137" s="4">
        <v>0.73265046296295999</v>
      </c>
      <c r="I137" s="3">
        <v>43303</v>
      </c>
      <c r="J137" s="4">
        <v>0.28820601851852001</v>
      </c>
      <c r="K137" s="2">
        <v>0</v>
      </c>
      <c r="L137" t="s">
        <v>5856</v>
      </c>
      <c r="M137" t="s">
        <v>6723</v>
      </c>
      <c r="N137" s="3">
        <v>43303</v>
      </c>
      <c r="O137" s="3">
        <v>43305</v>
      </c>
      <c r="P137" t="s">
        <v>6724</v>
      </c>
      <c r="Q137" t="s">
        <v>11995</v>
      </c>
      <c r="R137" t="s">
        <v>6784</v>
      </c>
      <c r="S137" s="3">
        <v>43364</v>
      </c>
      <c r="T137" t="s">
        <v>9938</v>
      </c>
      <c r="U137" t="s">
        <v>6477</v>
      </c>
      <c r="V137" t="s">
        <v>5941</v>
      </c>
      <c r="W137" t="s">
        <v>6478</v>
      </c>
      <c r="X137" s="2">
        <v>0</v>
      </c>
      <c r="Y137" t="s">
        <v>5858</v>
      </c>
      <c r="Z137" t="s">
        <v>6037</v>
      </c>
      <c r="AA137" s="2">
        <v>20000</v>
      </c>
      <c r="AB137" t="s">
        <v>5861</v>
      </c>
      <c r="AC137" t="s">
        <v>9977</v>
      </c>
      <c r="AD137" s="32"/>
      <c r="AJ137" t="s">
        <v>9959</v>
      </c>
      <c r="AL137" t="s">
        <v>10534</v>
      </c>
    </row>
    <row r="138" spans="1:38">
      <c r="A138" t="s">
        <v>6700</v>
      </c>
      <c r="B138" t="s">
        <v>12854</v>
      </c>
      <c r="C138" t="s">
        <v>12855</v>
      </c>
      <c r="D138" t="s">
        <v>12856</v>
      </c>
      <c r="E138" s="2">
        <v>3000</v>
      </c>
      <c r="F138" s="2">
        <v>3000</v>
      </c>
      <c r="G138" s="3">
        <v>43303</v>
      </c>
      <c r="H138" s="4">
        <v>0.30903935185185</v>
      </c>
      <c r="I138" s="3">
        <v>43303</v>
      </c>
      <c r="J138" s="4">
        <v>0.40708333333333002</v>
      </c>
      <c r="K138" s="2">
        <v>20</v>
      </c>
      <c r="L138" t="s">
        <v>5856</v>
      </c>
      <c r="M138" t="s">
        <v>6634</v>
      </c>
      <c r="N138" s="3">
        <v>43305</v>
      </c>
      <c r="O138" s="3">
        <v>43305</v>
      </c>
      <c r="P138" t="s">
        <v>5971</v>
      </c>
      <c r="Q138" t="s">
        <v>12857</v>
      </c>
      <c r="R138" t="s">
        <v>6036</v>
      </c>
      <c r="S138" s="3">
        <v>43305</v>
      </c>
      <c r="T138" t="s">
        <v>9938</v>
      </c>
      <c r="U138" t="s">
        <v>12858</v>
      </c>
      <c r="V138" t="s">
        <v>12859</v>
      </c>
      <c r="W138" t="s">
        <v>5857</v>
      </c>
      <c r="X138" s="2">
        <v>1275</v>
      </c>
      <c r="Y138" t="s">
        <v>5858</v>
      </c>
      <c r="Z138" t="s">
        <v>6037</v>
      </c>
      <c r="AA138" s="2">
        <v>3000</v>
      </c>
      <c r="AB138" t="s">
        <v>5863</v>
      </c>
      <c r="AC138" t="s">
        <v>9976</v>
      </c>
      <c r="AD138" s="32">
        <v>43280</v>
      </c>
      <c r="AJ138" t="s">
        <v>9959</v>
      </c>
      <c r="AL138" t="s">
        <v>13819</v>
      </c>
    </row>
    <row r="139" spans="1:38">
      <c r="A139" t="s">
        <v>6700</v>
      </c>
      <c r="B139" t="s">
        <v>12860</v>
      </c>
      <c r="C139" t="s">
        <v>6835</v>
      </c>
      <c r="D139" t="s">
        <v>6836</v>
      </c>
      <c r="E139" s="2">
        <v>10300</v>
      </c>
      <c r="F139" s="2">
        <v>10300</v>
      </c>
      <c r="G139" s="3">
        <v>43303</v>
      </c>
      <c r="H139" s="4">
        <v>0.42791666666667</v>
      </c>
      <c r="I139" s="3">
        <v>43303</v>
      </c>
      <c r="J139" s="4">
        <v>0.76451388888889005</v>
      </c>
      <c r="K139" s="2">
        <v>0</v>
      </c>
      <c r="L139" t="s">
        <v>5856</v>
      </c>
      <c r="M139" t="s">
        <v>6483</v>
      </c>
      <c r="N139" s="3">
        <v>43308</v>
      </c>
      <c r="O139" s="3">
        <v>43305</v>
      </c>
      <c r="P139" t="s">
        <v>5862</v>
      </c>
      <c r="Q139" t="s">
        <v>12861</v>
      </c>
      <c r="R139" t="s">
        <v>6036</v>
      </c>
      <c r="S139" s="3">
        <v>43308</v>
      </c>
      <c r="T139" t="s">
        <v>9938</v>
      </c>
      <c r="U139" t="s">
        <v>5894</v>
      </c>
      <c r="V139" t="s">
        <v>6838</v>
      </c>
      <c r="W139" t="s">
        <v>5857</v>
      </c>
      <c r="X139" s="2">
        <v>1275</v>
      </c>
      <c r="Y139" t="s">
        <v>5858</v>
      </c>
      <c r="Z139" t="s">
        <v>6037</v>
      </c>
      <c r="AA139" s="2">
        <v>10000</v>
      </c>
      <c r="AB139" t="s">
        <v>5863</v>
      </c>
      <c r="AC139" t="s">
        <v>9978</v>
      </c>
      <c r="AD139" s="32">
        <v>43279</v>
      </c>
      <c r="AI139" t="s">
        <v>9939</v>
      </c>
      <c r="AJ139" t="s">
        <v>9958</v>
      </c>
      <c r="AL139" t="s">
        <v>13820</v>
      </c>
    </row>
    <row r="140" spans="1:38">
      <c r="A140" t="s">
        <v>6700</v>
      </c>
      <c r="B140" t="s">
        <v>11634</v>
      </c>
      <c r="C140" t="s">
        <v>6730</v>
      </c>
      <c r="D140" t="s">
        <v>6731</v>
      </c>
      <c r="E140" s="2">
        <v>3090</v>
      </c>
      <c r="F140" s="2">
        <v>3090</v>
      </c>
      <c r="G140" s="3">
        <v>43303</v>
      </c>
      <c r="H140" s="4">
        <v>0.78534722222221998</v>
      </c>
      <c r="I140" s="3">
        <v>43303</v>
      </c>
      <c r="J140" s="4">
        <v>0.88633101851852003</v>
      </c>
      <c r="K140" s="2">
        <v>20</v>
      </c>
      <c r="L140" t="s">
        <v>5856</v>
      </c>
      <c r="M140" t="s">
        <v>6785</v>
      </c>
      <c r="N140" s="3">
        <v>43306</v>
      </c>
      <c r="O140" s="3">
        <v>43305</v>
      </c>
      <c r="P140" t="s">
        <v>5881</v>
      </c>
      <c r="Q140" t="s">
        <v>6786</v>
      </c>
      <c r="R140" t="s">
        <v>6036</v>
      </c>
      <c r="S140" s="3">
        <v>43306</v>
      </c>
      <c r="T140" t="s">
        <v>9938</v>
      </c>
      <c r="U140" t="s">
        <v>6555</v>
      </c>
      <c r="V140" t="s">
        <v>6733</v>
      </c>
      <c r="W140" t="s">
        <v>5857</v>
      </c>
      <c r="X140" s="2">
        <v>1275</v>
      </c>
      <c r="Y140" t="s">
        <v>5858</v>
      </c>
      <c r="Z140" t="s">
        <v>6037</v>
      </c>
      <c r="AA140" s="2">
        <v>3000</v>
      </c>
      <c r="AB140" t="s">
        <v>5863</v>
      </c>
      <c r="AC140" t="s">
        <v>9978</v>
      </c>
      <c r="AD140" s="32">
        <v>43279</v>
      </c>
      <c r="AJ140" t="s">
        <v>9958</v>
      </c>
      <c r="AL140" t="s">
        <v>10535</v>
      </c>
    </row>
    <row r="141" spans="1:38">
      <c r="A141" t="s">
        <v>6700</v>
      </c>
      <c r="B141" t="s">
        <v>11635</v>
      </c>
      <c r="C141" t="s">
        <v>6787</v>
      </c>
      <c r="D141" t="s">
        <v>6788</v>
      </c>
      <c r="E141" s="2">
        <v>5150</v>
      </c>
      <c r="F141" s="2">
        <v>5150</v>
      </c>
      <c r="G141" s="3">
        <v>43303</v>
      </c>
      <c r="H141" s="4">
        <v>0.90716435185184996</v>
      </c>
      <c r="I141" s="3">
        <v>43304</v>
      </c>
      <c r="J141" s="4">
        <v>7.5462962962959998E-2</v>
      </c>
      <c r="K141" s="2">
        <v>0</v>
      </c>
      <c r="L141" t="s">
        <v>5856</v>
      </c>
      <c r="M141" t="s">
        <v>6536</v>
      </c>
      <c r="N141" s="3">
        <v>43305</v>
      </c>
      <c r="O141" s="3">
        <v>43306</v>
      </c>
      <c r="P141" t="s">
        <v>5889</v>
      </c>
      <c r="Q141" t="s">
        <v>6789</v>
      </c>
      <c r="R141" t="s">
        <v>6036</v>
      </c>
      <c r="S141" s="3">
        <v>43305</v>
      </c>
      <c r="T141" t="s">
        <v>9938</v>
      </c>
      <c r="U141" t="s">
        <v>6790</v>
      </c>
      <c r="V141" t="s">
        <v>6041</v>
      </c>
      <c r="W141" t="s">
        <v>5857</v>
      </c>
      <c r="X141" s="2">
        <v>1275</v>
      </c>
      <c r="Y141" t="s">
        <v>5858</v>
      </c>
      <c r="Z141" t="s">
        <v>6037</v>
      </c>
      <c r="AA141" s="2">
        <v>5000</v>
      </c>
      <c r="AB141" t="s">
        <v>5863</v>
      </c>
      <c r="AC141" t="s">
        <v>9978</v>
      </c>
      <c r="AD141" s="32">
        <v>43277</v>
      </c>
      <c r="AJ141" t="s">
        <v>9958</v>
      </c>
      <c r="AL141" t="s">
        <v>10536</v>
      </c>
    </row>
    <row r="142" spans="1:38">
      <c r="A142" t="s">
        <v>6700</v>
      </c>
      <c r="B142" t="s">
        <v>11636</v>
      </c>
      <c r="C142" t="s">
        <v>6791</v>
      </c>
      <c r="D142" t="s">
        <v>6792</v>
      </c>
      <c r="E142" s="2">
        <v>3000</v>
      </c>
      <c r="F142" s="2">
        <v>3000</v>
      </c>
      <c r="G142" s="3">
        <v>43304</v>
      </c>
      <c r="H142" s="4">
        <v>9.6296296296300002E-2</v>
      </c>
      <c r="I142" s="3">
        <v>43304</v>
      </c>
      <c r="J142" s="4">
        <v>0.19434027777778001</v>
      </c>
      <c r="K142" s="2">
        <v>0</v>
      </c>
      <c r="L142" t="s">
        <v>5856</v>
      </c>
      <c r="M142" t="s">
        <v>6634</v>
      </c>
      <c r="N142" s="3">
        <v>43305</v>
      </c>
      <c r="O142" s="3">
        <v>43306</v>
      </c>
      <c r="P142" t="s">
        <v>5889</v>
      </c>
      <c r="Q142" t="s">
        <v>6793</v>
      </c>
      <c r="R142" t="s">
        <v>6036</v>
      </c>
      <c r="S142" s="3">
        <v>43305</v>
      </c>
      <c r="T142" t="s">
        <v>9938</v>
      </c>
      <c r="U142" t="s">
        <v>5893</v>
      </c>
      <c r="V142" t="s">
        <v>6794</v>
      </c>
      <c r="W142" t="s">
        <v>5857</v>
      </c>
      <c r="X142" s="2">
        <v>1275</v>
      </c>
      <c r="Y142" t="s">
        <v>5858</v>
      </c>
      <c r="Z142" t="s">
        <v>6037</v>
      </c>
      <c r="AA142" s="2">
        <v>3000</v>
      </c>
      <c r="AB142" t="s">
        <v>5863</v>
      </c>
      <c r="AC142" t="s">
        <v>9978</v>
      </c>
      <c r="AD142" s="32">
        <v>43273</v>
      </c>
      <c r="AJ142" t="s">
        <v>9958</v>
      </c>
      <c r="AL142" t="s">
        <v>10537</v>
      </c>
    </row>
    <row r="143" spans="1:38">
      <c r="A143" t="s">
        <v>6700</v>
      </c>
      <c r="B143" t="s">
        <v>11637</v>
      </c>
      <c r="C143" t="s">
        <v>6730</v>
      </c>
      <c r="D143" t="s">
        <v>6731</v>
      </c>
      <c r="E143" s="2">
        <v>6180</v>
      </c>
      <c r="F143" s="2">
        <v>6180</v>
      </c>
      <c r="G143" s="3">
        <v>43304</v>
      </c>
      <c r="H143" s="4">
        <v>0.21517361111111</v>
      </c>
      <c r="I143" s="3">
        <v>43304</v>
      </c>
      <c r="J143" s="4">
        <v>0.41712962962963002</v>
      </c>
      <c r="K143" s="2">
        <v>20</v>
      </c>
      <c r="L143" t="s">
        <v>5856</v>
      </c>
      <c r="M143" t="s">
        <v>6795</v>
      </c>
      <c r="N143" s="3">
        <v>43306</v>
      </c>
      <c r="O143" s="3">
        <v>43306</v>
      </c>
      <c r="P143" t="s">
        <v>5881</v>
      </c>
      <c r="Q143" t="s">
        <v>6796</v>
      </c>
      <c r="R143" t="s">
        <v>6036</v>
      </c>
      <c r="S143" s="3">
        <v>43306</v>
      </c>
      <c r="T143" t="s">
        <v>9938</v>
      </c>
      <c r="U143" t="s">
        <v>6555</v>
      </c>
      <c r="V143" t="s">
        <v>6733</v>
      </c>
      <c r="W143" t="s">
        <v>5857</v>
      </c>
      <c r="X143" s="2">
        <v>1275</v>
      </c>
      <c r="Y143" t="s">
        <v>5858</v>
      </c>
      <c r="Z143" t="s">
        <v>6037</v>
      </c>
      <c r="AA143" s="2">
        <v>6000</v>
      </c>
      <c r="AB143" t="s">
        <v>5863</v>
      </c>
      <c r="AC143" t="s">
        <v>9978</v>
      </c>
      <c r="AD143" s="32">
        <v>43278</v>
      </c>
      <c r="AJ143" t="s">
        <v>9958</v>
      </c>
      <c r="AL143" t="s">
        <v>10538</v>
      </c>
    </row>
    <row r="144" spans="1:38">
      <c r="A144" t="s">
        <v>6700</v>
      </c>
      <c r="B144" t="s">
        <v>11638</v>
      </c>
      <c r="C144" t="s">
        <v>6797</v>
      </c>
      <c r="D144" t="s">
        <v>6798</v>
      </c>
      <c r="E144" s="2">
        <v>20600</v>
      </c>
      <c r="F144" s="2">
        <v>20600</v>
      </c>
      <c r="G144" s="3">
        <v>43304</v>
      </c>
      <c r="H144" s="4">
        <v>0.43796296296296</v>
      </c>
      <c r="I144" s="3">
        <v>43305</v>
      </c>
      <c r="J144" s="4">
        <v>0.11116898148147999</v>
      </c>
      <c r="K144" s="2">
        <v>20</v>
      </c>
      <c r="L144" t="s">
        <v>5856</v>
      </c>
      <c r="M144" t="s">
        <v>6457</v>
      </c>
      <c r="N144" s="3">
        <v>43306</v>
      </c>
      <c r="O144" s="3">
        <v>43307</v>
      </c>
      <c r="P144" t="s">
        <v>5971</v>
      </c>
      <c r="Q144" t="s">
        <v>6799</v>
      </c>
      <c r="R144" t="s">
        <v>6036</v>
      </c>
      <c r="S144" s="3">
        <v>43306</v>
      </c>
      <c r="T144" t="s">
        <v>9938</v>
      </c>
      <c r="U144" t="s">
        <v>6052</v>
      </c>
      <c r="V144" t="s">
        <v>6800</v>
      </c>
      <c r="W144" t="s">
        <v>5857</v>
      </c>
      <c r="X144" s="2">
        <v>1275</v>
      </c>
      <c r="Y144" t="s">
        <v>5858</v>
      </c>
      <c r="Z144" t="s">
        <v>6037</v>
      </c>
      <c r="AA144" s="2">
        <v>20000</v>
      </c>
      <c r="AB144" t="s">
        <v>5863</v>
      </c>
      <c r="AC144" t="s">
        <v>9974</v>
      </c>
      <c r="AD144" s="32">
        <v>43278</v>
      </c>
      <c r="AJ144" t="s">
        <v>9958</v>
      </c>
      <c r="AL144" t="s">
        <v>10539</v>
      </c>
    </row>
    <row r="145" spans="1:38">
      <c r="A145" t="s">
        <v>6700</v>
      </c>
      <c r="B145" t="s">
        <v>12862</v>
      </c>
      <c r="C145" t="s">
        <v>6835</v>
      </c>
      <c r="D145" t="s">
        <v>6836</v>
      </c>
      <c r="E145" s="2">
        <v>10300</v>
      </c>
      <c r="F145" s="2">
        <v>10300</v>
      </c>
      <c r="G145" s="3">
        <v>43305</v>
      </c>
      <c r="H145" s="4">
        <v>0.13200231481481001</v>
      </c>
      <c r="I145" s="3">
        <v>43305</v>
      </c>
      <c r="J145" s="4">
        <v>0.46859953703703999</v>
      </c>
      <c r="K145" s="2">
        <v>0</v>
      </c>
      <c r="L145" t="s">
        <v>5856</v>
      </c>
      <c r="M145" t="s">
        <v>6483</v>
      </c>
      <c r="N145" s="3">
        <v>43307</v>
      </c>
      <c r="O145" s="3">
        <v>43307</v>
      </c>
      <c r="P145" t="s">
        <v>5862</v>
      </c>
      <c r="Q145" t="s">
        <v>12863</v>
      </c>
      <c r="R145" t="s">
        <v>6036</v>
      </c>
      <c r="S145" s="3">
        <v>43307</v>
      </c>
      <c r="T145" t="s">
        <v>9938</v>
      </c>
      <c r="U145" t="s">
        <v>5894</v>
      </c>
      <c r="V145" t="s">
        <v>6838</v>
      </c>
      <c r="W145" t="s">
        <v>5857</v>
      </c>
      <c r="X145" s="2">
        <v>1275</v>
      </c>
      <c r="Y145" t="s">
        <v>5858</v>
      </c>
      <c r="Z145" t="s">
        <v>6037</v>
      </c>
      <c r="AA145" s="2">
        <v>10000</v>
      </c>
      <c r="AB145" t="s">
        <v>5863</v>
      </c>
      <c r="AC145" t="s">
        <v>9978</v>
      </c>
      <c r="AD145" s="32">
        <v>43279</v>
      </c>
      <c r="AI145" t="s">
        <v>9939</v>
      </c>
      <c r="AJ145" t="s">
        <v>9958</v>
      </c>
      <c r="AL145" t="s">
        <v>13821</v>
      </c>
    </row>
    <row r="146" spans="1:38">
      <c r="A146" t="s">
        <v>6700</v>
      </c>
      <c r="B146" t="s">
        <v>11639</v>
      </c>
      <c r="C146" t="s">
        <v>6801</v>
      </c>
      <c r="D146" t="s">
        <v>6802</v>
      </c>
      <c r="E146" s="2">
        <v>5150</v>
      </c>
      <c r="F146" s="2">
        <v>5150</v>
      </c>
      <c r="G146" s="3">
        <v>43305</v>
      </c>
      <c r="H146" s="4">
        <v>0.48943287037036998</v>
      </c>
      <c r="I146" s="3">
        <v>43305</v>
      </c>
      <c r="J146" s="4">
        <v>0.65773148148147997</v>
      </c>
      <c r="K146" s="2">
        <v>0</v>
      </c>
      <c r="L146" t="s">
        <v>5856</v>
      </c>
      <c r="M146" t="s">
        <v>6536</v>
      </c>
      <c r="N146" s="3">
        <v>43308</v>
      </c>
      <c r="O146" s="3">
        <v>43307</v>
      </c>
      <c r="P146" t="s">
        <v>5883</v>
      </c>
      <c r="Q146" t="s">
        <v>6803</v>
      </c>
      <c r="R146" t="s">
        <v>6036</v>
      </c>
      <c r="S146" s="3">
        <v>43308</v>
      </c>
      <c r="T146" t="s">
        <v>9938</v>
      </c>
      <c r="U146" t="s">
        <v>5874</v>
      </c>
      <c r="V146" t="s">
        <v>6804</v>
      </c>
      <c r="W146" t="s">
        <v>5857</v>
      </c>
      <c r="X146" s="2">
        <v>1275</v>
      </c>
      <c r="Y146" t="s">
        <v>5858</v>
      </c>
      <c r="Z146" t="s">
        <v>6037</v>
      </c>
      <c r="AA146" s="2">
        <v>5000</v>
      </c>
      <c r="AB146" t="s">
        <v>5863</v>
      </c>
      <c r="AC146" t="s">
        <v>9978</v>
      </c>
      <c r="AD146" s="32">
        <v>43278</v>
      </c>
      <c r="AI146" t="s">
        <v>9943</v>
      </c>
      <c r="AJ146" t="s">
        <v>9958</v>
      </c>
      <c r="AL146" t="s">
        <v>10540</v>
      </c>
    </row>
    <row r="147" spans="1:38">
      <c r="A147" t="s">
        <v>6700</v>
      </c>
      <c r="B147" t="s">
        <v>11640</v>
      </c>
      <c r="C147" t="s">
        <v>6805</v>
      </c>
      <c r="D147" t="s">
        <v>6806</v>
      </c>
      <c r="E147" s="2">
        <v>20000</v>
      </c>
      <c r="F147" s="2">
        <v>20000</v>
      </c>
      <c r="G147" s="3">
        <v>43305</v>
      </c>
      <c r="H147" s="4">
        <v>0.67856481481481001</v>
      </c>
      <c r="I147" s="3">
        <v>43306</v>
      </c>
      <c r="J147" s="4">
        <v>0.33216435185185</v>
      </c>
      <c r="K147" s="2">
        <v>20</v>
      </c>
      <c r="L147" t="s">
        <v>5856</v>
      </c>
      <c r="M147" t="s">
        <v>6494</v>
      </c>
      <c r="N147" s="3">
        <v>43308</v>
      </c>
      <c r="O147" s="3">
        <v>43308</v>
      </c>
      <c r="P147" t="s">
        <v>6018</v>
      </c>
      <c r="Q147" t="s">
        <v>6807</v>
      </c>
      <c r="R147" t="s">
        <v>6036</v>
      </c>
      <c r="S147" s="3">
        <v>43307</v>
      </c>
      <c r="T147" t="s">
        <v>9938</v>
      </c>
      <c r="U147" t="s">
        <v>5963</v>
      </c>
      <c r="V147" t="s">
        <v>6041</v>
      </c>
      <c r="W147" t="s">
        <v>5868</v>
      </c>
      <c r="X147" s="2">
        <v>1275</v>
      </c>
      <c r="Y147" t="s">
        <v>5858</v>
      </c>
      <c r="Z147" t="s">
        <v>6037</v>
      </c>
      <c r="AA147" s="2">
        <v>20000</v>
      </c>
      <c r="AB147" t="s">
        <v>5863</v>
      </c>
      <c r="AC147" t="s">
        <v>9978</v>
      </c>
      <c r="AD147" s="32">
        <v>43241</v>
      </c>
      <c r="AJ147" t="s">
        <v>9958</v>
      </c>
      <c r="AL147" t="s">
        <v>10541</v>
      </c>
    </row>
    <row r="148" spans="1:38">
      <c r="A148" t="s">
        <v>6700</v>
      </c>
      <c r="B148" t="s">
        <v>11641</v>
      </c>
      <c r="C148" t="s">
        <v>6670</v>
      </c>
      <c r="D148" t="s">
        <v>6671</v>
      </c>
      <c r="E148" s="2">
        <v>20000</v>
      </c>
      <c r="F148" s="2">
        <v>20000</v>
      </c>
      <c r="G148" s="3">
        <v>43306</v>
      </c>
      <c r="H148" s="4">
        <v>0.35299768518518998</v>
      </c>
      <c r="I148" s="3">
        <v>43307</v>
      </c>
      <c r="J148" s="4">
        <v>6.59722222222E-3</v>
      </c>
      <c r="K148" s="2">
        <v>0</v>
      </c>
      <c r="L148" t="s">
        <v>5856</v>
      </c>
      <c r="M148" t="s">
        <v>6494</v>
      </c>
      <c r="N148" s="3"/>
      <c r="O148" s="3">
        <v>43309</v>
      </c>
      <c r="P148" t="s">
        <v>6673</v>
      </c>
      <c r="Q148" t="s">
        <v>6038</v>
      </c>
      <c r="R148" t="s">
        <v>6040</v>
      </c>
      <c r="S148" s="3">
        <v>43313</v>
      </c>
      <c r="T148" t="s">
        <v>9938</v>
      </c>
      <c r="U148" t="s">
        <v>6675</v>
      </c>
      <c r="V148" t="s">
        <v>6067</v>
      </c>
      <c r="W148" t="s">
        <v>5857</v>
      </c>
      <c r="X148" s="2">
        <v>0</v>
      </c>
      <c r="Y148" t="s">
        <v>5858</v>
      </c>
      <c r="Z148" t="s">
        <v>6037</v>
      </c>
      <c r="AA148" s="2">
        <v>20000</v>
      </c>
      <c r="AB148" t="s">
        <v>5861</v>
      </c>
      <c r="AC148" t="s">
        <v>9979</v>
      </c>
      <c r="AD148" s="32"/>
      <c r="AJ148" t="s">
        <v>9958</v>
      </c>
      <c r="AL148" t="s">
        <v>10542</v>
      </c>
    </row>
    <row r="149" spans="1:38">
      <c r="A149" t="s">
        <v>6700</v>
      </c>
      <c r="B149" t="s">
        <v>11642</v>
      </c>
      <c r="C149" t="s">
        <v>6473</v>
      </c>
      <c r="D149" t="s">
        <v>6474</v>
      </c>
      <c r="E149" s="2">
        <v>20000</v>
      </c>
      <c r="F149" s="2">
        <v>20000</v>
      </c>
      <c r="G149" s="3">
        <v>43307</v>
      </c>
      <c r="H149" s="4">
        <v>0.54125000000000001</v>
      </c>
      <c r="I149" s="3">
        <v>43308</v>
      </c>
      <c r="J149" s="4">
        <v>9.6805555555560002E-2</v>
      </c>
      <c r="K149" s="2">
        <v>0</v>
      </c>
      <c r="L149" t="s">
        <v>5856</v>
      </c>
      <c r="M149" t="s">
        <v>6723</v>
      </c>
      <c r="N149" s="3">
        <v>43310</v>
      </c>
      <c r="O149" s="3">
        <v>43310</v>
      </c>
      <c r="P149" t="s">
        <v>6724</v>
      </c>
      <c r="Q149" t="s">
        <v>12864</v>
      </c>
      <c r="R149" t="s">
        <v>6476</v>
      </c>
      <c r="S149" s="3">
        <v>43365</v>
      </c>
      <c r="T149" t="s">
        <v>9938</v>
      </c>
      <c r="U149" t="s">
        <v>6477</v>
      </c>
      <c r="V149" t="s">
        <v>5941</v>
      </c>
      <c r="W149" t="s">
        <v>6478</v>
      </c>
      <c r="X149" s="2">
        <v>0</v>
      </c>
      <c r="Y149" t="s">
        <v>5858</v>
      </c>
      <c r="Z149" t="s">
        <v>6037</v>
      </c>
      <c r="AA149" s="2">
        <v>20000</v>
      </c>
      <c r="AB149" t="s">
        <v>5861</v>
      </c>
      <c r="AC149" t="s">
        <v>9977</v>
      </c>
      <c r="AD149" s="32"/>
      <c r="AJ149" t="s">
        <v>9959</v>
      </c>
      <c r="AL149" t="s">
        <v>10543</v>
      </c>
    </row>
    <row r="150" spans="1:38">
      <c r="A150" t="s">
        <v>6700</v>
      </c>
      <c r="B150" t="s">
        <v>11644</v>
      </c>
      <c r="C150" t="s">
        <v>6812</v>
      </c>
      <c r="D150" t="s">
        <v>6813</v>
      </c>
      <c r="E150" s="2">
        <v>2000</v>
      </c>
      <c r="F150" s="2">
        <v>2000</v>
      </c>
      <c r="G150" s="3">
        <v>43309</v>
      </c>
      <c r="H150" s="4">
        <v>0.58701388888888995</v>
      </c>
      <c r="I150" s="3">
        <v>43309</v>
      </c>
      <c r="J150" s="4">
        <v>0.65237268518518998</v>
      </c>
      <c r="K150" s="2">
        <v>20</v>
      </c>
      <c r="L150" t="s">
        <v>5856</v>
      </c>
      <c r="M150" t="s">
        <v>6491</v>
      </c>
      <c r="N150" s="3">
        <v>43312</v>
      </c>
      <c r="O150" s="3">
        <v>43311</v>
      </c>
      <c r="P150" t="s">
        <v>5862</v>
      </c>
      <c r="Q150" t="s">
        <v>6814</v>
      </c>
      <c r="R150" t="s">
        <v>6036</v>
      </c>
      <c r="S150" s="3">
        <v>43312</v>
      </c>
      <c r="T150" t="s">
        <v>9938</v>
      </c>
      <c r="U150" t="s">
        <v>5987</v>
      </c>
      <c r="V150" t="s">
        <v>6815</v>
      </c>
      <c r="W150" t="s">
        <v>5857</v>
      </c>
      <c r="X150" s="2">
        <v>1275</v>
      </c>
      <c r="Y150" t="s">
        <v>5858</v>
      </c>
      <c r="Z150" t="s">
        <v>6037</v>
      </c>
      <c r="AA150" s="2">
        <v>2000</v>
      </c>
      <c r="AB150" t="s">
        <v>5863</v>
      </c>
      <c r="AC150" t="s">
        <v>9978</v>
      </c>
      <c r="AD150" s="32">
        <v>43270</v>
      </c>
      <c r="AI150" t="s">
        <v>9949</v>
      </c>
      <c r="AJ150" t="s">
        <v>9958</v>
      </c>
      <c r="AL150" t="s">
        <v>10545</v>
      </c>
    </row>
    <row r="151" spans="1:38">
      <c r="A151" t="s">
        <v>6700</v>
      </c>
      <c r="B151" t="s">
        <v>11645</v>
      </c>
      <c r="C151" t="s">
        <v>6797</v>
      </c>
      <c r="D151" t="s">
        <v>6798</v>
      </c>
      <c r="E151" s="2">
        <v>10000</v>
      </c>
      <c r="F151" s="2">
        <v>10000</v>
      </c>
      <c r="G151" s="3">
        <v>43309</v>
      </c>
      <c r="H151" s="4">
        <v>0.67320601851852002</v>
      </c>
      <c r="I151" s="3">
        <v>43310</v>
      </c>
      <c r="J151" s="4">
        <v>0</v>
      </c>
      <c r="K151" s="2">
        <v>20</v>
      </c>
      <c r="L151" t="s">
        <v>5856</v>
      </c>
      <c r="M151" t="s">
        <v>6498</v>
      </c>
      <c r="N151" s="3">
        <v>43312</v>
      </c>
      <c r="O151" s="3">
        <v>43311</v>
      </c>
      <c r="P151" t="s">
        <v>5971</v>
      </c>
      <c r="Q151" t="s">
        <v>6816</v>
      </c>
      <c r="R151" t="s">
        <v>6036</v>
      </c>
      <c r="S151" s="3">
        <v>43312</v>
      </c>
      <c r="T151" t="s">
        <v>9938</v>
      </c>
      <c r="U151" t="s">
        <v>6052</v>
      </c>
      <c r="V151" t="s">
        <v>6800</v>
      </c>
      <c r="W151" t="s">
        <v>5857</v>
      </c>
      <c r="X151" s="2">
        <v>1275</v>
      </c>
      <c r="Y151" t="s">
        <v>5858</v>
      </c>
      <c r="Z151" t="s">
        <v>6037</v>
      </c>
      <c r="AA151" s="2">
        <v>10000</v>
      </c>
      <c r="AB151" t="s">
        <v>5863</v>
      </c>
      <c r="AC151" t="s">
        <v>9974</v>
      </c>
      <c r="AD151" s="32">
        <v>43257</v>
      </c>
      <c r="AJ151" t="s">
        <v>9958</v>
      </c>
      <c r="AL151" t="s">
        <v>10546</v>
      </c>
    </row>
    <row r="152" spans="1:38">
      <c r="A152" t="s">
        <v>6700</v>
      </c>
      <c r="B152" t="s">
        <v>12865</v>
      </c>
      <c r="C152" t="s">
        <v>7389</v>
      </c>
      <c r="D152" t="s">
        <v>7390</v>
      </c>
      <c r="E152" s="5">
        <v>5407.5</v>
      </c>
      <c r="F152" s="5">
        <v>5407.5</v>
      </c>
      <c r="G152" s="3">
        <v>43311</v>
      </c>
      <c r="H152" s="4">
        <v>0.51723379629629995</v>
      </c>
      <c r="I152" s="3">
        <v>43311</v>
      </c>
      <c r="J152" s="4">
        <v>0.69394675925925997</v>
      </c>
      <c r="K152" s="2">
        <v>20</v>
      </c>
      <c r="L152" t="s">
        <v>5856</v>
      </c>
      <c r="M152" t="s">
        <v>6741</v>
      </c>
      <c r="N152" s="3">
        <v>43314</v>
      </c>
      <c r="O152" s="3">
        <v>43313</v>
      </c>
      <c r="P152" t="s">
        <v>5978</v>
      </c>
      <c r="Q152" t="s">
        <v>12866</v>
      </c>
      <c r="R152" t="s">
        <v>6036</v>
      </c>
      <c r="S152" s="3">
        <v>43314</v>
      </c>
      <c r="T152" t="s">
        <v>9938</v>
      </c>
      <c r="U152" t="s">
        <v>5894</v>
      </c>
      <c r="V152" t="s">
        <v>7392</v>
      </c>
      <c r="W152" t="s">
        <v>5857</v>
      </c>
      <c r="X152" s="2">
        <v>1275</v>
      </c>
      <c r="Y152" t="s">
        <v>5858</v>
      </c>
      <c r="Z152" t="s">
        <v>6037</v>
      </c>
      <c r="AA152" s="2">
        <v>5250</v>
      </c>
      <c r="AB152" t="s">
        <v>5863</v>
      </c>
      <c r="AC152" t="s">
        <v>9978</v>
      </c>
      <c r="AD152" s="32">
        <v>43280</v>
      </c>
      <c r="AJ152" t="s">
        <v>9958</v>
      </c>
      <c r="AL152" t="s">
        <v>13822</v>
      </c>
    </row>
    <row r="153" spans="1:38">
      <c r="A153" t="s">
        <v>6700</v>
      </c>
      <c r="B153" t="s">
        <v>11646</v>
      </c>
      <c r="C153" t="s">
        <v>6817</v>
      </c>
      <c r="D153" t="s">
        <v>6818</v>
      </c>
      <c r="E153" s="2">
        <v>3090</v>
      </c>
      <c r="F153" s="2">
        <v>3090</v>
      </c>
      <c r="G153" s="3">
        <v>43311</v>
      </c>
      <c r="H153" s="4">
        <v>0.71478009259259001</v>
      </c>
      <c r="I153" s="3">
        <v>43311</v>
      </c>
      <c r="J153" s="4">
        <v>0.81576388888888995</v>
      </c>
      <c r="K153" s="2">
        <v>0</v>
      </c>
      <c r="L153" t="s">
        <v>5856</v>
      </c>
      <c r="M153" t="s">
        <v>6785</v>
      </c>
      <c r="N153" s="3">
        <v>43314</v>
      </c>
      <c r="O153" s="3">
        <v>43313</v>
      </c>
      <c r="P153" t="s">
        <v>5883</v>
      </c>
      <c r="Q153" t="s">
        <v>6819</v>
      </c>
      <c r="R153" t="s">
        <v>6036</v>
      </c>
      <c r="S153" s="3">
        <v>43314</v>
      </c>
      <c r="T153" t="s">
        <v>9938</v>
      </c>
      <c r="U153" t="s">
        <v>5893</v>
      </c>
      <c r="V153" t="s">
        <v>6820</v>
      </c>
      <c r="W153" t="s">
        <v>5857</v>
      </c>
      <c r="X153" s="2">
        <v>1275</v>
      </c>
      <c r="Y153" t="s">
        <v>5858</v>
      </c>
      <c r="Z153" t="s">
        <v>6037</v>
      </c>
      <c r="AA153" s="2">
        <v>3000</v>
      </c>
      <c r="AB153" t="s">
        <v>5863</v>
      </c>
      <c r="AC153" t="s">
        <v>9978</v>
      </c>
      <c r="AD153" s="32">
        <v>43276</v>
      </c>
      <c r="AI153" t="s">
        <v>9943</v>
      </c>
      <c r="AJ153" t="s">
        <v>9958</v>
      </c>
      <c r="AL153" t="s">
        <v>10547</v>
      </c>
    </row>
    <row r="154" spans="1:38">
      <c r="A154" t="s">
        <v>6700</v>
      </c>
      <c r="B154" t="s">
        <v>11647</v>
      </c>
      <c r="C154" t="s">
        <v>6821</v>
      </c>
      <c r="D154" t="s">
        <v>6822</v>
      </c>
      <c r="E154" s="2">
        <v>5000</v>
      </c>
      <c r="F154" s="2">
        <v>5000</v>
      </c>
      <c r="G154" s="3">
        <v>43311</v>
      </c>
      <c r="H154" s="4">
        <v>0.83659722222221999</v>
      </c>
      <c r="I154" s="3">
        <v>43312</v>
      </c>
      <c r="J154" s="4">
        <v>0</v>
      </c>
      <c r="K154" s="2">
        <v>0</v>
      </c>
      <c r="L154" t="s">
        <v>5856</v>
      </c>
      <c r="M154" t="s">
        <v>6511</v>
      </c>
      <c r="N154" s="3">
        <v>43314</v>
      </c>
      <c r="O154" s="3">
        <v>43313</v>
      </c>
      <c r="P154" t="s">
        <v>5971</v>
      </c>
      <c r="Q154" t="s">
        <v>6823</v>
      </c>
      <c r="R154" t="s">
        <v>6036</v>
      </c>
      <c r="S154" s="3">
        <v>43314</v>
      </c>
      <c r="T154" t="s">
        <v>9938</v>
      </c>
      <c r="U154" t="s">
        <v>6824</v>
      </c>
      <c r="V154" t="s">
        <v>6825</v>
      </c>
      <c r="W154" t="s">
        <v>6038</v>
      </c>
      <c r="X154" s="2">
        <v>1275</v>
      </c>
      <c r="Y154" t="s">
        <v>5858</v>
      </c>
      <c r="Z154" t="s">
        <v>6037</v>
      </c>
      <c r="AA154" s="2">
        <v>5000</v>
      </c>
      <c r="AB154" t="s">
        <v>5863</v>
      </c>
      <c r="AC154" t="s">
        <v>9974</v>
      </c>
      <c r="AD154" s="32">
        <v>43248</v>
      </c>
      <c r="AI154" t="s">
        <v>9939</v>
      </c>
      <c r="AJ154" t="s">
        <v>9958</v>
      </c>
      <c r="AL154" t="s">
        <v>10548</v>
      </c>
    </row>
    <row r="155" spans="1:38">
      <c r="A155" t="s">
        <v>6700</v>
      </c>
      <c r="B155" t="s">
        <v>11648</v>
      </c>
      <c r="C155" t="s">
        <v>6826</v>
      </c>
      <c r="D155" t="s">
        <v>6827</v>
      </c>
      <c r="E155" s="2">
        <v>10000</v>
      </c>
      <c r="F155" s="2">
        <v>10000</v>
      </c>
      <c r="G155" s="3">
        <v>43318</v>
      </c>
      <c r="H155" s="4">
        <v>6.6030092592590003E-2</v>
      </c>
      <c r="I155" s="3">
        <v>43318</v>
      </c>
      <c r="J155" s="4">
        <v>0.39282407407407</v>
      </c>
      <c r="K155" s="2">
        <v>20</v>
      </c>
      <c r="L155" t="s">
        <v>5856</v>
      </c>
      <c r="M155" t="s">
        <v>6498</v>
      </c>
      <c r="N155" s="3">
        <v>43321</v>
      </c>
      <c r="O155" s="3">
        <v>43320</v>
      </c>
      <c r="P155" t="s">
        <v>6828</v>
      </c>
      <c r="Q155" t="s">
        <v>6829</v>
      </c>
      <c r="R155" t="s">
        <v>6036</v>
      </c>
      <c r="S155" s="3">
        <v>43321</v>
      </c>
      <c r="T155" t="s">
        <v>9938</v>
      </c>
      <c r="U155" t="s">
        <v>6482</v>
      </c>
      <c r="V155" t="s">
        <v>6830</v>
      </c>
      <c r="W155" t="s">
        <v>5857</v>
      </c>
      <c r="X155" s="2">
        <v>1275</v>
      </c>
      <c r="Y155" t="s">
        <v>5858</v>
      </c>
      <c r="Z155" t="s">
        <v>6037</v>
      </c>
      <c r="AA155" s="2">
        <v>10000</v>
      </c>
      <c r="AB155" t="s">
        <v>5863</v>
      </c>
      <c r="AC155" t="s">
        <v>9974</v>
      </c>
      <c r="AD155" s="32">
        <v>43266</v>
      </c>
      <c r="AI155" t="s">
        <v>9941</v>
      </c>
      <c r="AJ155" t="s">
        <v>9959</v>
      </c>
      <c r="AL155" t="s">
        <v>10549</v>
      </c>
    </row>
    <row r="156" spans="1:38">
      <c r="A156" t="s">
        <v>6700</v>
      </c>
      <c r="B156" t="s">
        <v>11649</v>
      </c>
      <c r="C156" t="s">
        <v>6831</v>
      </c>
      <c r="D156" t="s">
        <v>6832</v>
      </c>
      <c r="E156" s="2">
        <v>5000</v>
      </c>
      <c r="F156" s="2">
        <v>5000</v>
      </c>
      <c r="G156" s="3">
        <v>43318</v>
      </c>
      <c r="H156" s="4">
        <v>0.42060185185185001</v>
      </c>
      <c r="I156" s="3">
        <v>43318</v>
      </c>
      <c r="J156" s="4">
        <v>0.58400462962962996</v>
      </c>
      <c r="K156" s="2">
        <v>0</v>
      </c>
      <c r="L156" t="s">
        <v>5856</v>
      </c>
      <c r="M156" t="s">
        <v>6511</v>
      </c>
      <c r="N156" s="3">
        <v>43321</v>
      </c>
      <c r="O156" s="3">
        <v>43320</v>
      </c>
      <c r="P156" t="s">
        <v>5883</v>
      </c>
      <c r="Q156" t="s">
        <v>6833</v>
      </c>
      <c r="R156" t="s">
        <v>6036</v>
      </c>
      <c r="S156" s="3">
        <v>43321</v>
      </c>
      <c r="T156" t="s">
        <v>9938</v>
      </c>
      <c r="U156" t="s">
        <v>5886</v>
      </c>
      <c r="V156" t="s">
        <v>6834</v>
      </c>
      <c r="W156" t="s">
        <v>5857</v>
      </c>
      <c r="X156" s="2">
        <v>1275</v>
      </c>
      <c r="Y156" t="s">
        <v>5858</v>
      </c>
      <c r="Z156" t="s">
        <v>6037</v>
      </c>
      <c r="AA156" s="2">
        <v>5000</v>
      </c>
      <c r="AB156" t="s">
        <v>5863</v>
      </c>
      <c r="AC156" t="s">
        <v>9978</v>
      </c>
      <c r="AD156" s="32">
        <v>43243</v>
      </c>
      <c r="AI156" t="s">
        <v>9943</v>
      </c>
      <c r="AJ156" t="s">
        <v>9958</v>
      </c>
      <c r="AL156" t="s">
        <v>13823</v>
      </c>
    </row>
    <row r="157" spans="1:38">
      <c r="A157" t="s">
        <v>6700</v>
      </c>
      <c r="B157" t="s">
        <v>11650</v>
      </c>
      <c r="C157" t="s">
        <v>6670</v>
      </c>
      <c r="D157" t="s">
        <v>6671</v>
      </c>
      <c r="E157" s="2">
        <v>10000</v>
      </c>
      <c r="F157" s="2">
        <v>10000</v>
      </c>
      <c r="G157" s="3">
        <v>43318</v>
      </c>
      <c r="H157" s="4">
        <v>0.67319444444443999</v>
      </c>
      <c r="I157" s="3">
        <v>43318</v>
      </c>
      <c r="J157" s="4">
        <v>0.99998842592592996</v>
      </c>
      <c r="K157" s="2">
        <v>0</v>
      </c>
      <c r="L157" t="s">
        <v>5856</v>
      </c>
      <c r="M157" t="s">
        <v>6498</v>
      </c>
      <c r="N157" s="3"/>
      <c r="O157" s="3">
        <v>43320</v>
      </c>
      <c r="P157" t="s">
        <v>6673</v>
      </c>
      <c r="Q157" t="s">
        <v>12867</v>
      </c>
      <c r="R157" t="s">
        <v>6036</v>
      </c>
      <c r="S157" s="3">
        <v>43318</v>
      </c>
      <c r="T157" t="s">
        <v>9938</v>
      </c>
      <c r="U157" t="s">
        <v>6675</v>
      </c>
      <c r="V157" t="s">
        <v>6067</v>
      </c>
      <c r="W157" t="s">
        <v>5857</v>
      </c>
      <c r="X157" s="2">
        <v>0</v>
      </c>
      <c r="Y157" t="s">
        <v>5858</v>
      </c>
      <c r="Z157" t="s">
        <v>6037</v>
      </c>
      <c r="AA157" s="2">
        <v>10000</v>
      </c>
      <c r="AB157" t="s">
        <v>5861</v>
      </c>
      <c r="AC157" t="s">
        <v>9979</v>
      </c>
      <c r="AD157" s="32"/>
      <c r="AJ157" t="s">
        <v>9958</v>
      </c>
      <c r="AL157" t="s">
        <v>10551</v>
      </c>
    </row>
    <row r="158" spans="1:38">
      <c r="A158" t="s">
        <v>6700</v>
      </c>
      <c r="B158" t="s">
        <v>11651</v>
      </c>
      <c r="C158" t="s">
        <v>6835</v>
      </c>
      <c r="D158" t="s">
        <v>6836</v>
      </c>
      <c r="E158" s="2">
        <v>2060</v>
      </c>
      <c r="F158" s="2">
        <v>2060</v>
      </c>
      <c r="G158" s="3">
        <v>43319</v>
      </c>
      <c r="H158" s="4">
        <v>0.74843749999999998</v>
      </c>
      <c r="I158" s="3">
        <v>43319</v>
      </c>
      <c r="J158" s="4">
        <v>0.81575231481481003</v>
      </c>
      <c r="K158" s="2">
        <v>20</v>
      </c>
      <c r="L158" t="s">
        <v>5856</v>
      </c>
      <c r="M158" t="s">
        <v>6523</v>
      </c>
      <c r="N158" s="3">
        <v>43322</v>
      </c>
      <c r="O158" s="3">
        <v>43321</v>
      </c>
      <c r="P158" t="s">
        <v>5862</v>
      </c>
      <c r="Q158" t="s">
        <v>6837</v>
      </c>
      <c r="R158" t="s">
        <v>6036</v>
      </c>
      <c r="S158" s="3">
        <v>43322</v>
      </c>
      <c r="T158" t="s">
        <v>9938</v>
      </c>
      <c r="U158" t="s">
        <v>5894</v>
      </c>
      <c r="V158" t="s">
        <v>6838</v>
      </c>
      <c r="W158" t="s">
        <v>5857</v>
      </c>
      <c r="X158" s="2">
        <v>1275</v>
      </c>
      <c r="Y158" t="s">
        <v>5858</v>
      </c>
      <c r="Z158" t="s">
        <v>6037</v>
      </c>
      <c r="AA158" s="2">
        <v>2000</v>
      </c>
      <c r="AB158" t="s">
        <v>5863</v>
      </c>
      <c r="AC158" t="s">
        <v>9978</v>
      </c>
      <c r="AD158" s="32">
        <v>43276</v>
      </c>
      <c r="AI158" t="s">
        <v>9939</v>
      </c>
      <c r="AJ158" t="s">
        <v>9958</v>
      </c>
      <c r="AL158" t="s">
        <v>10552</v>
      </c>
    </row>
    <row r="159" spans="1:38">
      <c r="A159" t="s">
        <v>6700</v>
      </c>
      <c r="B159" t="s">
        <v>12868</v>
      </c>
      <c r="C159" t="s">
        <v>12869</v>
      </c>
      <c r="D159" t="s">
        <v>12870</v>
      </c>
      <c r="E159" s="2">
        <v>2000</v>
      </c>
      <c r="F159" s="2">
        <v>2000</v>
      </c>
      <c r="G159" s="3">
        <v>43319</v>
      </c>
      <c r="H159" s="4">
        <v>0.93464120370369996</v>
      </c>
      <c r="I159" s="3">
        <v>43320</v>
      </c>
      <c r="J159" s="4">
        <v>0</v>
      </c>
      <c r="K159" s="2">
        <v>20</v>
      </c>
      <c r="L159" t="s">
        <v>5856</v>
      </c>
      <c r="M159" t="s">
        <v>6491</v>
      </c>
      <c r="N159" s="3">
        <v>43322</v>
      </c>
      <c r="O159" s="3">
        <v>43321</v>
      </c>
      <c r="P159" t="s">
        <v>5913</v>
      </c>
      <c r="Q159" t="s">
        <v>12871</v>
      </c>
      <c r="R159" t="s">
        <v>6036</v>
      </c>
      <c r="S159" s="3">
        <v>43322</v>
      </c>
      <c r="T159" t="s">
        <v>9938</v>
      </c>
      <c r="U159" t="s">
        <v>6052</v>
      </c>
      <c r="V159" t="s">
        <v>12872</v>
      </c>
      <c r="W159" t="s">
        <v>5857</v>
      </c>
      <c r="X159" s="2">
        <v>1275</v>
      </c>
      <c r="Y159" t="s">
        <v>5858</v>
      </c>
      <c r="Z159" t="s">
        <v>6037</v>
      </c>
      <c r="AA159" s="2">
        <v>2000</v>
      </c>
      <c r="AB159" t="s">
        <v>5863</v>
      </c>
      <c r="AC159" t="s">
        <v>9974</v>
      </c>
      <c r="AD159" s="32">
        <v>43280</v>
      </c>
      <c r="AJ159" t="s">
        <v>9958</v>
      </c>
      <c r="AL159" t="s">
        <v>13824</v>
      </c>
    </row>
    <row r="160" spans="1:38">
      <c r="A160" t="s">
        <v>6700</v>
      </c>
      <c r="B160" t="s">
        <v>11652</v>
      </c>
      <c r="C160" t="s">
        <v>6839</v>
      </c>
      <c r="D160" t="s">
        <v>6840</v>
      </c>
      <c r="E160" s="2">
        <v>10000</v>
      </c>
      <c r="F160" s="2">
        <v>10000</v>
      </c>
      <c r="G160" s="3">
        <v>43332</v>
      </c>
      <c r="H160" s="4">
        <v>0.67320601851852002</v>
      </c>
      <c r="I160" s="3">
        <v>43333</v>
      </c>
      <c r="J160" s="4">
        <v>0</v>
      </c>
      <c r="K160" s="2">
        <v>20</v>
      </c>
      <c r="L160" t="s">
        <v>5856</v>
      </c>
      <c r="M160" t="s">
        <v>6498</v>
      </c>
      <c r="N160" s="3">
        <v>43335</v>
      </c>
      <c r="O160" s="3">
        <v>43334</v>
      </c>
      <c r="P160" t="s">
        <v>5964</v>
      </c>
      <c r="Q160" t="s">
        <v>6841</v>
      </c>
      <c r="R160" t="s">
        <v>6036</v>
      </c>
      <c r="S160" s="3">
        <v>43335</v>
      </c>
      <c r="T160" t="s">
        <v>9938</v>
      </c>
      <c r="U160" t="s">
        <v>5893</v>
      </c>
      <c r="V160" t="s">
        <v>6842</v>
      </c>
      <c r="W160" t="s">
        <v>5857</v>
      </c>
      <c r="X160" s="2">
        <v>1275</v>
      </c>
      <c r="Y160" t="s">
        <v>5858</v>
      </c>
      <c r="Z160" t="s">
        <v>6037</v>
      </c>
      <c r="AA160" s="2">
        <v>10000</v>
      </c>
      <c r="AB160" t="s">
        <v>5863</v>
      </c>
      <c r="AC160" t="s">
        <v>9978</v>
      </c>
      <c r="AD160" s="32"/>
      <c r="AI160" t="s">
        <v>9943</v>
      </c>
      <c r="AJ160" t="s">
        <v>9958</v>
      </c>
      <c r="AL160" t="s">
        <v>10553</v>
      </c>
    </row>
    <row r="161" spans="1:38">
      <c r="A161" t="s">
        <v>6700</v>
      </c>
      <c r="B161" t="s">
        <v>12873</v>
      </c>
      <c r="C161" t="s">
        <v>12874</v>
      </c>
      <c r="D161" t="s">
        <v>12875</v>
      </c>
      <c r="E161" s="2">
        <v>4120</v>
      </c>
      <c r="F161" s="2">
        <v>4120</v>
      </c>
      <c r="G161" s="3">
        <v>43333</v>
      </c>
      <c r="H161" s="4">
        <v>0.86535879629629997</v>
      </c>
      <c r="I161" s="3">
        <v>43334</v>
      </c>
      <c r="J161" s="4">
        <v>0</v>
      </c>
      <c r="K161" s="2">
        <v>20</v>
      </c>
      <c r="L161" t="s">
        <v>5856</v>
      </c>
      <c r="M161" t="s">
        <v>6883</v>
      </c>
      <c r="N161" s="3">
        <v>43336</v>
      </c>
      <c r="O161" s="3">
        <v>43335</v>
      </c>
      <c r="P161" t="s">
        <v>5889</v>
      </c>
      <c r="Q161" t="s">
        <v>12876</v>
      </c>
      <c r="R161" t="s">
        <v>6036</v>
      </c>
      <c r="S161" s="3">
        <v>43336</v>
      </c>
      <c r="T161" t="s">
        <v>9938</v>
      </c>
      <c r="U161" t="s">
        <v>6555</v>
      </c>
      <c r="V161" t="s">
        <v>12877</v>
      </c>
      <c r="W161" t="s">
        <v>5857</v>
      </c>
      <c r="X161" s="2">
        <v>1275</v>
      </c>
      <c r="Y161" t="s">
        <v>5858</v>
      </c>
      <c r="Z161" t="s">
        <v>6037</v>
      </c>
      <c r="AA161" s="2">
        <v>4000</v>
      </c>
      <c r="AB161" t="s">
        <v>5863</v>
      </c>
      <c r="AD161" s="32"/>
      <c r="AJ161" t="s">
        <v>9958</v>
      </c>
      <c r="AL161" t="s">
        <v>13825</v>
      </c>
    </row>
    <row r="162" spans="1:38">
      <c r="A162" t="s">
        <v>6700</v>
      </c>
      <c r="B162" t="s">
        <v>11653</v>
      </c>
      <c r="C162" t="s">
        <v>6843</v>
      </c>
      <c r="D162" t="s">
        <v>6844</v>
      </c>
      <c r="E162" s="2">
        <v>2000</v>
      </c>
      <c r="F162" s="2">
        <v>2000</v>
      </c>
      <c r="G162" s="3">
        <v>43337</v>
      </c>
      <c r="H162" s="4">
        <v>0.93464120370369996</v>
      </c>
      <c r="I162" s="3">
        <v>43338</v>
      </c>
      <c r="J162" s="4">
        <v>0</v>
      </c>
      <c r="K162" s="2">
        <v>20</v>
      </c>
      <c r="L162" t="s">
        <v>5856</v>
      </c>
      <c r="M162" t="s">
        <v>6491</v>
      </c>
      <c r="N162" s="3">
        <v>43340</v>
      </c>
      <c r="O162" s="3">
        <v>43339</v>
      </c>
      <c r="P162" t="s">
        <v>5881</v>
      </c>
      <c r="Q162" t="s">
        <v>6845</v>
      </c>
      <c r="R162" t="s">
        <v>6036</v>
      </c>
      <c r="S162" s="3">
        <v>43340</v>
      </c>
      <c r="T162" t="s">
        <v>9938</v>
      </c>
      <c r="U162" t="s">
        <v>6846</v>
      </c>
      <c r="V162" t="s">
        <v>6820</v>
      </c>
      <c r="W162" t="s">
        <v>5857</v>
      </c>
      <c r="X162" s="2">
        <v>1275</v>
      </c>
      <c r="Y162" t="s">
        <v>5858</v>
      </c>
      <c r="Z162" t="s">
        <v>6037</v>
      </c>
      <c r="AA162" s="2">
        <v>2000</v>
      </c>
      <c r="AB162" t="s">
        <v>5863</v>
      </c>
      <c r="AD162" s="32"/>
      <c r="AI162" t="s">
        <v>9943</v>
      </c>
      <c r="AJ162" t="s">
        <v>9958</v>
      </c>
      <c r="AL162" t="s">
        <v>10554</v>
      </c>
    </row>
    <row r="163" spans="1:38">
      <c r="A163" t="s">
        <v>6700</v>
      </c>
      <c r="B163" t="s">
        <v>11654</v>
      </c>
      <c r="C163" t="s">
        <v>6847</v>
      </c>
      <c r="D163" t="s">
        <v>6848</v>
      </c>
      <c r="E163" s="2">
        <v>3000</v>
      </c>
      <c r="F163" s="2">
        <v>3000</v>
      </c>
      <c r="G163" s="3">
        <v>43346</v>
      </c>
      <c r="H163" s="4">
        <v>0.22751157407406999</v>
      </c>
      <c r="I163" s="3">
        <v>43346</v>
      </c>
      <c r="J163" s="4">
        <v>0.32555555555555998</v>
      </c>
      <c r="K163" s="2">
        <v>20</v>
      </c>
      <c r="L163" t="s">
        <v>5856</v>
      </c>
      <c r="M163" t="s">
        <v>6634</v>
      </c>
      <c r="N163" s="3">
        <v>43349</v>
      </c>
      <c r="O163" s="3">
        <v>43348</v>
      </c>
      <c r="P163" t="s">
        <v>6849</v>
      </c>
      <c r="Q163" t="s">
        <v>6850</v>
      </c>
      <c r="R163" t="s">
        <v>6036</v>
      </c>
      <c r="S163" s="3">
        <v>43349</v>
      </c>
      <c r="T163" t="s">
        <v>9938</v>
      </c>
      <c r="U163" t="s">
        <v>6065</v>
      </c>
      <c r="V163" t="s">
        <v>6851</v>
      </c>
      <c r="W163" t="s">
        <v>5857</v>
      </c>
      <c r="X163" s="2">
        <v>1275</v>
      </c>
      <c r="Y163" t="s">
        <v>5858</v>
      </c>
      <c r="Z163" t="s">
        <v>6037</v>
      </c>
      <c r="AA163" s="2">
        <v>3000</v>
      </c>
      <c r="AB163" t="s">
        <v>5863</v>
      </c>
      <c r="AD163" s="32"/>
      <c r="AI163" t="s">
        <v>9949</v>
      </c>
      <c r="AJ163" t="s">
        <v>9958</v>
      </c>
      <c r="AL163" t="s">
        <v>10555</v>
      </c>
    </row>
    <row r="164" spans="1:38">
      <c r="A164" t="s">
        <v>6700</v>
      </c>
      <c r="B164" t="s">
        <v>11655</v>
      </c>
      <c r="C164" t="s">
        <v>6770</v>
      </c>
      <c r="D164" t="s">
        <v>6771</v>
      </c>
      <c r="E164" s="2">
        <v>20000</v>
      </c>
      <c r="F164" s="2">
        <v>20000</v>
      </c>
      <c r="G164" s="3">
        <v>43346</v>
      </c>
      <c r="H164" s="4">
        <v>0.34638888888889002</v>
      </c>
      <c r="I164" s="3">
        <v>43346</v>
      </c>
      <c r="J164" s="4">
        <v>0.99998842592592996</v>
      </c>
      <c r="K164" s="2">
        <v>0</v>
      </c>
      <c r="L164" t="s">
        <v>5856</v>
      </c>
      <c r="M164" t="s">
        <v>6494</v>
      </c>
      <c r="N164" s="3">
        <v>43348</v>
      </c>
      <c r="O164" s="3">
        <v>43348</v>
      </c>
      <c r="P164" t="s">
        <v>6018</v>
      </c>
      <c r="Q164" t="s">
        <v>12878</v>
      </c>
      <c r="R164" t="s">
        <v>6036</v>
      </c>
      <c r="S164" s="3">
        <v>43361</v>
      </c>
      <c r="T164" t="s">
        <v>9938</v>
      </c>
      <c r="U164" t="s">
        <v>6675</v>
      </c>
      <c r="V164" t="s">
        <v>6760</v>
      </c>
      <c r="W164" t="s">
        <v>5857</v>
      </c>
      <c r="X164" s="2">
        <v>0</v>
      </c>
      <c r="Y164" t="s">
        <v>5858</v>
      </c>
      <c r="Z164" t="s">
        <v>6037</v>
      </c>
      <c r="AA164" s="2">
        <v>20000</v>
      </c>
      <c r="AB164" t="s">
        <v>5861</v>
      </c>
      <c r="AC164" t="s">
        <v>9979</v>
      </c>
      <c r="AD164" s="32"/>
      <c r="AJ164" t="s">
        <v>9958</v>
      </c>
      <c r="AL164" t="s">
        <v>10556</v>
      </c>
    </row>
    <row r="165" spans="1:38">
      <c r="A165" t="s">
        <v>6700</v>
      </c>
      <c r="B165" t="s">
        <v>11656</v>
      </c>
      <c r="C165" t="s">
        <v>6831</v>
      </c>
      <c r="D165" t="s">
        <v>6832</v>
      </c>
      <c r="E165" s="2">
        <v>2000</v>
      </c>
      <c r="F165" s="2">
        <v>2000</v>
      </c>
      <c r="G165" s="3">
        <v>43346</v>
      </c>
      <c r="H165" s="4">
        <v>0.93464120370369996</v>
      </c>
      <c r="I165" s="3">
        <v>43347</v>
      </c>
      <c r="J165" s="4">
        <v>0</v>
      </c>
      <c r="K165" s="2">
        <v>0</v>
      </c>
      <c r="L165" t="s">
        <v>5856</v>
      </c>
      <c r="M165" t="s">
        <v>6491</v>
      </c>
      <c r="N165" s="3">
        <v>43349</v>
      </c>
      <c r="O165" s="3">
        <v>43348</v>
      </c>
      <c r="P165" t="s">
        <v>5883</v>
      </c>
      <c r="Q165" t="s">
        <v>6852</v>
      </c>
      <c r="R165" t="s">
        <v>6036</v>
      </c>
      <c r="S165" s="3">
        <v>43349</v>
      </c>
      <c r="T165" t="s">
        <v>9938</v>
      </c>
      <c r="U165" t="s">
        <v>5886</v>
      </c>
      <c r="V165" t="s">
        <v>6834</v>
      </c>
      <c r="W165" t="s">
        <v>5857</v>
      </c>
      <c r="X165" s="2">
        <v>1275</v>
      </c>
      <c r="Y165" t="s">
        <v>5858</v>
      </c>
      <c r="Z165" t="s">
        <v>6037</v>
      </c>
      <c r="AA165" s="2">
        <v>2000</v>
      </c>
      <c r="AB165" t="s">
        <v>5863</v>
      </c>
      <c r="AC165" t="s">
        <v>9978</v>
      </c>
      <c r="AD165" s="32"/>
      <c r="AI165" t="s">
        <v>9943</v>
      </c>
      <c r="AJ165" t="s">
        <v>9958</v>
      </c>
      <c r="AL165" t="s">
        <v>13826</v>
      </c>
    </row>
    <row r="166" spans="1:38">
      <c r="A166" t="s">
        <v>6700</v>
      </c>
      <c r="B166" t="s">
        <v>11657</v>
      </c>
      <c r="C166" t="s">
        <v>6770</v>
      </c>
      <c r="D166" t="s">
        <v>6771</v>
      </c>
      <c r="E166" s="2">
        <v>20000</v>
      </c>
      <c r="F166" s="2">
        <v>20000</v>
      </c>
      <c r="G166" s="3">
        <v>43347</v>
      </c>
      <c r="H166" s="4">
        <v>0.34638888888889002</v>
      </c>
      <c r="I166" s="3">
        <v>43347</v>
      </c>
      <c r="J166" s="4">
        <v>0.99998842592592996</v>
      </c>
      <c r="K166" s="2">
        <v>0</v>
      </c>
      <c r="L166" t="s">
        <v>5856</v>
      </c>
      <c r="M166" t="s">
        <v>6494</v>
      </c>
      <c r="N166" s="3">
        <v>43349</v>
      </c>
      <c r="O166" s="3">
        <v>43349</v>
      </c>
      <c r="P166" t="s">
        <v>6018</v>
      </c>
      <c r="Q166" t="s">
        <v>8253</v>
      </c>
      <c r="R166" t="s">
        <v>6036</v>
      </c>
      <c r="S166" s="3">
        <v>43362</v>
      </c>
      <c r="T166" t="s">
        <v>9938</v>
      </c>
      <c r="U166" t="s">
        <v>6675</v>
      </c>
      <c r="V166" t="s">
        <v>6760</v>
      </c>
      <c r="W166" t="s">
        <v>5857</v>
      </c>
      <c r="X166" s="2">
        <v>0</v>
      </c>
      <c r="Y166" t="s">
        <v>5858</v>
      </c>
      <c r="Z166" t="s">
        <v>6037</v>
      </c>
      <c r="AA166" s="2">
        <v>20000</v>
      </c>
      <c r="AB166" t="s">
        <v>5861</v>
      </c>
      <c r="AC166" t="s">
        <v>9979</v>
      </c>
      <c r="AD166" s="32"/>
      <c r="AJ166" t="s">
        <v>9958</v>
      </c>
      <c r="AL166" t="s">
        <v>10558</v>
      </c>
    </row>
    <row r="167" spans="1:38">
      <c r="A167" t="s">
        <v>6700</v>
      </c>
      <c r="B167" t="s">
        <v>11658</v>
      </c>
      <c r="C167" t="s">
        <v>6770</v>
      </c>
      <c r="D167" t="s">
        <v>6771</v>
      </c>
      <c r="E167" s="2">
        <v>20000</v>
      </c>
      <c r="F167" s="2">
        <v>20000</v>
      </c>
      <c r="G167" s="3">
        <v>43348</v>
      </c>
      <c r="H167" s="4">
        <v>0.34638888888889002</v>
      </c>
      <c r="I167" s="3">
        <v>43348</v>
      </c>
      <c r="J167" s="4">
        <v>0.99998842592592996</v>
      </c>
      <c r="K167" s="2">
        <v>0</v>
      </c>
      <c r="L167" t="s">
        <v>5856</v>
      </c>
      <c r="M167" t="s">
        <v>6494</v>
      </c>
      <c r="N167" s="3">
        <v>43350</v>
      </c>
      <c r="O167" s="3">
        <v>43350</v>
      </c>
      <c r="P167" t="s">
        <v>6018</v>
      </c>
      <c r="Q167" t="s">
        <v>8574</v>
      </c>
      <c r="R167" t="s">
        <v>6036</v>
      </c>
      <c r="S167" s="3">
        <v>43363</v>
      </c>
      <c r="T167" t="s">
        <v>9938</v>
      </c>
      <c r="U167" t="s">
        <v>6675</v>
      </c>
      <c r="V167" t="s">
        <v>6760</v>
      </c>
      <c r="W167" t="s">
        <v>5857</v>
      </c>
      <c r="X167" s="2">
        <v>0</v>
      </c>
      <c r="Y167" t="s">
        <v>5858</v>
      </c>
      <c r="Z167" t="s">
        <v>6037</v>
      </c>
      <c r="AA167" s="2">
        <v>20000</v>
      </c>
      <c r="AB167" t="s">
        <v>5861</v>
      </c>
      <c r="AC167" t="s">
        <v>9979</v>
      </c>
      <c r="AD167" s="32"/>
      <c r="AJ167" t="s">
        <v>9958</v>
      </c>
      <c r="AL167" t="s">
        <v>10559</v>
      </c>
    </row>
    <row r="168" spans="1:38">
      <c r="A168" t="s">
        <v>6700</v>
      </c>
      <c r="B168" t="s">
        <v>11659</v>
      </c>
      <c r="C168" t="s">
        <v>6770</v>
      </c>
      <c r="D168" t="s">
        <v>6771</v>
      </c>
      <c r="E168" s="2">
        <v>20000</v>
      </c>
      <c r="F168" s="2">
        <v>20000</v>
      </c>
      <c r="G168" s="3">
        <v>43349</v>
      </c>
      <c r="H168" s="4">
        <v>0.34638888888889002</v>
      </c>
      <c r="I168" s="3">
        <v>43349</v>
      </c>
      <c r="J168" s="4">
        <v>0.99998842592592996</v>
      </c>
      <c r="K168" s="2">
        <v>0</v>
      </c>
      <c r="L168" t="s">
        <v>5856</v>
      </c>
      <c r="M168" t="s">
        <v>6494</v>
      </c>
      <c r="N168" s="3">
        <v>43351</v>
      </c>
      <c r="O168" s="3">
        <v>43351</v>
      </c>
      <c r="P168" t="s">
        <v>6018</v>
      </c>
      <c r="Q168" t="s">
        <v>8254</v>
      </c>
      <c r="R168" t="s">
        <v>6036</v>
      </c>
      <c r="S168" s="3">
        <v>43368</v>
      </c>
      <c r="T168" t="s">
        <v>9938</v>
      </c>
      <c r="U168" t="s">
        <v>6675</v>
      </c>
      <c r="V168" t="s">
        <v>6760</v>
      </c>
      <c r="W168" t="s">
        <v>5857</v>
      </c>
      <c r="X168" s="2">
        <v>0</v>
      </c>
      <c r="Y168" t="s">
        <v>5858</v>
      </c>
      <c r="Z168" t="s">
        <v>6037</v>
      </c>
      <c r="AA168" s="2">
        <v>20000</v>
      </c>
      <c r="AB168" t="s">
        <v>5861</v>
      </c>
      <c r="AC168" t="s">
        <v>9979</v>
      </c>
      <c r="AD168" s="32"/>
      <c r="AJ168" t="s">
        <v>9958</v>
      </c>
      <c r="AL168" t="s">
        <v>10560</v>
      </c>
    </row>
    <row r="169" spans="1:38">
      <c r="A169" t="s">
        <v>6700</v>
      </c>
      <c r="B169" t="s">
        <v>11660</v>
      </c>
      <c r="C169" t="s">
        <v>6853</v>
      </c>
      <c r="D169" t="s">
        <v>6854</v>
      </c>
      <c r="E169" s="5">
        <v>2137.25</v>
      </c>
      <c r="F169" s="5">
        <v>2137.25</v>
      </c>
      <c r="G169" s="3">
        <v>43350</v>
      </c>
      <c r="H169" s="4">
        <v>0.25824074074073999</v>
      </c>
      <c r="I169" s="3">
        <v>43350</v>
      </c>
      <c r="J169" s="4">
        <v>0.32809027777777999</v>
      </c>
      <c r="K169" s="2">
        <v>20</v>
      </c>
      <c r="L169" t="s">
        <v>5856</v>
      </c>
      <c r="M169" t="s">
        <v>12879</v>
      </c>
      <c r="N169" s="3">
        <v>43353</v>
      </c>
      <c r="O169" s="3">
        <v>43352</v>
      </c>
      <c r="P169" t="s">
        <v>5889</v>
      </c>
      <c r="Q169" t="s">
        <v>6855</v>
      </c>
      <c r="R169" t="s">
        <v>6036</v>
      </c>
      <c r="S169" s="3">
        <v>43353</v>
      </c>
      <c r="T169" t="s">
        <v>9938</v>
      </c>
      <c r="U169" t="s">
        <v>5893</v>
      </c>
      <c r="V169" t="s">
        <v>6856</v>
      </c>
      <c r="W169" t="s">
        <v>5857</v>
      </c>
      <c r="X169" s="2">
        <v>1275</v>
      </c>
      <c r="Y169" t="s">
        <v>5858</v>
      </c>
      <c r="Z169" t="s">
        <v>6037</v>
      </c>
      <c r="AA169" s="2">
        <v>2075</v>
      </c>
      <c r="AB169" t="s">
        <v>5863</v>
      </c>
      <c r="AC169" t="s">
        <v>9978</v>
      </c>
      <c r="AD169" s="32"/>
      <c r="AJ169" t="s">
        <v>9958</v>
      </c>
      <c r="AL169" t="s">
        <v>13827</v>
      </c>
    </row>
    <row r="170" spans="1:38">
      <c r="A170" t="s">
        <v>6700</v>
      </c>
      <c r="B170" t="s">
        <v>11661</v>
      </c>
      <c r="C170" t="s">
        <v>6770</v>
      </c>
      <c r="D170" t="s">
        <v>6771</v>
      </c>
      <c r="E170" s="2">
        <v>20000</v>
      </c>
      <c r="F170" s="2">
        <v>20000</v>
      </c>
      <c r="G170" s="3">
        <v>43350</v>
      </c>
      <c r="H170" s="4">
        <v>0.34638888888889002</v>
      </c>
      <c r="I170" s="3">
        <v>43350</v>
      </c>
      <c r="J170" s="4">
        <v>0.99998842592592996</v>
      </c>
      <c r="K170" s="2">
        <v>0</v>
      </c>
      <c r="L170" t="s">
        <v>5856</v>
      </c>
      <c r="M170" t="s">
        <v>6494</v>
      </c>
      <c r="N170" s="3">
        <v>43352</v>
      </c>
      <c r="O170" s="3">
        <v>43352</v>
      </c>
      <c r="P170" t="s">
        <v>6018</v>
      </c>
      <c r="Q170" t="s">
        <v>8575</v>
      </c>
      <c r="R170" t="s">
        <v>6036</v>
      </c>
      <c r="S170" s="3">
        <v>43368</v>
      </c>
      <c r="T170" t="s">
        <v>9938</v>
      </c>
      <c r="U170" t="s">
        <v>6675</v>
      </c>
      <c r="V170" t="s">
        <v>6760</v>
      </c>
      <c r="W170" t="s">
        <v>5857</v>
      </c>
      <c r="X170" s="2">
        <v>0</v>
      </c>
      <c r="Y170" t="s">
        <v>5858</v>
      </c>
      <c r="Z170" t="s">
        <v>6037</v>
      </c>
      <c r="AA170" s="2">
        <v>20000</v>
      </c>
      <c r="AB170" t="s">
        <v>5861</v>
      </c>
      <c r="AC170" t="s">
        <v>9979</v>
      </c>
      <c r="AD170" s="32"/>
      <c r="AJ170" t="s">
        <v>9958</v>
      </c>
      <c r="AL170" t="s">
        <v>10562</v>
      </c>
    </row>
    <row r="171" spans="1:38">
      <c r="A171" t="s">
        <v>6700</v>
      </c>
      <c r="B171" t="s">
        <v>11662</v>
      </c>
      <c r="C171" t="s">
        <v>6857</v>
      </c>
      <c r="D171" t="s">
        <v>6858</v>
      </c>
      <c r="E171" s="2">
        <v>2000</v>
      </c>
      <c r="F171" s="2">
        <v>2000</v>
      </c>
      <c r="G171" s="3">
        <v>43352</v>
      </c>
      <c r="H171" s="4">
        <v>0.93464120370369996</v>
      </c>
      <c r="I171" s="3">
        <v>43353</v>
      </c>
      <c r="J171" s="4">
        <v>0</v>
      </c>
      <c r="K171" s="2">
        <v>20</v>
      </c>
      <c r="L171" t="s">
        <v>5856</v>
      </c>
      <c r="M171" t="s">
        <v>6491</v>
      </c>
      <c r="N171" s="3">
        <v>43355</v>
      </c>
      <c r="O171" s="3">
        <v>43354</v>
      </c>
      <c r="P171" t="s">
        <v>5862</v>
      </c>
      <c r="Q171" t="s">
        <v>6859</v>
      </c>
      <c r="R171" t="s">
        <v>6036</v>
      </c>
      <c r="S171" s="3">
        <v>43355</v>
      </c>
      <c r="T171" t="s">
        <v>9938</v>
      </c>
      <c r="U171" t="s">
        <v>5923</v>
      </c>
      <c r="V171" t="s">
        <v>6860</v>
      </c>
      <c r="W171" t="s">
        <v>5857</v>
      </c>
      <c r="X171" s="2">
        <v>1275</v>
      </c>
      <c r="Y171" t="s">
        <v>5858</v>
      </c>
      <c r="Z171" t="s">
        <v>6037</v>
      </c>
      <c r="AA171" s="2">
        <v>2000</v>
      </c>
      <c r="AB171" t="s">
        <v>5863</v>
      </c>
      <c r="AC171" t="s">
        <v>9974</v>
      </c>
      <c r="AD171" s="32"/>
      <c r="AJ171" t="s">
        <v>9959</v>
      </c>
      <c r="AL171" t="s">
        <v>13828</v>
      </c>
    </row>
    <row r="172" spans="1:38">
      <c r="A172" t="s">
        <v>6700</v>
      </c>
      <c r="B172" t="s">
        <v>11663</v>
      </c>
      <c r="C172" t="s">
        <v>6770</v>
      </c>
      <c r="D172" t="s">
        <v>6771</v>
      </c>
      <c r="E172" s="2">
        <v>20000</v>
      </c>
      <c r="F172" s="2">
        <v>20000</v>
      </c>
      <c r="G172" s="3">
        <v>43360</v>
      </c>
      <c r="H172" s="4">
        <v>0.34638888888889002</v>
      </c>
      <c r="I172" s="3">
        <v>43360</v>
      </c>
      <c r="J172" s="4">
        <v>0.99998842592592996</v>
      </c>
      <c r="K172" s="2">
        <v>0</v>
      </c>
      <c r="L172" t="s">
        <v>5856</v>
      </c>
      <c r="M172" t="s">
        <v>6494</v>
      </c>
      <c r="N172" s="3">
        <v>43362</v>
      </c>
      <c r="O172" s="3">
        <v>43362</v>
      </c>
      <c r="P172" t="s">
        <v>6018</v>
      </c>
      <c r="Q172" t="s">
        <v>8257</v>
      </c>
      <c r="R172" t="s">
        <v>6036</v>
      </c>
      <c r="S172" s="3">
        <v>43370</v>
      </c>
      <c r="T172" t="s">
        <v>9938</v>
      </c>
      <c r="U172" t="s">
        <v>6675</v>
      </c>
      <c r="V172" t="s">
        <v>6760</v>
      </c>
      <c r="W172" t="s">
        <v>5857</v>
      </c>
      <c r="X172" s="2">
        <v>0</v>
      </c>
      <c r="Y172" t="s">
        <v>5858</v>
      </c>
      <c r="Z172" t="s">
        <v>6037</v>
      </c>
      <c r="AA172" s="2">
        <v>20000</v>
      </c>
      <c r="AB172" t="s">
        <v>5861</v>
      </c>
      <c r="AC172" t="s">
        <v>9979</v>
      </c>
      <c r="AD172" s="32"/>
      <c r="AJ172" t="s">
        <v>9958</v>
      </c>
      <c r="AL172" t="s">
        <v>10564</v>
      </c>
    </row>
    <row r="173" spans="1:38">
      <c r="A173" t="s">
        <v>6700</v>
      </c>
      <c r="B173" t="s">
        <v>11664</v>
      </c>
      <c r="C173" t="s">
        <v>6770</v>
      </c>
      <c r="D173" t="s">
        <v>6771</v>
      </c>
      <c r="E173" s="2">
        <v>20000</v>
      </c>
      <c r="F173" s="2">
        <v>20000</v>
      </c>
      <c r="G173" s="3">
        <v>43367</v>
      </c>
      <c r="H173" s="4">
        <v>0.34638888888889002</v>
      </c>
      <c r="I173" s="3">
        <v>43367</v>
      </c>
      <c r="J173" s="4">
        <v>0.99998842592592996</v>
      </c>
      <c r="K173" s="2">
        <v>0</v>
      </c>
      <c r="L173" t="s">
        <v>5856</v>
      </c>
      <c r="M173" t="s">
        <v>6494</v>
      </c>
      <c r="N173" s="3">
        <v>43369</v>
      </c>
      <c r="O173" s="3">
        <v>43369</v>
      </c>
      <c r="P173" t="s">
        <v>6018</v>
      </c>
      <c r="Q173" t="s">
        <v>12880</v>
      </c>
      <c r="R173" t="s">
        <v>6036</v>
      </c>
      <c r="S173" s="3">
        <v>43390</v>
      </c>
      <c r="T173" t="s">
        <v>9938</v>
      </c>
      <c r="U173" t="s">
        <v>6675</v>
      </c>
      <c r="V173" t="s">
        <v>6760</v>
      </c>
      <c r="W173" t="s">
        <v>5857</v>
      </c>
      <c r="X173" s="2">
        <v>0</v>
      </c>
      <c r="Y173" t="s">
        <v>5858</v>
      </c>
      <c r="Z173" t="s">
        <v>6037</v>
      </c>
      <c r="AA173" s="2">
        <v>20000</v>
      </c>
      <c r="AB173" t="s">
        <v>5861</v>
      </c>
      <c r="AC173" t="s">
        <v>9979</v>
      </c>
      <c r="AD173" s="32"/>
      <c r="AJ173" t="s">
        <v>9958</v>
      </c>
      <c r="AL173" t="s">
        <v>10565</v>
      </c>
    </row>
    <row r="174" spans="1:38">
      <c r="A174" t="s">
        <v>6861</v>
      </c>
      <c r="B174" t="s">
        <v>11666</v>
      </c>
      <c r="C174" t="s">
        <v>6873</v>
      </c>
      <c r="D174" t="s">
        <v>6874</v>
      </c>
      <c r="E174" s="2">
        <v>10300</v>
      </c>
      <c r="F174" s="2">
        <v>10300</v>
      </c>
      <c r="G174" s="3">
        <v>43279</v>
      </c>
      <c r="H174" s="4">
        <v>0.71751157407406996</v>
      </c>
      <c r="I174" s="3">
        <v>43280</v>
      </c>
      <c r="J174" s="4">
        <v>5.4108796296299999E-2</v>
      </c>
      <c r="K174" s="2">
        <v>4</v>
      </c>
      <c r="L174" t="s">
        <v>5856</v>
      </c>
      <c r="M174" t="s">
        <v>6483</v>
      </c>
      <c r="N174" s="3">
        <v>43276</v>
      </c>
      <c r="O174" s="3">
        <v>43282</v>
      </c>
      <c r="P174" t="s">
        <v>5971</v>
      </c>
      <c r="Q174" t="s">
        <v>6038</v>
      </c>
      <c r="R174" t="s">
        <v>6039</v>
      </c>
      <c r="S174" s="3"/>
      <c r="T174" t="s">
        <v>9938</v>
      </c>
      <c r="U174" t="s">
        <v>6912</v>
      </c>
      <c r="V174" t="s">
        <v>9922</v>
      </c>
      <c r="W174" t="s">
        <v>5857</v>
      </c>
      <c r="X174" s="2">
        <v>1275</v>
      </c>
      <c r="Y174" t="s">
        <v>5858</v>
      </c>
      <c r="Z174" t="s">
        <v>6037</v>
      </c>
      <c r="AA174" s="2">
        <v>10300</v>
      </c>
      <c r="AB174" t="s">
        <v>5859</v>
      </c>
      <c r="AC174" t="s">
        <v>9976</v>
      </c>
      <c r="AD174" s="32"/>
      <c r="AJ174" t="s">
        <v>9959</v>
      </c>
      <c r="AL174" t="s">
        <v>13829</v>
      </c>
    </row>
    <row r="175" spans="1:38">
      <c r="A175" t="s">
        <v>6861</v>
      </c>
      <c r="B175" t="s">
        <v>11665</v>
      </c>
      <c r="C175" t="s">
        <v>6869</v>
      </c>
      <c r="D175" t="s">
        <v>6870</v>
      </c>
      <c r="E175" s="2">
        <v>10300</v>
      </c>
      <c r="F175" s="2">
        <v>10300</v>
      </c>
      <c r="G175" s="3">
        <v>43280</v>
      </c>
      <c r="H175" s="4">
        <v>7.4942129629629997E-2</v>
      </c>
      <c r="I175" s="3">
        <v>43280</v>
      </c>
      <c r="J175" s="4">
        <v>0.41153935185184998</v>
      </c>
      <c r="K175" s="2">
        <v>20</v>
      </c>
      <c r="L175" t="s">
        <v>5856</v>
      </c>
      <c r="M175" t="s">
        <v>6483</v>
      </c>
      <c r="N175" s="3">
        <v>43292</v>
      </c>
      <c r="O175" s="3">
        <v>43282</v>
      </c>
      <c r="P175" t="s">
        <v>5971</v>
      </c>
      <c r="Q175" t="s">
        <v>6871</v>
      </c>
      <c r="R175" t="s">
        <v>6036</v>
      </c>
      <c r="S175" s="3">
        <v>43292</v>
      </c>
      <c r="T175" t="s">
        <v>9938</v>
      </c>
      <c r="U175" t="s">
        <v>6872</v>
      </c>
      <c r="V175" t="s">
        <v>6041</v>
      </c>
      <c r="W175" t="s">
        <v>5857</v>
      </c>
      <c r="X175" s="2">
        <v>1275</v>
      </c>
      <c r="Y175" t="s">
        <v>5858</v>
      </c>
      <c r="Z175" t="s">
        <v>6037</v>
      </c>
      <c r="AA175" s="2">
        <v>10000</v>
      </c>
      <c r="AB175" t="s">
        <v>5859</v>
      </c>
      <c r="AC175" t="s">
        <v>9974</v>
      </c>
      <c r="AD175" s="32">
        <v>43143</v>
      </c>
      <c r="AJ175" t="s">
        <v>9959</v>
      </c>
      <c r="AL175" t="s">
        <v>10566</v>
      </c>
    </row>
    <row r="176" spans="1:38">
      <c r="A176" t="s">
        <v>6861</v>
      </c>
      <c r="B176" t="s">
        <v>12881</v>
      </c>
      <c r="C176" t="s">
        <v>6869</v>
      </c>
      <c r="D176" t="s">
        <v>6870</v>
      </c>
      <c r="E176" s="2">
        <v>10300</v>
      </c>
      <c r="F176" s="2">
        <v>10300</v>
      </c>
      <c r="G176" s="3">
        <v>43283</v>
      </c>
      <c r="H176" s="4">
        <v>2.0833333333330002E-2</v>
      </c>
      <c r="I176" s="3">
        <v>43283</v>
      </c>
      <c r="J176" s="4">
        <v>0.35743055555556003</v>
      </c>
      <c r="K176" s="2">
        <v>0</v>
      </c>
      <c r="L176" t="s">
        <v>5856</v>
      </c>
      <c r="M176" t="s">
        <v>6483</v>
      </c>
      <c r="N176" s="3">
        <v>43283</v>
      </c>
      <c r="O176" s="3">
        <v>43285</v>
      </c>
      <c r="P176" t="s">
        <v>5971</v>
      </c>
      <c r="Q176" t="s">
        <v>8587</v>
      </c>
      <c r="R176" t="s">
        <v>6036</v>
      </c>
      <c r="S176" s="3">
        <v>43283</v>
      </c>
      <c r="T176" t="s">
        <v>9938</v>
      </c>
      <c r="U176" t="s">
        <v>6872</v>
      </c>
      <c r="V176" t="s">
        <v>6041</v>
      </c>
      <c r="W176" t="s">
        <v>5857</v>
      </c>
      <c r="X176" s="2">
        <v>1275</v>
      </c>
      <c r="Y176" t="s">
        <v>5858</v>
      </c>
      <c r="Z176" t="s">
        <v>6037</v>
      </c>
      <c r="AA176" s="2">
        <v>10000</v>
      </c>
      <c r="AB176" t="s">
        <v>5863</v>
      </c>
      <c r="AC176" t="s">
        <v>9974</v>
      </c>
      <c r="AD176" s="32">
        <v>43280</v>
      </c>
      <c r="AJ176" t="s">
        <v>9959</v>
      </c>
      <c r="AL176" t="s">
        <v>13830</v>
      </c>
    </row>
    <row r="177" spans="1:38">
      <c r="A177" t="s">
        <v>6861</v>
      </c>
      <c r="B177" t="s">
        <v>12882</v>
      </c>
      <c r="C177" t="s">
        <v>6869</v>
      </c>
      <c r="D177" t="s">
        <v>6870</v>
      </c>
      <c r="E177" s="2">
        <v>20600</v>
      </c>
      <c r="F177" s="2">
        <v>20600</v>
      </c>
      <c r="G177" s="3">
        <v>43283</v>
      </c>
      <c r="H177" s="4">
        <v>0.37826388888889001</v>
      </c>
      <c r="I177" s="3">
        <v>43284</v>
      </c>
      <c r="J177" s="4">
        <v>5.1469907407409997E-2</v>
      </c>
      <c r="K177" s="2">
        <v>0</v>
      </c>
      <c r="L177" t="s">
        <v>5856</v>
      </c>
      <c r="M177" t="s">
        <v>6457</v>
      </c>
      <c r="N177" s="3">
        <v>43285</v>
      </c>
      <c r="O177" s="3">
        <v>43286</v>
      </c>
      <c r="P177" t="s">
        <v>5971</v>
      </c>
      <c r="Q177" t="s">
        <v>8619</v>
      </c>
      <c r="R177" t="s">
        <v>6036</v>
      </c>
      <c r="S177" s="3">
        <v>43285</v>
      </c>
      <c r="T177" t="s">
        <v>9938</v>
      </c>
      <c r="U177" t="s">
        <v>6872</v>
      </c>
      <c r="V177" t="s">
        <v>6041</v>
      </c>
      <c r="W177" t="s">
        <v>5857</v>
      </c>
      <c r="X177" s="2">
        <v>1275</v>
      </c>
      <c r="Y177" t="s">
        <v>5858</v>
      </c>
      <c r="Z177" t="s">
        <v>6037</v>
      </c>
      <c r="AA177" s="2">
        <v>20000</v>
      </c>
      <c r="AB177" t="s">
        <v>5863</v>
      </c>
      <c r="AC177" t="s">
        <v>9974</v>
      </c>
      <c r="AD177" s="32">
        <v>43280</v>
      </c>
      <c r="AJ177" t="s">
        <v>9959</v>
      </c>
      <c r="AL177" t="s">
        <v>13831</v>
      </c>
    </row>
    <row r="178" spans="1:38">
      <c r="A178" t="s">
        <v>6861</v>
      </c>
      <c r="B178" t="s">
        <v>12883</v>
      </c>
      <c r="C178" t="s">
        <v>8588</v>
      </c>
      <c r="D178" t="s">
        <v>8589</v>
      </c>
      <c r="E178" s="5">
        <v>10222.75</v>
      </c>
      <c r="F178" s="5">
        <v>10222.75</v>
      </c>
      <c r="G178" s="3">
        <v>43284</v>
      </c>
      <c r="H178" s="4">
        <v>7.2303240740740002E-2</v>
      </c>
      <c r="I178" s="3">
        <v>43284</v>
      </c>
      <c r="J178" s="4">
        <v>0.40637731481480999</v>
      </c>
      <c r="K178" s="2">
        <v>0</v>
      </c>
      <c r="L178" t="s">
        <v>5856</v>
      </c>
      <c r="M178" t="s">
        <v>12884</v>
      </c>
      <c r="N178" s="3">
        <v>43285</v>
      </c>
      <c r="O178" s="3">
        <v>43286</v>
      </c>
      <c r="P178" t="s">
        <v>5971</v>
      </c>
      <c r="Q178" t="s">
        <v>6038</v>
      </c>
      <c r="R178" t="s">
        <v>6039</v>
      </c>
      <c r="S178" s="3"/>
      <c r="T178" t="s">
        <v>9938</v>
      </c>
      <c r="U178" t="s">
        <v>8592</v>
      </c>
      <c r="V178" t="s">
        <v>8593</v>
      </c>
      <c r="W178" t="s">
        <v>5857</v>
      </c>
      <c r="X178" s="2">
        <v>1275</v>
      </c>
      <c r="Y178" t="s">
        <v>5858</v>
      </c>
      <c r="Z178" t="s">
        <v>6037</v>
      </c>
      <c r="AA178" s="2">
        <v>9925</v>
      </c>
      <c r="AB178" t="s">
        <v>5863</v>
      </c>
      <c r="AC178" t="s">
        <v>9974</v>
      </c>
      <c r="AD178" s="32">
        <v>43280</v>
      </c>
      <c r="AL178" t="s">
        <v>13832</v>
      </c>
    </row>
    <row r="179" spans="1:38">
      <c r="A179" t="s">
        <v>6861</v>
      </c>
      <c r="B179" t="s">
        <v>12885</v>
      </c>
      <c r="C179" t="s">
        <v>6869</v>
      </c>
      <c r="D179" t="s">
        <v>6870</v>
      </c>
      <c r="E179" s="2">
        <v>10300</v>
      </c>
      <c r="F179" s="2">
        <v>10300</v>
      </c>
      <c r="G179" s="3">
        <v>43284</v>
      </c>
      <c r="H179" s="4">
        <v>0.42721064814815002</v>
      </c>
      <c r="I179" s="3">
        <v>43284</v>
      </c>
      <c r="J179" s="4">
        <v>0.76380787037037001</v>
      </c>
      <c r="K179" s="2">
        <v>0</v>
      </c>
      <c r="L179" t="s">
        <v>5856</v>
      </c>
      <c r="M179" t="s">
        <v>6483</v>
      </c>
      <c r="N179" s="3">
        <v>43286</v>
      </c>
      <c r="O179" s="3">
        <v>43286</v>
      </c>
      <c r="P179" t="s">
        <v>5971</v>
      </c>
      <c r="Q179" t="s">
        <v>8601</v>
      </c>
      <c r="R179" t="s">
        <v>6036</v>
      </c>
      <c r="S179" s="3">
        <v>43286</v>
      </c>
      <c r="T179" t="s">
        <v>9938</v>
      </c>
      <c r="U179" t="s">
        <v>6872</v>
      </c>
      <c r="V179" t="s">
        <v>6041</v>
      </c>
      <c r="W179" t="s">
        <v>5857</v>
      </c>
      <c r="X179" s="2">
        <v>1275</v>
      </c>
      <c r="Y179" t="s">
        <v>5858</v>
      </c>
      <c r="Z179" t="s">
        <v>6037</v>
      </c>
      <c r="AA179" s="2">
        <v>10000</v>
      </c>
      <c r="AB179" t="s">
        <v>5859</v>
      </c>
      <c r="AC179" t="s">
        <v>9974</v>
      </c>
      <c r="AD179" s="32">
        <v>43280</v>
      </c>
      <c r="AJ179" t="s">
        <v>9959</v>
      </c>
      <c r="AL179" t="s">
        <v>13833</v>
      </c>
    </row>
    <row r="180" spans="1:38">
      <c r="A180" t="s">
        <v>6861</v>
      </c>
      <c r="B180" t="s">
        <v>11667</v>
      </c>
      <c r="C180" t="s">
        <v>6877</v>
      </c>
      <c r="D180" t="s">
        <v>6878</v>
      </c>
      <c r="E180" s="2">
        <v>400</v>
      </c>
      <c r="F180" s="2">
        <v>10300</v>
      </c>
      <c r="G180" s="3">
        <v>43285</v>
      </c>
      <c r="H180" s="4">
        <v>0.71487268518518998</v>
      </c>
      <c r="I180" s="3">
        <v>43286</v>
      </c>
      <c r="J180" s="4">
        <v>5.1469907407409997E-2</v>
      </c>
      <c r="K180" s="2">
        <v>20</v>
      </c>
      <c r="L180" t="s">
        <v>5856</v>
      </c>
      <c r="M180" t="s">
        <v>6483</v>
      </c>
      <c r="N180" s="3">
        <v>43286</v>
      </c>
      <c r="O180" s="3">
        <v>43288</v>
      </c>
      <c r="P180" t="s">
        <v>5862</v>
      </c>
      <c r="Q180" t="s">
        <v>6879</v>
      </c>
      <c r="R180" t="s">
        <v>6036</v>
      </c>
      <c r="S180" s="3">
        <v>43286</v>
      </c>
      <c r="T180" t="s">
        <v>9938</v>
      </c>
      <c r="U180" t="s">
        <v>6582</v>
      </c>
      <c r="V180" t="s">
        <v>6880</v>
      </c>
      <c r="W180" t="s">
        <v>5857</v>
      </c>
      <c r="X180" s="2">
        <v>1275</v>
      </c>
      <c r="Y180" t="s">
        <v>5858</v>
      </c>
      <c r="Z180" t="s">
        <v>6037</v>
      </c>
      <c r="AA180" s="2">
        <v>100</v>
      </c>
      <c r="AB180" t="s">
        <v>5859</v>
      </c>
      <c r="AC180" t="s">
        <v>9976</v>
      </c>
      <c r="AD180" s="32">
        <v>43223</v>
      </c>
      <c r="AJ180" t="s">
        <v>9958</v>
      </c>
      <c r="AL180" t="s">
        <v>10567</v>
      </c>
    </row>
    <row r="181" spans="1:38">
      <c r="A181" t="s">
        <v>6861</v>
      </c>
      <c r="B181" t="s">
        <v>11668</v>
      </c>
      <c r="C181" t="s">
        <v>6881</v>
      </c>
      <c r="D181" t="s">
        <v>6882</v>
      </c>
      <c r="E181" s="2">
        <v>120</v>
      </c>
      <c r="F181" s="2">
        <v>4120</v>
      </c>
      <c r="G181" s="3">
        <v>43286</v>
      </c>
      <c r="H181" s="4">
        <v>7.2303240740740002E-2</v>
      </c>
      <c r="I181" s="3">
        <v>43286</v>
      </c>
      <c r="J181" s="4">
        <v>0.20694444444443999</v>
      </c>
      <c r="K181" s="2">
        <v>20</v>
      </c>
      <c r="L181" t="s">
        <v>5856</v>
      </c>
      <c r="M181" t="s">
        <v>6883</v>
      </c>
      <c r="N181" s="3">
        <v>43292</v>
      </c>
      <c r="O181" s="3">
        <v>43293</v>
      </c>
      <c r="P181" t="s">
        <v>5913</v>
      </c>
      <c r="Q181" t="s">
        <v>6038</v>
      </c>
      <c r="R181" t="s">
        <v>6039</v>
      </c>
      <c r="S181" s="3"/>
      <c r="T181" t="s">
        <v>9938</v>
      </c>
      <c r="U181" t="s">
        <v>6884</v>
      </c>
      <c r="V181" t="s">
        <v>6885</v>
      </c>
      <c r="W181" t="s">
        <v>5857</v>
      </c>
      <c r="X181" s="2">
        <v>1275</v>
      </c>
      <c r="Y181" t="s">
        <v>5858</v>
      </c>
      <c r="Z181" t="s">
        <v>6037</v>
      </c>
      <c r="AA181" s="2">
        <v>0</v>
      </c>
      <c r="AB181" t="s">
        <v>5859</v>
      </c>
      <c r="AC181" t="s">
        <v>9978</v>
      </c>
      <c r="AD181" s="32">
        <v>43271</v>
      </c>
      <c r="AJ181" t="s">
        <v>9958</v>
      </c>
      <c r="AL181" t="s">
        <v>10568</v>
      </c>
    </row>
    <row r="182" spans="1:38">
      <c r="A182" t="s">
        <v>6861</v>
      </c>
      <c r="B182" t="s">
        <v>11673</v>
      </c>
      <c r="C182" t="s">
        <v>6900</v>
      </c>
      <c r="D182" t="s">
        <v>6901</v>
      </c>
      <c r="E182" s="2">
        <v>10300</v>
      </c>
      <c r="F182" s="2">
        <v>10300</v>
      </c>
      <c r="G182" s="3">
        <v>43286</v>
      </c>
      <c r="H182" s="4">
        <v>7.2303240740740002E-2</v>
      </c>
      <c r="I182" s="3">
        <v>43286</v>
      </c>
      <c r="J182" s="4">
        <v>0.40890046296296001</v>
      </c>
      <c r="K182" s="2">
        <v>20</v>
      </c>
      <c r="L182" t="s">
        <v>5856</v>
      </c>
      <c r="M182" t="s">
        <v>6483</v>
      </c>
      <c r="N182" s="3">
        <v>43297</v>
      </c>
      <c r="O182" s="3">
        <v>43288</v>
      </c>
      <c r="P182" t="s">
        <v>6026</v>
      </c>
      <c r="Q182" t="s">
        <v>6902</v>
      </c>
      <c r="R182" t="s">
        <v>6036</v>
      </c>
      <c r="S182" s="3">
        <v>43297</v>
      </c>
      <c r="T182" t="s">
        <v>9938</v>
      </c>
      <c r="U182" t="s">
        <v>6903</v>
      </c>
      <c r="V182" t="s">
        <v>6904</v>
      </c>
      <c r="W182" t="s">
        <v>5857</v>
      </c>
      <c r="X182" s="2">
        <v>1275</v>
      </c>
      <c r="Y182" t="s">
        <v>5858</v>
      </c>
      <c r="Z182" t="s">
        <v>6037</v>
      </c>
      <c r="AA182" s="2">
        <v>10000</v>
      </c>
      <c r="AB182" t="s">
        <v>5859</v>
      </c>
      <c r="AC182" t="s">
        <v>9976</v>
      </c>
      <c r="AD182" s="32">
        <v>43277</v>
      </c>
      <c r="AJ182" t="s">
        <v>9958</v>
      </c>
      <c r="AL182" t="s">
        <v>10573</v>
      </c>
    </row>
    <row r="183" spans="1:38">
      <c r="A183" t="s">
        <v>6861</v>
      </c>
      <c r="B183" t="s">
        <v>12886</v>
      </c>
      <c r="C183" t="s">
        <v>6862</v>
      </c>
      <c r="D183" t="s">
        <v>6863</v>
      </c>
      <c r="E183" s="2">
        <v>20600</v>
      </c>
      <c r="F183" s="2">
        <v>20600</v>
      </c>
      <c r="G183" s="3">
        <v>43286</v>
      </c>
      <c r="H183" s="4">
        <v>0.58332175925926</v>
      </c>
      <c r="I183" s="3">
        <v>43287</v>
      </c>
      <c r="J183" s="4">
        <v>0.25652777777778002</v>
      </c>
      <c r="K183" s="2">
        <v>0</v>
      </c>
      <c r="L183" t="s">
        <v>5856</v>
      </c>
      <c r="M183" t="s">
        <v>6457</v>
      </c>
      <c r="N183" s="3">
        <v>43288</v>
      </c>
      <c r="O183" s="3">
        <v>43289</v>
      </c>
      <c r="P183" t="s">
        <v>6026</v>
      </c>
      <c r="Q183" t="s">
        <v>7260</v>
      </c>
      <c r="R183" t="s">
        <v>6036</v>
      </c>
      <c r="S183" s="3">
        <v>43297</v>
      </c>
      <c r="T183" t="s">
        <v>9938</v>
      </c>
      <c r="U183" t="s">
        <v>5961</v>
      </c>
      <c r="V183" t="s">
        <v>6864</v>
      </c>
      <c r="W183" t="s">
        <v>5857</v>
      </c>
      <c r="X183" s="2">
        <v>1275</v>
      </c>
      <c r="Y183" t="s">
        <v>5858</v>
      </c>
      <c r="Z183" t="s">
        <v>6037</v>
      </c>
      <c r="AA183" s="2">
        <v>20000</v>
      </c>
      <c r="AB183" t="s">
        <v>5863</v>
      </c>
      <c r="AC183" t="s">
        <v>9980</v>
      </c>
      <c r="AD183" s="32">
        <v>43280</v>
      </c>
      <c r="AJ183" t="s">
        <v>9958</v>
      </c>
      <c r="AL183" t="s">
        <v>13834</v>
      </c>
    </row>
    <row r="184" spans="1:38">
      <c r="A184" t="s">
        <v>6861</v>
      </c>
      <c r="B184" t="s">
        <v>12887</v>
      </c>
      <c r="C184" t="s">
        <v>6875</v>
      </c>
      <c r="D184" t="s">
        <v>6876</v>
      </c>
      <c r="E184" s="2">
        <v>20600</v>
      </c>
      <c r="F184" s="2">
        <v>20600</v>
      </c>
      <c r="G184" s="3">
        <v>43287</v>
      </c>
      <c r="H184" s="4">
        <v>0.10872685185185001</v>
      </c>
      <c r="I184" s="3">
        <v>43287</v>
      </c>
      <c r="J184" s="4">
        <v>0.78193287037036996</v>
      </c>
      <c r="K184" s="2">
        <v>0</v>
      </c>
      <c r="L184" t="s">
        <v>5856</v>
      </c>
      <c r="M184" t="s">
        <v>6457</v>
      </c>
      <c r="N184" s="3">
        <v>43293</v>
      </c>
      <c r="O184" s="3">
        <v>43289</v>
      </c>
      <c r="P184" t="s">
        <v>6026</v>
      </c>
      <c r="Q184" t="s">
        <v>6038</v>
      </c>
      <c r="R184" t="s">
        <v>6040</v>
      </c>
      <c r="S184" s="3">
        <v>43288</v>
      </c>
      <c r="T184" t="s">
        <v>9938</v>
      </c>
      <c r="U184" t="s">
        <v>6582</v>
      </c>
      <c r="V184" t="s">
        <v>6864</v>
      </c>
      <c r="W184" t="s">
        <v>5857</v>
      </c>
      <c r="X184" s="2">
        <v>1275</v>
      </c>
      <c r="Y184" t="s">
        <v>5858</v>
      </c>
      <c r="Z184" t="s">
        <v>6037</v>
      </c>
      <c r="AA184" s="2">
        <v>20000</v>
      </c>
      <c r="AB184" t="s">
        <v>5863</v>
      </c>
      <c r="AC184" t="s">
        <v>9980</v>
      </c>
      <c r="AD184" s="32">
        <v>43280</v>
      </c>
      <c r="AJ184" t="s">
        <v>9958</v>
      </c>
      <c r="AL184" t="s">
        <v>13835</v>
      </c>
    </row>
    <row r="185" spans="1:38">
      <c r="A185" t="s">
        <v>6861</v>
      </c>
      <c r="B185" t="s">
        <v>11669</v>
      </c>
      <c r="C185" t="s">
        <v>6881</v>
      </c>
      <c r="D185" t="s">
        <v>6882</v>
      </c>
      <c r="E185" s="2">
        <v>700</v>
      </c>
      <c r="F185" s="2">
        <v>20600</v>
      </c>
      <c r="G185" s="3">
        <v>43287</v>
      </c>
      <c r="H185" s="4">
        <v>0.39909722222221999</v>
      </c>
      <c r="I185" s="3">
        <v>43288</v>
      </c>
      <c r="J185" s="4">
        <v>7.2303240740740002E-2</v>
      </c>
      <c r="K185" s="2">
        <v>0</v>
      </c>
      <c r="L185" t="s">
        <v>5856</v>
      </c>
      <c r="M185" t="s">
        <v>6457</v>
      </c>
      <c r="N185" s="3">
        <v>43293</v>
      </c>
      <c r="O185" s="3">
        <v>43295</v>
      </c>
      <c r="P185" t="s">
        <v>5913</v>
      </c>
      <c r="Q185" t="s">
        <v>6886</v>
      </c>
      <c r="R185" t="s">
        <v>6036</v>
      </c>
      <c r="S185" s="3">
        <v>43293</v>
      </c>
      <c r="T185" t="s">
        <v>9938</v>
      </c>
      <c r="U185" t="s">
        <v>6884</v>
      </c>
      <c r="V185" t="s">
        <v>6885</v>
      </c>
      <c r="W185" t="s">
        <v>5857</v>
      </c>
      <c r="X185" s="2">
        <v>1275</v>
      </c>
      <c r="Y185" t="s">
        <v>5858</v>
      </c>
      <c r="Z185" t="s">
        <v>6037</v>
      </c>
      <c r="AA185" s="2">
        <v>100</v>
      </c>
      <c r="AB185" t="s">
        <v>5859</v>
      </c>
      <c r="AC185" t="s">
        <v>9978</v>
      </c>
      <c r="AD185" s="32">
        <v>43264</v>
      </c>
      <c r="AJ185" t="s">
        <v>9958</v>
      </c>
      <c r="AL185" t="s">
        <v>10569</v>
      </c>
    </row>
    <row r="186" spans="1:38">
      <c r="A186" t="s">
        <v>6861</v>
      </c>
      <c r="B186" t="s">
        <v>11670</v>
      </c>
      <c r="C186" t="s">
        <v>6887</v>
      </c>
      <c r="D186" t="s">
        <v>6888</v>
      </c>
      <c r="E186" s="2">
        <v>20600</v>
      </c>
      <c r="F186" s="2">
        <v>20600</v>
      </c>
      <c r="G186" s="3">
        <v>43288</v>
      </c>
      <c r="H186" s="4">
        <v>9.313657407407E-2</v>
      </c>
      <c r="I186" s="3">
        <v>43288</v>
      </c>
      <c r="J186" s="4">
        <v>0.76634259259258997</v>
      </c>
      <c r="K186" s="2">
        <v>0</v>
      </c>
      <c r="L186" t="s">
        <v>5856</v>
      </c>
      <c r="M186" t="s">
        <v>6457</v>
      </c>
      <c r="N186" s="3">
        <v>43286</v>
      </c>
      <c r="O186" s="3">
        <v>43290</v>
      </c>
      <c r="P186" t="s">
        <v>5889</v>
      </c>
      <c r="Q186" t="s">
        <v>6038</v>
      </c>
      <c r="R186" t="s">
        <v>6039</v>
      </c>
      <c r="S186" s="3"/>
      <c r="T186" t="s">
        <v>9938</v>
      </c>
      <c r="U186" t="s">
        <v>6889</v>
      </c>
      <c r="V186" t="s">
        <v>6041</v>
      </c>
      <c r="W186" t="s">
        <v>5857</v>
      </c>
      <c r="X186" s="2">
        <v>1275</v>
      </c>
      <c r="Y186" t="s">
        <v>5858</v>
      </c>
      <c r="Z186" t="s">
        <v>6037</v>
      </c>
      <c r="AA186" s="2">
        <v>20000</v>
      </c>
      <c r="AB186" t="s">
        <v>5863</v>
      </c>
      <c r="AC186" t="s">
        <v>9979</v>
      </c>
      <c r="AD186" s="32">
        <v>43272</v>
      </c>
      <c r="AJ186" t="s">
        <v>9958</v>
      </c>
      <c r="AL186" t="s">
        <v>10570</v>
      </c>
    </row>
    <row r="187" spans="1:38">
      <c r="A187" t="s">
        <v>6861</v>
      </c>
      <c r="B187" t="s">
        <v>12888</v>
      </c>
      <c r="C187" t="s">
        <v>6890</v>
      </c>
      <c r="D187" t="s">
        <v>6891</v>
      </c>
      <c r="E187" s="2">
        <v>20000</v>
      </c>
      <c r="F187" s="2">
        <v>20000</v>
      </c>
      <c r="G187" s="3">
        <v>43290</v>
      </c>
      <c r="H187" s="4">
        <v>3.1041666666669999E-2</v>
      </c>
      <c r="I187" s="3">
        <v>43290</v>
      </c>
      <c r="J187" s="4">
        <v>0.68464120370369996</v>
      </c>
      <c r="K187" s="2">
        <v>0</v>
      </c>
      <c r="L187" t="s">
        <v>5856</v>
      </c>
      <c r="M187" t="s">
        <v>6494</v>
      </c>
      <c r="N187" s="3">
        <v>43276</v>
      </c>
      <c r="O187" s="3">
        <v>43292</v>
      </c>
      <c r="P187" t="s">
        <v>5862</v>
      </c>
      <c r="Q187" t="s">
        <v>12889</v>
      </c>
      <c r="R187" t="s">
        <v>6036</v>
      </c>
      <c r="S187" s="3">
        <v>43291</v>
      </c>
      <c r="T187" t="s">
        <v>9938</v>
      </c>
      <c r="U187" t="s">
        <v>6550</v>
      </c>
      <c r="V187" t="s">
        <v>6867</v>
      </c>
      <c r="W187" t="s">
        <v>5857</v>
      </c>
      <c r="X187" s="2">
        <v>1275</v>
      </c>
      <c r="Y187" t="s">
        <v>5858</v>
      </c>
      <c r="Z187" t="s">
        <v>6037</v>
      </c>
      <c r="AA187" s="2">
        <v>20000</v>
      </c>
      <c r="AB187" t="s">
        <v>5863</v>
      </c>
      <c r="AC187" t="s">
        <v>9980</v>
      </c>
      <c r="AD187" s="32">
        <v>43280</v>
      </c>
      <c r="AJ187" t="s">
        <v>9960</v>
      </c>
      <c r="AL187" t="s">
        <v>13836</v>
      </c>
    </row>
    <row r="188" spans="1:38">
      <c r="A188" t="s">
        <v>6861</v>
      </c>
      <c r="B188" t="s">
        <v>11671</v>
      </c>
      <c r="C188" t="s">
        <v>6869</v>
      </c>
      <c r="D188" t="s">
        <v>6870</v>
      </c>
      <c r="E188" s="2">
        <v>600</v>
      </c>
      <c r="F188" s="2">
        <v>20600</v>
      </c>
      <c r="G188" s="3">
        <v>43295</v>
      </c>
      <c r="H188" s="4">
        <v>2.0821759259260001E-2</v>
      </c>
      <c r="I188" s="3">
        <v>43295</v>
      </c>
      <c r="J188" s="4">
        <v>0.69402777777778002</v>
      </c>
      <c r="K188" s="2">
        <v>20</v>
      </c>
      <c r="L188" t="s">
        <v>5856</v>
      </c>
      <c r="M188" t="s">
        <v>6457</v>
      </c>
      <c r="N188" s="3">
        <v>43292</v>
      </c>
      <c r="O188" s="3">
        <v>43297</v>
      </c>
      <c r="P188" t="s">
        <v>5971</v>
      </c>
      <c r="Q188" t="s">
        <v>6038</v>
      </c>
      <c r="R188" t="s">
        <v>6039</v>
      </c>
      <c r="S188" s="3"/>
      <c r="T188" t="s">
        <v>9938</v>
      </c>
      <c r="U188" t="s">
        <v>6872</v>
      </c>
      <c r="V188" t="s">
        <v>6041</v>
      </c>
      <c r="W188" t="s">
        <v>5857</v>
      </c>
      <c r="X188" s="2">
        <v>1275</v>
      </c>
      <c r="Y188" t="s">
        <v>5858</v>
      </c>
      <c r="Z188" t="s">
        <v>6037</v>
      </c>
      <c r="AA188" s="2">
        <v>0</v>
      </c>
      <c r="AB188" t="s">
        <v>5859</v>
      </c>
      <c r="AC188" t="s">
        <v>9974</v>
      </c>
      <c r="AD188" s="32">
        <v>43202</v>
      </c>
      <c r="AJ188" t="s">
        <v>9959</v>
      </c>
      <c r="AL188" t="s">
        <v>10571</v>
      </c>
    </row>
    <row r="189" spans="1:38">
      <c r="A189" t="s">
        <v>6861</v>
      </c>
      <c r="B189" t="s">
        <v>11674</v>
      </c>
      <c r="C189" t="s">
        <v>6869</v>
      </c>
      <c r="D189" t="s">
        <v>6870</v>
      </c>
      <c r="E189" s="2">
        <v>6300</v>
      </c>
      <c r="F189" s="2">
        <v>10300</v>
      </c>
      <c r="G189" s="3">
        <v>43296</v>
      </c>
      <c r="H189" s="4">
        <v>0.40890046296296001</v>
      </c>
      <c r="I189" s="3">
        <v>43296</v>
      </c>
      <c r="J189" s="4">
        <v>0.74549768518519</v>
      </c>
      <c r="K189" s="2">
        <v>20</v>
      </c>
      <c r="L189" t="s">
        <v>5856</v>
      </c>
      <c r="M189" t="s">
        <v>6483</v>
      </c>
      <c r="N189" s="3">
        <v>43292</v>
      </c>
      <c r="O189" s="3">
        <v>43298</v>
      </c>
      <c r="P189" t="s">
        <v>5971</v>
      </c>
      <c r="Q189" t="s">
        <v>6905</v>
      </c>
      <c r="R189" t="s">
        <v>6036</v>
      </c>
      <c r="S189" s="3">
        <v>43292</v>
      </c>
      <c r="T189" t="s">
        <v>9938</v>
      </c>
      <c r="U189" t="s">
        <v>6872</v>
      </c>
      <c r="V189" t="s">
        <v>6041</v>
      </c>
      <c r="W189" t="s">
        <v>5857</v>
      </c>
      <c r="X189" s="2">
        <v>1275</v>
      </c>
      <c r="Y189" t="s">
        <v>5858</v>
      </c>
      <c r="Z189" t="s">
        <v>6037</v>
      </c>
      <c r="AA189" s="2">
        <v>6000</v>
      </c>
      <c r="AB189" t="s">
        <v>5859</v>
      </c>
      <c r="AC189" t="s">
        <v>9974</v>
      </c>
      <c r="AD189" s="32">
        <v>43143</v>
      </c>
      <c r="AJ189" t="s">
        <v>9959</v>
      </c>
      <c r="AL189" t="s">
        <v>10574</v>
      </c>
    </row>
    <row r="190" spans="1:38">
      <c r="A190" t="s">
        <v>6861</v>
      </c>
      <c r="B190" t="s">
        <v>11672</v>
      </c>
      <c r="C190" t="s">
        <v>6896</v>
      </c>
      <c r="D190" t="s">
        <v>6897</v>
      </c>
      <c r="E190" s="2">
        <v>5000</v>
      </c>
      <c r="F190" s="2">
        <v>5000</v>
      </c>
      <c r="G190" s="3">
        <v>43296</v>
      </c>
      <c r="H190" s="4">
        <v>0.76633101851852004</v>
      </c>
      <c r="I190" s="3">
        <v>43296</v>
      </c>
      <c r="J190" s="4">
        <v>0.92973379629630004</v>
      </c>
      <c r="K190" s="2">
        <v>0</v>
      </c>
      <c r="L190" t="s">
        <v>5856</v>
      </c>
      <c r="M190" t="s">
        <v>6511</v>
      </c>
      <c r="N190" s="3">
        <v>43293</v>
      </c>
      <c r="O190" s="3">
        <v>43298</v>
      </c>
      <c r="P190" t="s">
        <v>6026</v>
      </c>
      <c r="Q190" t="s">
        <v>6898</v>
      </c>
      <c r="R190" t="s">
        <v>6036</v>
      </c>
      <c r="S190" s="3">
        <v>43293</v>
      </c>
      <c r="T190" t="s">
        <v>9938</v>
      </c>
      <c r="U190" t="s">
        <v>6582</v>
      </c>
      <c r="V190" t="s">
        <v>6899</v>
      </c>
      <c r="W190" t="s">
        <v>5857</v>
      </c>
      <c r="X190" s="2">
        <v>1275</v>
      </c>
      <c r="Y190" t="s">
        <v>5858</v>
      </c>
      <c r="Z190" t="s">
        <v>6037</v>
      </c>
      <c r="AA190" s="2">
        <v>5000</v>
      </c>
      <c r="AB190" t="s">
        <v>5863</v>
      </c>
      <c r="AC190" t="s">
        <v>9976</v>
      </c>
      <c r="AD190" s="32">
        <v>43229</v>
      </c>
      <c r="AJ190" t="s">
        <v>9958</v>
      </c>
      <c r="AL190" t="s">
        <v>10572</v>
      </c>
    </row>
    <row r="191" spans="1:38">
      <c r="A191" t="s">
        <v>6861</v>
      </c>
      <c r="B191" t="s">
        <v>12890</v>
      </c>
      <c r="C191" t="s">
        <v>6711</v>
      </c>
      <c r="D191" t="s">
        <v>6712</v>
      </c>
      <c r="E191" s="2">
        <v>20600</v>
      </c>
      <c r="F191" s="2">
        <v>20600</v>
      </c>
      <c r="G191" s="3">
        <v>43296</v>
      </c>
      <c r="H191" s="4">
        <v>0.95056712962962997</v>
      </c>
      <c r="I191" s="3">
        <v>43297</v>
      </c>
      <c r="J191" s="4">
        <v>0.62377314814814999</v>
      </c>
      <c r="K191" s="2">
        <v>0</v>
      </c>
      <c r="L191" t="s">
        <v>5856</v>
      </c>
      <c r="M191" t="s">
        <v>6457</v>
      </c>
      <c r="N191" s="3">
        <v>43298</v>
      </c>
      <c r="O191" s="3">
        <v>43299</v>
      </c>
      <c r="P191" t="s">
        <v>6018</v>
      </c>
      <c r="Q191" t="s">
        <v>6038</v>
      </c>
      <c r="R191" t="s">
        <v>6040</v>
      </c>
      <c r="S191" s="3">
        <v>43313</v>
      </c>
      <c r="T191" t="s">
        <v>9938</v>
      </c>
      <c r="U191" t="s">
        <v>6714</v>
      </c>
      <c r="V191" t="s">
        <v>5973</v>
      </c>
      <c r="W191" t="s">
        <v>5857</v>
      </c>
      <c r="X191" s="2">
        <v>0</v>
      </c>
      <c r="Y191" t="s">
        <v>5858</v>
      </c>
      <c r="Z191" t="s">
        <v>6037</v>
      </c>
      <c r="AA191" s="2">
        <v>20000</v>
      </c>
      <c r="AB191" t="s">
        <v>5861</v>
      </c>
      <c r="AC191" t="s">
        <v>9979</v>
      </c>
      <c r="AD191" s="32"/>
      <c r="AJ191" t="s">
        <v>9958</v>
      </c>
      <c r="AL191" t="s">
        <v>13837</v>
      </c>
    </row>
    <row r="192" spans="1:38">
      <c r="A192" t="s">
        <v>6861</v>
      </c>
      <c r="B192" t="s">
        <v>12891</v>
      </c>
      <c r="C192" t="s">
        <v>6887</v>
      </c>
      <c r="D192" t="s">
        <v>6888</v>
      </c>
      <c r="E192" s="2">
        <v>20000</v>
      </c>
      <c r="F192" s="2">
        <v>20000</v>
      </c>
      <c r="G192" s="3">
        <v>43297</v>
      </c>
      <c r="H192" s="4">
        <v>0.66542824074074003</v>
      </c>
      <c r="I192" s="3">
        <v>43298</v>
      </c>
      <c r="J192" s="4">
        <v>0.31902777777778002</v>
      </c>
      <c r="K192" s="2">
        <v>0</v>
      </c>
      <c r="L192" t="s">
        <v>5856</v>
      </c>
      <c r="M192" t="s">
        <v>6494</v>
      </c>
      <c r="N192" s="3">
        <v>43299</v>
      </c>
      <c r="O192" s="3">
        <v>43300</v>
      </c>
      <c r="P192" t="s">
        <v>5889</v>
      </c>
      <c r="Q192" t="s">
        <v>6038</v>
      </c>
      <c r="R192" t="s">
        <v>6039</v>
      </c>
      <c r="S192" s="3"/>
      <c r="T192" t="s">
        <v>9938</v>
      </c>
      <c r="U192" t="s">
        <v>6889</v>
      </c>
      <c r="V192" t="s">
        <v>6041</v>
      </c>
      <c r="W192" t="s">
        <v>5857</v>
      </c>
      <c r="X192" s="2">
        <v>1275</v>
      </c>
      <c r="Y192" t="s">
        <v>5858</v>
      </c>
      <c r="Z192" t="s">
        <v>6037</v>
      </c>
      <c r="AA192" s="2">
        <v>20000</v>
      </c>
      <c r="AB192" t="s">
        <v>5863</v>
      </c>
      <c r="AC192" t="s">
        <v>9979</v>
      </c>
      <c r="AD192" s="32">
        <v>43280</v>
      </c>
      <c r="AJ192" t="s">
        <v>9958</v>
      </c>
      <c r="AL192" t="s">
        <v>13838</v>
      </c>
    </row>
    <row r="193" spans="1:38">
      <c r="A193" t="s">
        <v>6861</v>
      </c>
      <c r="B193" t="s">
        <v>11675</v>
      </c>
      <c r="C193" t="s">
        <v>6865</v>
      </c>
      <c r="D193" t="s">
        <v>6866</v>
      </c>
      <c r="E193" s="2">
        <v>20600</v>
      </c>
      <c r="F193" s="2">
        <v>20600</v>
      </c>
      <c r="G193" s="3">
        <v>43298</v>
      </c>
      <c r="H193" s="4">
        <v>0.33986111111111</v>
      </c>
      <c r="I193" s="3">
        <v>43299</v>
      </c>
      <c r="J193" s="4">
        <v>1.3067129629629999E-2</v>
      </c>
      <c r="K193" s="2">
        <v>0</v>
      </c>
      <c r="L193" t="s">
        <v>5856</v>
      </c>
      <c r="M193" t="s">
        <v>6457</v>
      </c>
      <c r="N193" s="3">
        <v>43300</v>
      </c>
      <c r="O193" s="3">
        <v>43301</v>
      </c>
      <c r="P193" t="s">
        <v>6026</v>
      </c>
      <c r="Q193" t="s">
        <v>6038</v>
      </c>
      <c r="R193" t="s">
        <v>6040</v>
      </c>
      <c r="S193" s="3">
        <v>43313</v>
      </c>
      <c r="T193" t="s">
        <v>9938</v>
      </c>
      <c r="U193" t="s">
        <v>6507</v>
      </c>
      <c r="V193" t="s">
        <v>6867</v>
      </c>
      <c r="W193" t="s">
        <v>5857</v>
      </c>
      <c r="X193" s="2">
        <v>0</v>
      </c>
      <c r="Y193" t="s">
        <v>5858</v>
      </c>
      <c r="Z193" t="s">
        <v>6037</v>
      </c>
      <c r="AA193" s="2">
        <v>20000</v>
      </c>
      <c r="AB193" t="s">
        <v>5915</v>
      </c>
      <c r="AC193" t="s">
        <v>9980</v>
      </c>
      <c r="AD193" s="32"/>
      <c r="AJ193" t="s">
        <v>9960</v>
      </c>
      <c r="AL193" t="s">
        <v>13839</v>
      </c>
    </row>
    <row r="194" spans="1:38">
      <c r="A194" t="s">
        <v>6861</v>
      </c>
      <c r="B194" t="s">
        <v>11676</v>
      </c>
      <c r="C194" t="s">
        <v>6890</v>
      </c>
      <c r="D194" t="s">
        <v>6891</v>
      </c>
      <c r="E194" s="2">
        <v>20600</v>
      </c>
      <c r="F194" s="2">
        <v>20600</v>
      </c>
      <c r="G194" s="3">
        <v>43299</v>
      </c>
      <c r="H194" s="4">
        <v>3.3900462962960003E-2</v>
      </c>
      <c r="I194" s="3">
        <v>43299</v>
      </c>
      <c r="J194" s="4">
        <v>0.70710648148148003</v>
      </c>
      <c r="K194" s="2">
        <v>0</v>
      </c>
      <c r="L194" t="s">
        <v>5856</v>
      </c>
      <c r="M194" t="s">
        <v>6457</v>
      </c>
      <c r="N194" s="3">
        <v>43300</v>
      </c>
      <c r="O194" s="3">
        <v>43301</v>
      </c>
      <c r="P194" t="s">
        <v>5862</v>
      </c>
      <c r="Q194" t="s">
        <v>6038</v>
      </c>
      <c r="R194" t="s">
        <v>6040</v>
      </c>
      <c r="S194" s="3">
        <v>43313</v>
      </c>
      <c r="T194" t="s">
        <v>9938</v>
      </c>
      <c r="U194" t="s">
        <v>6550</v>
      </c>
      <c r="V194" t="s">
        <v>6867</v>
      </c>
      <c r="W194" t="s">
        <v>5857</v>
      </c>
      <c r="X194" s="2">
        <v>0</v>
      </c>
      <c r="Y194" t="s">
        <v>5858</v>
      </c>
      <c r="Z194" t="s">
        <v>6037</v>
      </c>
      <c r="AA194" s="2">
        <v>20000</v>
      </c>
      <c r="AB194" t="s">
        <v>5915</v>
      </c>
      <c r="AC194" t="s">
        <v>9980</v>
      </c>
      <c r="AD194" s="32"/>
      <c r="AJ194" t="s">
        <v>9960</v>
      </c>
      <c r="AL194" t="s">
        <v>10575</v>
      </c>
    </row>
    <row r="195" spans="1:38">
      <c r="A195" t="s">
        <v>6861</v>
      </c>
      <c r="B195" t="s">
        <v>11677</v>
      </c>
      <c r="C195" t="s">
        <v>6906</v>
      </c>
      <c r="D195" t="s">
        <v>6907</v>
      </c>
      <c r="E195" s="2">
        <v>20600</v>
      </c>
      <c r="F195" s="2">
        <v>20600</v>
      </c>
      <c r="G195" s="3">
        <v>43299</v>
      </c>
      <c r="H195" s="4">
        <v>0.72793981481480996</v>
      </c>
      <c r="I195" s="3">
        <v>43300</v>
      </c>
      <c r="J195" s="4">
        <v>0.40114583333332998</v>
      </c>
      <c r="K195" s="2">
        <v>0</v>
      </c>
      <c r="L195" t="s">
        <v>5856</v>
      </c>
      <c r="M195" t="s">
        <v>6457</v>
      </c>
      <c r="N195" s="3">
        <v>43300</v>
      </c>
      <c r="O195" s="3">
        <v>43302</v>
      </c>
      <c r="P195" t="s">
        <v>5862</v>
      </c>
      <c r="Q195" t="s">
        <v>6038</v>
      </c>
      <c r="R195" t="s">
        <v>6040</v>
      </c>
      <c r="S195" s="3">
        <v>43288</v>
      </c>
      <c r="T195" t="s">
        <v>9938</v>
      </c>
      <c r="U195" t="s">
        <v>6537</v>
      </c>
      <c r="V195" t="s">
        <v>6867</v>
      </c>
      <c r="W195" t="s">
        <v>5857</v>
      </c>
      <c r="X195" s="2">
        <v>0</v>
      </c>
      <c r="Y195" t="s">
        <v>5858</v>
      </c>
      <c r="Z195" t="s">
        <v>6037</v>
      </c>
      <c r="AA195" s="2">
        <v>20000</v>
      </c>
      <c r="AB195" t="s">
        <v>5915</v>
      </c>
      <c r="AC195" t="s">
        <v>9980</v>
      </c>
      <c r="AD195" s="32"/>
      <c r="AJ195" t="s">
        <v>9960</v>
      </c>
      <c r="AL195" t="s">
        <v>10576</v>
      </c>
    </row>
    <row r="196" spans="1:38">
      <c r="A196" t="s">
        <v>6861</v>
      </c>
      <c r="B196" t="s">
        <v>11678</v>
      </c>
      <c r="C196" t="s">
        <v>6730</v>
      </c>
      <c r="D196" t="s">
        <v>6731</v>
      </c>
      <c r="E196" s="5">
        <v>10583.25</v>
      </c>
      <c r="F196" s="5">
        <v>10583.25</v>
      </c>
      <c r="G196" s="3">
        <v>43300</v>
      </c>
      <c r="H196" s="4">
        <v>0.84253472222222003</v>
      </c>
      <c r="I196" s="3">
        <v>43301</v>
      </c>
      <c r="J196" s="4">
        <v>0.18839120370369999</v>
      </c>
      <c r="K196" s="2">
        <v>20</v>
      </c>
      <c r="L196" t="s">
        <v>5856</v>
      </c>
      <c r="M196" t="s">
        <v>12892</v>
      </c>
      <c r="N196" s="3">
        <v>43304</v>
      </c>
      <c r="O196" s="3">
        <v>43303</v>
      </c>
      <c r="P196" t="s">
        <v>5881</v>
      </c>
      <c r="Q196" t="s">
        <v>6908</v>
      </c>
      <c r="R196" t="s">
        <v>6036</v>
      </c>
      <c r="S196" s="3">
        <v>43304</v>
      </c>
      <c r="T196" t="s">
        <v>9938</v>
      </c>
      <c r="U196" t="s">
        <v>6555</v>
      </c>
      <c r="V196" t="s">
        <v>6733</v>
      </c>
      <c r="W196" t="s">
        <v>5857</v>
      </c>
      <c r="X196" s="2">
        <v>1275</v>
      </c>
      <c r="Y196" t="s">
        <v>5858</v>
      </c>
      <c r="Z196" t="s">
        <v>6037</v>
      </c>
      <c r="AA196" s="2">
        <v>10275</v>
      </c>
      <c r="AB196" t="s">
        <v>5863</v>
      </c>
      <c r="AC196" t="s">
        <v>9978</v>
      </c>
      <c r="AD196" s="32">
        <v>43229</v>
      </c>
      <c r="AJ196" t="s">
        <v>9958</v>
      </c>
      <c r="AL196" t="s">
        <v>13840</v>
      </c>
    </row>
    <row r="197" spans="1:38">
      <c r="A197" t="s">
        <v>6861</v>
      </c>
      <c r="B197" t="s">
        <v>12893</v>
      </c>
      <c r="C197" t="s">
        <v>6770</v>
      </c>
      <c r="D197" t="s">
        <v>6771</v>
      </c>
      <c r="E197" s="2">
        <v>20600</v>
      </c>
      <c r="F197" s="2">
        <v>20600</v>
      </c>
      <c r="G197" s="3">
        <v>43301</v>
      </c>
      <c r="H197" s="4">
        <v>0.65234953703704002</v>
      </c>
      <c r="I197" s="3">
        <v>43302</v>
      </c>
      <c r="J197" s="4">
        <v>0.32555555555555998</v>
      </c>
      <c r="K197" s="2">
        <v>0</v>
      </c>
      <c r="L197" t="s">
        <v>5856</v>
      </c>
      <c r="M197" t="s">
        <v>6457</v>
      </c>
      <c r="N197" s="3">
        <v>43299</v>
      </c>
      <c r="O197" s="3">
        <v>43304</v>
      </c>
      <c r="P197" t="s">
        <v>6018</v>
      </c>
      <c r="Q197" t="s">
        <v>8634</v>
      </c>
      <c r="R197" t="s">
        <v>6036</v>
      </c>
      <c r="S197" s="3">
        <v>43304</v>
      </c>
      <c r="T197" t="s">
        <v>9938</v>
      </c>
      <c r="U197" t="s">
        <v>6675</v>
      </c>
      <c r="V197" t="s">
        <v>6760</v>
      </c>
      <c r="W197" t="s">
        <v>5857</v>
      </c>
      <c r="X197" s="2">
        <v>0</v>
      </c>
      <c r="Y197" t="s">
        <v>5858</v>
      </c>
      <c r="Z197" t="s">
        <v>6037</v>
      </c>
      <c r="AA197" s="2">
        <v>20000</v>
      </c>
      <c r="AB197" t="s">
        <v>5861</v>
      </c>
      <c r="AC197" t="s">
        <v>9979</v>
      </c>
      <c r="AD197" s="32"/>
      <c r="AJ197" t="s">
        <v>9958</v>
      </c>
      <c r="AL197" t="s">
        <v>13841</v>
      </c>
    </row>
    <row r="198" spans="1:38">
      <c r="A198" t="s">
        <v>6861</v>
      </c>
      <c r="B198" t="s">
        <v>11679</v>
      </c>
      <c r="C198" t="s">
        <v>6909</v>
      </c>
      <c r="D198" t="s">
        <v>6910</v>
      </c>
      <c r="E198" s="2">
        <v>20000</v>
      </c>
      <c r="F198" s="2">
        <v>20000</v>
      </c>
      <c r="G198" s="3">
        <v>43302</v>
      </c>
      <c r="H198" s="4">
        <v>0.34638888888889002</v>
      </c>
      <c r="I198" s="3">
        <v>43302</v>
      </c>
      <c r="J198" s="4">
        <v>0.99998842592592996</v>
      </c>
      <c r="K198" s="2">
        <v>0</v>
      </c>
      <c r="L198" t="s">
        <v>5856</v>
      </c>
      <c r="M198" t="s">
        <v>6494</v>
      </c>
      <c r="N198" s="3">
        <v>43304</v>
      </c>
      <c r="O198" s="3">
        <v>43304</v>
      </c>
      <c r="P198" t="s">
        <v>6026</v>
      </c>
      <c r="Q198" t="s">
        <v>6911</v>
      </c>
      <c r="R198" t="s">
        <v>6036</v>
      </c>
      <c r="S198" s="3">
        <v>43326</v>
      </c>
      <c r="T198" t="s">
        <v>9938</v>
      </c>
      <c r="U198" t="s">
        <v>6912</v>
      </c>
      <c r="V198" t="s">
        <v>6913</v>
      </c>
      <c r="W198" t="s">
        <v>5857</v>
      </c>
      <c r="X198" s="2">
        <v>0</v>
      </c>
      <c r="Y198" t="s">
        <v>5858</v>
      </c>
      <c r="Z198" t="s">
        <v>6037</v>
      </c>
      <c r="AA198" s="2">
        <v>20000</v>
      </c>
      <c r="AB198" t="s">
        <v>5861</v>
      </c>
      <c r="AC198" t="s">
        <v>9986</v>
      </c>
      <c r="AD198" s="32"/>
      <c r="AJ198" t="s">
        <v>9959</v>
      </c>
      <c r="AL198" t="s">
        <v>13842</v>
      </c>
    </row>
    <row r="199" spans="1:38">
      <c r="A199" t="s">
        <v>6861</v>
      </c>
      <c r="B199" t="s">
        <v>11680</v>
      </c>
      <c r="C199" t="s">
        <v>6887</v>
      </c>
      <c r="D199" t="s">
        <v>6888</v>
      </c>
      <c r="E199" s="2">
        <v>20000</v>
      </c>
      <c r="F199" s="2">
        <v>20000</v>
      </c>
      <c r="G199" s="3">
        <v>43304</v>
      </c>
      <c r="H199" s="4">
        <v>0.34638888888889002</v>
      </c>
      <c r="I199" s="3">
        <v>43304</v>
      </c>
      <c r="J199" s="4">
        <v>0.99998842592592996</v>
      </c>
      <c r="K199" s="2">
        <v>0</v>
      </c>
      <c r="L199" t="s">
        <v>5856</v>
      </c>
      <c r="M199" t="s">
        <v>6494</v>
      </c>
      <c r="N199" s="3">
        <v>43306</v>
      </c>
      <c r="O199" s="3">
        <v>43306</v>
      </c>
      <c r="P199" t="s">
        <v>5889</v>
      </c>
      <c r="Q199" t="s">
        <v>12894</v>
      </c>
      <c r="R199" t="s">
        <v>6036</v>
      </c>
      <c r="S199" s="3">
        <v>43326</v>
      </c>
      <c r="T199" t="s">
        <v>9938</v>
      </c>
      <c r="U199" t="s">
        <v>6889</v>
      </c>
      <c r="V199" t="s">
        <v>6041</v>
      </c>
      <c r="W199" t="s">
        <v>5857</v>
      </c>
      <c r="X199" s="2">
        <v>0</v>
      </c>
      <c r="Y199" t="s">
        <v>5858</v>
      </c>
      <c r="Z199" t="s">
        <v>6037</v>
      </c>
      <c r="AA199" s="2">
        <v>20000</v>
      </c>
      <c r="AB199" t="s">
        <v>5915</v>
      </c>
      <c r="AC199" t="s">
        <v>9979</v>
      </c>
      <c r="AD199" s="32"/>
      <c r="AJ199" t="s">
        <v>9958</v>
      </c>
      <c r="AL199" t="s">
        <v>10577</v>
      </c>
    </row>
    <row r="200" spans="1:38">
      <c r="A200" t="s">
        <v>6861</v>
      </c>
      <c r="B200" t="s">
        <v>12895</v>
      </c>
      <c r="C200" t="s">
        <v>6711</v>
      </c>
      <c r="D200" t="s">
        <v>6712</v>
      </c>
      <c r="E200" s="2">
        <v>10300</v>
      </c>
      <c r="F200" s="2">
        <v>10300</v>
      </c>
      <c r="G200" s="3">
        <v>43310</v>
      </c>
      <c r="H200" s="4">
        <v>0.57618055555556003</v>
      </c>
      <c r="I200" s="3">
        <v>43310</v>
      </c>
      <c r="J200" s="4">
        <v>0.91277777777778002</v>
      </c>
      <c r="K200" s="2">
        <v>0</v>
      </c>
      <c r="L200" t="s">
        <v>5856</v>
      </c>
      <c r="M200" t="s">
        <v>6483</v>
      </c>
      <c r="N200" s="3">
        <v>43293</v>
      </c>
      <c r="O200" s="3">
        <v>43312</v>
      </c>
      <c r="P200" t="s">
        <v>6018</v>
      </c>
      <c r="Q200" t="s">
        <v>6038</v>
      </c>
      <c r="R200" t="s">
        <v>6040</v>
      </c>
      <c r="S200" s="3">
        <v>43313</v>
      </c>
      <c r="T200" t="s">
        <v>9938</v>
      </c>
      <c r="U200" t="s">
        <v>6714</v>
      </c>
      <c r="V200" t="s">
        <v>5973</v>
      </c>
      <c r="W200" t="s">
        <v>5857</v>
      </c>
      <c r="X200" s="2">
        <v>0</v>
      </c>
      <c r="Y200" t="s">
        <v>5858</v>
      </c>
      <c r="Z200" t="s">
        <v>6037</v>
      </c>
      <c r="AA200" s="2">
        <v>10000</v>
      </c>
      <c r="AB200" t="s">
        <v>5861</v>
      </c>
      <c r="AC200" t="s">
        <v>9979</v>
      </c>
      <c r="AD200" s="32"/>
      <c r="AJ200" t="s">
        <v>9958</v>
      </c>
      <c r="AL200" t="s">
        <v>13843</v>
      </c>
    </row>
    <row r="201" spans="1:38">
      <c r="A201" t="s">
        <v>6861</v>
      </c>
      <c r="B201" t="s">
        <v>11681</v>
      </c>
      <c r="C201" t="s">
        <v>6914</v>
      </c>
      <c r="D201" t="s">
        <v>6915</v>
      </c>
      <c r="E201" s="2">
        <v>2000</v>
      </c>
      <c r="F201" s="2">
        <v>2000</v>
      </c>
      <c r="G201" s="3">
        <v>43310</v>
      </c>
      <c r="H201" s="4">
        <v>0.93464120370369996</v>
      </c>
      <c r="I201" s="3">
        <v>43311</v>
      </c>
      <c r="J201" s="4">
        <v>0</v>
      </c>
      <c r="K201" s="2">
        <v>20</v>
      </c>
      <c r="L201" t="s">
        <v>5856</v>
      </c>
      <c r="M201" t="s">
        <v>6491</v>
      </c>
      <c r="N201" s="3">
        <v>43313</v>
      </c>
      <c r="O201" s="3">
        <v>43312</v>
      </c>
      <c r="P201" t="s">
        <v>5889</v>
      </c>
      <c r="Q201" t="s">
        <v>6916</v>
      </c>
      <c r="R201" t="s">
        <v>6036</v>
      </c>
      <c r="S201" s="3">
        <v>43313</v>
      </c>
      <c r="T201" t="s">
        <v>9938</v>
      </c>
      <c r="U201" t="s">
        <v>6022</v>
      </c>
      <c r="V201" t="s">
        <v>6917</v>
      </c>
      <c r="W201" t="s">
        <v>5857</v>
      </c>
      <c r="X201" s="2">
        <v>1275</v>
      </c>
      <c r="Y201" t="s">
        <v>5858</v>
      </c>
      <c r="Z201" t="s">
        <v>6037</v>
      </c>
      <c r="AA201" s="2">
        <v>2000</v>
      </c>
      <c r="AB201" t="s">
        <v>5863</v>
      </c>
      <c r="AC201" t="s">
        <v>9978</v>
      </c>
      <c r="AD201" s="32">
        <v>43262</v>
      </c>
      <c r="AJ201" t="s">
        <v>9958</v>
      </c>
      <c r="AL201" t="s">
        <v>10578</v>
      </c>
    </row>
    <row r="202" spans="1:38">
      <c r="A202" t="s">
        <v>6861</v>
      </c>
      <c r="B202" t="s">
        <v>11682</v>
      </c>
      <c r="C202" t="s">
        <v>6909</v>
      </c>
      <c r="D202" t="s">
        <v>6910</v>
      </c>
      <c r="E202" s="2">
        <v>20000</v>
      </c>
      <c r="F202" s="2">
        <v>20000</v>
      </c>
      <c r="G202" s="3">
        <v>43316</v>
      </c>
      <c r="H202" s="4">
        <v>0.34638888888889002</v>
      </c>
      <c r="I202" s="3">
        <v>43316</v>
      </c>
      <c r="J202" s="4">
        <v>0.99998842592592996</v>
      </c>
      <c r="K202" s="2">
        <v>0</v>
      </c>
      <c r="L202" t="s">
        <v>5856</v>
      </c>
      <c r="M202" t="s">
        <v>6494</v>
      </c>
      <c r="N202" s="3">
        <v>43318</v>
      </c>
      <c r="O202" s="3">
        <v>43318</v>
      </c>
      <c r="P202" t="s">
        <v>6026</v>
      </c>
      <c r="Q202" t="s">
        <v>6918</v>
      </c>
      <c r="R202" t="s">
        <v>6036</v>
      </c>
      <c r="S202" s="3">
        <v>43340</v>
      </c>
      <c r="T202" t="s">
        <v>9938</v>
      </c>
      <c r="U202" t="s">
        <v>6912</v>
      </c>
      <c r="V202" t="s">
        <v>6913</v>
      </c>
      <c r="W202" t="s">
        <v>5857</v>
      </c>
      <c r="X202" s="2">
        <v>0</v>
      </c>
      <c r="Y202" t="s">
        <v>5858</v>
      </c>
      <c r="Z202" t="s">
        <v>6037</v>
      </c>
      <c r="AA202" s="2">
        <v>20000</v>
      </c>
      <c r="AB202" t="s">
        <v>5915</v>
      </c>
      <c r="AC202" t="s">
        <v>9986</v>
      </c>
      <c r="AD202" s="32"/>
      <c r="AJ202" t="s">
        <v>9959</v>
      </c>
      <c r="AL202" t="s">
        <v>13844</v>
      </c>
    </row>
    <row r="203" spans="1:38">
      <c r="A203" t="s">
        <v>6861</v>
      </c>
      <c r="B203" t="s">
        <v>12896</v>
      </c>
      <c r="C203" t="s">
        <v>6711</v>
      </c>
      <c r="D203" t="s">
        <v>6712</v>
      </c>
      <c r="E203" s="2">
        <v>20600</v>
      </c>
      <c r="F203" s="2">
        <v>20600</v>
      </c>
      <c r="G203" s="3">
        <v>43318</v>
      </c>
      <c r="H203" s="4">
        <v>0.65234953703704002</v>
      </c>
      <c r="I203" s="3">
        <v>43319</v>
      </c>
      <c r="J203" s="4">
        <v>0.32555555555555998</v>
      </c>
      <c r="K203" s="2">
        <v>0</v>
      </c>
      <c r="L203" t="s">
        <v>5856</v>
      </c>
      <c r="M203" t="s">
        <v>6457</v>
      </c>
      <c r="N203" s="3">
        <v>43321</v>
      </c>
      <c r="O203" s="3">
        <v>43321</v>
      </c>
      <c r="P203" t="s">
        <v>6018</v>
      </c>
      <c r="Q203" t="s">
        <v>12897</v>
      </c>
      <c r="R203" t="s">
        <v>6036</v>
      </c>
      <c r="S203" s="3">
        <v>43325</v>
      </c>
      <c r="T203" t="s">
        <v>9938</v>
      </c>
      <c r="U203" t="s">
        <v>6714</v>
      </c>
      <c r="V203" t="s">
        <v>5973</v>
      </c>
      <c r="W203" t="s">
        <v>5857</v>
      </c>
      <c r="X203" s="2">
        <v>0</v>
      </c>
      <c r="Y203" t="s">
        <v>5858</v>
      </c>
      <c r="Z203" t="s">
        <v>6037</v>
      </c>
      <c r="AA203" s="2">
        <v>20000</v>
      </c>
      <c r="AB203" t="s">
        <v>5861</v>
      </c>
      <c r="AC203" t="s">
        <v>9979</v>
      </c>
      <c r="AD203" s="32"/>
      <c r="AJ203" t="s">
        <v>9958</v>
      </c>
      <c r="AL203" t="s">
        <v>13845</v>
      </c>
    </row>
    <row r="204" spans="1:38">
      <c r="A204" t="s">
        <v>6861</v>
      </c>
      <c r="B204" t="s">
        <v>11683</v>
      </c>
      <c r="C204" t="s">
        <v>6909</v>
      </c>
      <c r="D204" t="s">
        <v>6910</v>
      </c>
      <c r="E204" s="2">
        <v>20000</v>
      </c>
      <c r="F204" s="2">
        <v>20000</v>
      </c>
      <c r="G204" s="3">
        <v>43319</v>
      </c>
      <c r="H204" s="4">
        <v>0.34638888888889002</v>
      </c>
      <c r="I204" s="3">
        <v>43319</v>
      </c>
      <c r="J204" s="4">
        <v>0.99998842592592996</v>
      </c>
      <c r="K204" s="2">
        <v>0</v>
      </c>
      <c r="L204" t="s">
        <v>5856</v>
      </c>
      <c r="M204" t="s">
        <v>6494</v>
      </c>
      <c r="N204" s="3">
        <v>43321</v>
      </c>
      <c r="O204" s="3">
        <v>43321</v>
      </c>
      <c r="P204" t="s">
        <v>6026</v>
      </c>
      <c r="Q204" t="s">
        <v>6038</v>
      </c>
      <c r="R204" t="s">
        <v>6040</v>
      </c>
      <c r="S204" s="3">
        <v>43344</v>
      </c>
      <c r="T204" t="s">
        <v>9938</v>
      </c>
      <c r="U204" t="s">
        <v>6912</v>
      </c>
      <c r="V204" t="s">
        <v>6913</v>
      </c>
      <c r="W204" t="s">
        <v>5857</v>
      </c>
      <c r="X204" s="2">
        <v>0</v>
      </c>
      <c r="Y204" t="s">
        <v>5858</v>
      </c>
      <c r="Z204" t="s">
        <v>6037</v>
      </c>
      <c r="AA204" s="2">
        <v>20000</v>
      </c>
      <c r="AB204" t="s">
        <v>5915</v>
      </c>
      <c r="AC204" t="s">
        <v>9986</v>
      </c>
      <c r="AD204" s="32"/>
      <c r="AJ204" t="s">
        <v>9959</v>
      </c>
      <c r="AL204" t="s">
        <v>13846</v>
      </c>
    </row>
    <row r="205" spans="1:38">
      <c r="A205" t="s">
        <v>6861</v>
      </c>
      <c r="B205" t="s">
        <v>12898</v>
      </c>
      <c r="C205" t="s">
        <v>6711</v>
      </c>
      <c r="D205" t="s">
        <v>6712</v>
      </c>
      <c r="E205" s="2">
        <v>13390</v>
      </c>
      <c r="F205" s="2">
        <v>13390</v>
      </c>
      <c r="G205" s="3">
        <v>43325</v>
      </c>
      <c r="H205" s="4">
        <v>0.56240740740741002</v>
      </c>
      <c r="I205" s="3">
        <v>43325</v>
      </c>
      <c r="J205" s="4">
        <v>0.99998842592592996</v>
      </c>
      <c r="K205" s="2">
        <v>0</v>
      </c>
      <c r="L205" t="s">
        <v>5856</v>
      </c>
      <c r="M205" t="s">
        <v>12899</v>
      </c>
      <c r="N205" s="3">
        <v>43327</v>
      </c>
      <c r="O205" s="3">
        <v>43327</v>
      </c>
      <c r="P205" t="s">
        <v>6018</v>
      </c>
      <c r="Q205" t="s">
        <v>12900</v>
      </c>
      <c r="R205" t="s">
        <v>6036</v>
      </c>
      <c r="S205" s="3">
        <v>43334</v>
      </c>
      <c r="T205" t="s">
        <v>9938</v>
      </c>
      <c r="U205" t="s">
        <v>6714</v>
      </c>
      <c r="V205" t="s">
        <v>5973</v>
      </c>
      <c r="W205" t="s">
        <v>5857</v>
      </c>
      <c r="X205" s="2">
        <v>0</v>
      </c>
      <c r="Y205" t="s">
        <v>5858</v>
      </c>
      <c r="Z205" t="s">
        <v>6037</v>
      </c>
      <c r="AA205" s="2">
        <v>13000</v>
      </c>
      <c r="AB205" t="s">
        <v>5861</v>
      </c>
      <c r="AC205" t="s">
        <v>9979</v>
      </c>
      <c r="AD205" s="32"/>
      <c r="AJ205" t="s">
        <v>9958</v>
      </c>
      <c r="AL205" t="s">
        <v>13847</v>
      </c>
    </row>
    <row r="206" spans="1:38">
      <c r="A206" t="s">
        <v>6861</v>
      </c>
      <c r="B206" t="s">
        <v>11684</v>
      </c>
      <c r="C206" t="s">
        <v>6909</v>
      </c>
      <c r="D206" t="s">
        <v>6910</v>
      </c>
      <c r="E206" s="2">
        <v>20000</v>
      </c>
      <c r="F206" s="2">
        <v>20000</v>
      </c>
      <c r="G206" s="3">
        <v>43332</v>
      </c>
      <c r="H206" s="4">
        <v>0.34638888888889002</v>
      </c>
      <c r="I206" s="3">
        <v>43332</v>
      </c>
      <c r="J206" s="4">
        <v>0.99998842592592996</v>
      </c>
      <c r="K206" s="2">
        <v>0</v>
      </c>
      <c r="L206" t="s">
        <v>5856</v>
      </c>
      <c r="M206" t="s">
        <v>6494</v>
      </c>
      <c r="N206" s="3">
        <v>43334</v>
      </c>
      <c r="O206" s="3">
        <v>43334</v>
      </c>
      <c r="P206" t="s">
        <v>6026</v>
      </c>
      <c r="Q206" t="s">
        <v>6919</v>
      </c>
      <c r="R206" t="s">
        <v>6036</v>
      </c>
      <c r="S206" s="3">
        <v>43350</v>
      </c>
      <c r="T206" t="s">
        <v>9938</v>
      </c>
      <c r="U206" t="s">
        <v>6912</v>
      </c>
      <c r="V206" t="s">
        <v>6913</v>
      </c>
      <c r="W206" t="s">
        <v>5857</v>
      </c>
      <c r="X206" s="2">
        <v>0</v>
      </c>
      <c r="Y206" t="s">
        <v>5858</v>
      </c>
      <c r="Z206" t="s">
        <v>6037</v>
      </c>
      <c r="AA206" s="2">
        <v>20000</v>
      </c>
      <c r="AB206" t="s">
        <v>5861</v>
      </c>
      <c r="AC206" t="s">
        <v>9986</v>
      </c>
      <c r="AD206" s="32"/>
      <c r="AJ206" t="s">
        <v>9959</v>
      </c>
      <c r="AL206" t="s">
        <v>13848</v>
      </c>
    </row>
    <row r="207" spans="1:38">
      <c r="A207" t="s">
        <v>6861</v>
      </c>
      <c r="B207" t="s">
        <v>11685</v>
      </c>
      <c r="C207" t="s">
        <v>6909</v>
      </c>
      <c r="D207" t="s">
        <v>6910</v>
      </c>
      <c r="E207" s="2">
        <v>20000</v>
      </c>
      <c r="F207" s="2">
        <v>20000</v>
      </c>
      <c r="G207" s="3">
        <v>43339</v>
      </c>
      <c r="H207" s="4">
        <v>0.34638888888889002</v>
      </c>
      <c r="I207" s="3">
        <v>43339</v>
      </c>
      <c r="J207" s="4">
        <v>0.99998842592592996</v>
      </c>
      <c r="K207" s="2">
        <v>0</v>
      </c>
      <c r="L207" t="s">
        <v>5856</v>
      </c>
      <c r="M207" t="s">
        <v>6494</v>
      </c>
      <c r="N207" s="3">
        <v>43341</v>
      </c>
      <c r="O207" s="3">
        <v>43341</v>
      </c>
      <c r="P207" t="s">
        <v>6026</v>
      </c>
      <c r="Q207" t="s">
        <v>6919</v>
      </c>
      <c r="R207" t="s">
        <v>6036</v>
      </c>
      <c r="S207" s="3">
        <v>43350</v>
      </c>
      <c r="T207" t="s">
        <v>9938</v>
      </c>
      <c r="U207" t="s">
        <v>6912</v>
      </c>
      <c r="V207" t="s">
        <v>6913</v>
      </c>
      <c r="W207" t="s">
        <v>5857</v>
      </c>
      <c r="X207" s="2">
        <v>0</v>
      </c>
      <c r="Y207" t="s">
        <v>5858</v>
      </c>
      <c r="Z207" t="s">
        <v>6037</v>
      </c>
      <c r="AA207" s="2">
        <v>20000</v>
      </c>
      <c r="AB207" t="s">
        <v>5861</v>
      </c>
      <c r="AC207" t="s">
        <v>9986</v>
      </c>
      <c r="AD207" s="32"/>
      <c r="AJ207" t="s">
        <v>9959</v>
      </c>
      <c r="AL207" t="s">
        <v>13849</v>
      </c>
    </row>
    <row r="208" spans="1:38">
      <c r="A208" t="s">
        <v>6920</v>
      </c>
      <c r="B208" t="s">
        <v>11686</v>
      </c>
      <c r="C208" t="s">
        <v>6921</v>
      </c>
      <c r="D208" t="s">
        <v>6922</v>
      </c>
      <c r="E208" s="2">
        <v>350</v>
      </c>
      <c r="F208" s="2">
        <v>350</v>
      </c>
      <c r="G208" s="3">
        <v>43279</v>
      </c>
      <c r="H208" s="4">
        <v>0.74283564814814995</v>
      </c>
      <c r="I208" s="3">
        <v>43279</v>
      </c>
      <c r="J208" s="4">
        <v>0.81575231481481003</v>
      </c>
      <c r="K208" s="2">
        <v>4</v>
      </c>
      <c r="L208" t="s">
        <v>5856</v>
      </c>
      <c r="M208" t="s">
        <v>6923</v>
      </c>
      <c r="N208" s="3">
        <v>43278</v>
      </c>
      <c r="O208" s="3">
        <v>43286</v>
      </c>
      <c r="P208" t="s">
        <v>6924</v>
      </c>
      <c r="Q208" t="s">
        <v>6038</v>
      </c>
      <c r="R208" t="s">
        <v>6039</v>
      </c>
      <c r="S208" s="3"/>
      <c r="T208" t="s">
        <v>9938</v>
      </c>
      <c r="U208" t="s">
        <v>5961</v>
      </c>
      <c r="V208" t="s">
        <v>6925</v>
      </c>
      <c r="W208" t="s">
        <v>6038</v>
      </c>
      <c r="X208" s="2">
        <v>200</v>
      </c>
      <c r="Y208" t="s">
        <v>5858</v>
      </c>
      <c r="Z208" t="s">
        <v>6037</v>
      </c>
      <c r="AA208" s="2">
        <v>350</v>
      </c>
      <c r="AB208" t="s">
        <v>5863</v>
      </c>
      <c r="AC208" t="s">
        <v>9976</v>
      </c>
      <c r="AD208" s="32">
        <v>43273</v>
      </c>
      <c r="AJ208" t="s">
        <v>9958</v>
      </c>
      <c r="AL208" t="s">
        <v>10583</v>
      </c>
    </row>
    <row r="209" spans="1:38">
      <c r="A209" t="s">
        <v>6920</v>
      </c>
      <c r="B209" t="s">
        <v>12901</v>
      </c>
      <c r="C209" t="s">
        <v>12902</v>
      </c>
      <c r="D209" t="s">
        <v>12903</v>
      </c>
      <c r="E209" s="2">
        <v>0</v>
      </c>
      <c r="F209" s="5">
        <v>344.5</v>
      </c>
      <c r="G209" s="3">
        <v>43280</v>
      </c>
      <c r="H209" s="4">
        <v>2.0833333333330002E-2</v>
      </c>
      <c r="I209" s="3">
        <v>43280</v>
      </c>
      <c r="J209" s="4">
        <v>9.2604166666669999E-2</v>
      </c>
      <c r="K209" s="2">
        <v>10</v>
      </c>
      <c r="L209" t="s">
        <v>5856</v>
      </c>
      <c r="M209" t="s">
        <v>7089</v>
      </c>
      <c r="N209" s="3">
        <v>43283</v>
      </c>
      <c r="O209" s="3">
        <v>43282</v>
      </c>
      <c r="P209" t="s">
        <v>5978</v>
      </c>
      <c r="Q209" t="s">
        <v>6038</v>
      </c>
      <c r="R209" t="s">
        <v>6039</v>
      </c>
      <c r="S209" s="3"/>
      <c r="T209" t="s">
        <v>9938</v>
      </c>
      <c r="U209" t="s">
        <v>5886</v>
      </c>
      <c r="V209" t="s">
        <v>12904</v>
      </c>
      <c r="W209" t="s">
        <v>5857</v>
      </c>
      <c r="X209" s="2">
        <v>200</v>
      </c>
      <c r="Y209" t="s">
        <v>5858</v>
      </c>
      <c r="Z209" t="s">
        <v>6037</v>
      </c>
      <c r="AA209" s="2">
        <v>0</v>
      </c>
      <c r="AB209" t="s">
        <v>5859</v>
      </c>
      <c r="AC209" t="s">
        <v>9978</v>
      </c>
      <c r="AD209" s="32">
        <v>43280</v>
      </c>
      <c r="AJ209" t="s">
        <v>9958</v>
      </c>
      <c r="AL209" t="s">
        <v>13850</v>
      </c>
    </row>
    <row r="210" spans="1:38">
      <c r="A210" t="s">
        <v>6920</v>
      </c>
      <c r="B210" t="s">
        <v>11687</v>
      </c>
      <c r="C210" t="s">
        <v>6943</v>
      </c>
      <c r="D210" t="s">
        <v>6944</v>
      </c>
      <c r="E210" s="5">
        <v>344.5</v>
      </c>
      <c r="F210" s="5">
        <v>344.5</v>
      </c>
      <c r="G210" s="3">
        <v>43285</v>
      </c>
      <c r="H210" s="4">
        <v>0.16556712962962999</v>
      </c>
      <c r="I210" s="3">
        <v>43285</v>
      </c>
      <c r="J210" s="4">
        <v>0.23733796296296</v>
      </c>
      <c r="K210" s="2">
        <v>4</v>
      </c>
      <c r="L210" t="s">
        <v>5856</v>
      </c>
      <c r="M210" t="s">
        <v>7089</v>
      </c>
      <c r="N210" s="3">
        <v>43279</v>
      </c>
      <c r="O210" s="3">
        <v>43287</v>
      </c>
      <c r="P210" t="s">
        <v>6946</v>
      </c>
      <c r="Q210" t="s">
        <v>6038</v>
      </c>
      <c r="R210" t="s">
        <v>6039</v>
      </c>
      <c r="S210" s="3"/>
      <c r="T210" t="s">
        <v>9938</v>
      </c>
      <c r="U210" t="s">
        <v>5963</v>
      </c>
      <c r="V210" t="s">
        <v>6947</v>
      </c>
      <c r="W210" t="s">
        <v>5857</v>
      </c>
      <c r="X210" s="2">
        <v>200</v>
      </c>
      <c r="Y210" t="s">
        <v>5858</v>
      </c>
      <c r="Z210" t="s">
        <v>6037</v>
      </c>
      <c r="AA210" s="2">
        <v>325</v>
      </c>
      <c r="AB210" t="s">
        <v>5863</v>
      </c>
      <c r="AC210" t="s">
        <v>9978</v>
      </c>
      <c r="AD210" s="32">
        <v>43273</v>
      </c>
      <c r="AI210" t="s">
        <v>9943</v>
      </c>
      <c r="AJ210" t="s">
        <v>9958</v>
      </c>
      <c r="AL210" t="s">
        <v>13851</v>
      </c>
    </row>
    <row r="211" spans="1:38">
      <c r="A211" t="s">
        <v>6920</v>
      </c>
      <c r="B211" t="s">
        <v>11688</v>
      </c>
      <c r="C211" t="s">
        <v>6948</v>
      </c>
      <c r="D211" t="s">
        <v>6949</v>
      </c>
      <c r="E211" s="2">
        <v>1000</v>
      </c>
      <c r="F211" s="2">
        <v>1000</v>
      </c>
      <c r="G211" s="3">
        <v>43285</v>
      </c>
      <c r="H211" s="4">
        <v>0.66104166666666997</v>
      </c>
      <c r="I211" s="3">
        <v>43285</v>
      </c>
      <c r="J211" s="4">
        <v>0.86937500000000001</v>
      </c>
      <c r="K211" s="2">
        <v>0</v>
      </c>
      <c r="L211" t="s">
        <v>5856</v>
      </c>
      <c r="M211" t="s">
        <v>6931</v>
      </c>
      <c r="N211" s="3">
        <v>43291</v>
      </c>
      <c r="O211" s="3">
        <v>43287</v>
      </c>
      <c r="P211" t="s">
        <v>5862</v>
      </c>
      <c r="Q211" t="s">
        <v>6950</v>
      </c>
      <c r="R211" t="s">
        <v>6036</v>
      </c>
      <c r="S211" s="3">
        <v>43291</v>
      </c>
      <c r="T211" t="s">
        <v>9938</v>
      </c>
      <c r="U211" t="s">
        <v>6951</v>
      </c>
      <c r="V211" t="s">
        <v>6952</v>
      </c>
      <c r="W211" t="s">
        <v>5857</v>
      </c>
      <c r="X211" s="2">
        <v>200</v>
      </c>
      <c r="Y211" t="s">
        <v>5858</v>
      </c>
      <c r="Z211" t="s">
        <v>6037</v>
      </c>
      <c r="AA211" s="2">
        <v>1000</v>
      </c>
      <c r="AB211" t="s">
        <v>5863</v>
      </c>
      <c r="AC211" t="s">
        <v>9976</v>
      </c>
      <c r="AD211" s="32">
        <v>43270</v>
      </c>
      <c r="AJ211" t="s">
        <v>9958</v>
      </c>
      <c r="AL211" t="s">
        <v>10584</v>
      </c>
    </row>
    <row r="212" spans="1:38">
      <c r="A212" t="s">
        <v>6920</v>
      </c>
      <c r="B212" t="s">
        <v>12905</v>
      </c>
      <c r="C212" t="s">
        <v>12906</v>
      </c>
      <c r="D212" t="s">
        <v>12907</v>
      </c>
      <c r="E212" s="2">
        <v>1060</v>
      </c>
      <c r="F212" s="2">
        <v>1060</v>
      </c>
      <c r="G212" s="3">
        <v>43285</v>
      </c>
      <c r="H212" s="4">
        <v>0.77916666666667</v>
      </c>
      <c r="I212" s="3">
        <v>43286</v>
      </c>
      <c r="J212" s="4">
        <v>0</v>
      </c>
      <c r="K212" s="2">
        <v>0</v>
      </c>
      <c r="L212" t="s">
        <v>5856</v>
      </c>
      <c r="M212" t="s">
        <v>6955</v>
      </c>
      <c r="N212" s="3">
        <v>43395</v>
      </c>
      <c r="O212" s="3">
        <v>43287</v>
      </c>
      <c r="P212" t="s">
        <v>5913</v>
      </c>
      <c r="Q212" t="s">
        <v>12908</v>
      </c>
      <c r="R212" t="s">
        <v>6036</v>
      </c>
      <c r="S212" s="3">
        <v>43292</v>
      </c>
      <c r="T212" t="s">
        <v>9938</v>
      </c>
      <c r="U212" t="s">
        <v>8722</v>
      </c>
      <c r="V212" t="s">
        <v>12909</v>
      </c>
      <c r="W212" t="s">
        <v>6038</v>
      </c>
      <c r="X212" s="2">
        <v>0</v>
      </c>
      <c r="Y212" t="s">
        <v>5858</v>
      </c>
      <c r="Z212" t="s">
        <v>6037</v>
      </c>
      <c r="AA212" s="2">
        <v>1000</v>
      </c>
      <c r="AB212" t="s">
        <v>5863</v>
      </c>
      <c r="AC212" t="s">
        <v>9976</v>
      </c>
      <c r="AD212" s="32"/>
      <c r="AJ212" t="s">
        <v>9957</v>
      </c>
      <c r="AL212" t="s">
        <v>13852</v>
      </c>
    </row>
    <row r="213" spans="1:38">
      <c r="A213" t="s">
        <v>6920</v>
      </c>
      <c r="B213" t="s">
        <v>11689</v>
      </c>
      <c r="C213" t="s">
        <v>6960</v>
      </c>
      <c r="D213" t="s">
        <v>6961</v>
      </c>
      <c r="E213" s="2">
        <v>15</v>
      </c>
      <c r="F213" s="2">
        <v>265</v>
      </c>
      <c r="G213" s="3">
        <v>43287</v>
      </c>
      <c r="H213" s="4">
        <v>2.0833333333330002E-2</v>
      </c>
      <c r="I213" s="3">
        <v>43287</v>
      </c>
      <c r="J213" s="4">
        <v>7.6041666666670005E-2</v>
      </c>
      <c r="K213" s="2">
        <v>0</v>
      </c>
      <c r="L213" t="s">
        <v>5856</v>
      </c>
      <c r="M213" t="s">
        <v>6962</v>
      </c>
      <c r="N213" s="3">
        <v>43290</v>
      </c>
      <c r="O213" s="3">
        <v>43289</v>
      </c>
      <c r="P213" t="s">
        <v>5960</v>
      </c>
      <c r="Q213" t="s">
        <v>6038</v>
      </c>
      <c r="R213" t="s">
        <v>6039</v>
      </c>
      <c r="S213" s="3"/>
      <c r="T213" t="s">
        <v>9938</v>
      </c>
      <c r="U213" t="s">
        <v>5917</v>
      </c>
      <c r="V213" t="s">
        <v>6963</v>
      </c>
      <c r="W213" t="s">
        <v>5857</v>
      </c>
      <c r="X213" s="2">
        <v>200</v>
      </c>
      <c r="Y213" t="s">
        <v>5858</v>
      </c>
      <c r="Z213" t="s">
        <v>6037</v>
      </c>
      <c r="AA213" s="2">
        <v>0</v>
      </c>
      <c r="AB213" t="s">
        <v>5859</v>
      </c>
      <c r="AC213" t="s">
        <v>9976</v>
      </c>
      <c r="AD213" s="32">
        <v>43262</v>
      </c>
      <c r="AJ213" t="s">
        <v>9958</v>
      </c>
      <c r="AL213" t="s">
        <v>10585</v>
      </c>
    </row>
    <row r="214" spans="1:38">
      <c r="A214" t="s">
        <v>6920</v>
      </c>
      <c r="B214" t="s">
        <v>11690</v>
      </c>
      <c r="C214" t="s">
        <v>6926</v>
      </c>
      <c r="D214" t="s">
        <v>6927</v>
      </c>
      <c r="E214" s="2">
        <v>1000</v>
      </c>
      <c r="F214" s="2">
        <v>1000</v>
      </c>
      <c r="G214" s="3">
        <v>43287</v>
      </c>
      <c r="H214" s="4">
        <v>0.34687499999999999</v>
      </c>
      <c r="I214" s="3">
        <v>43287</v>
      </c>
      <c r="J214" s="4">
        <v>0.55520833333332997</v>
      </c>
      <c r="K214" s="2">
        <v>0</v>
      </c>
      <c r="L214" t="s">
        <v>5856</v>
      </c>
      <c r="M214" t="s">
        <v>6931</v>
      </c>
      <c r="N214" s="3">
        <v>43290</v>
      </c>
      <c r="O214" s="3">
        <v>43289</v>
      </c>
      <c r="P214" t="s">
        <v>5971</v>
      </c>
      <c r="Q214" t="s">
        <v>6968</v>
      </c>
      <c r="R214" t="s">
        <v>6036</v>
      </c>
      <c r="S214" s="3">
        <v>43290</v>
      </c>
      <c r="T214" t="s">
        <v>9938</v>
      </c>
      <c r="U214" t="s">
        <v>6052</v>
      </c>
      <c r="V214" t="s">
        <v>6929</v>
      </c>
      <c r="W214" t="s">
        <v>5857</v>
      </c>
      <c r="X214" s="2">
        <v>200</v>
      </c>
      <c r="Y214" t="s">
        <v>5858</v>
      </c>
      <c r="Z214" t="s">
        <v>6037</v>
      </c>
      <c r="AA214" s="2">
        <v>1000</v>
      </c>
      <c r="AB214" t="s">
        <v>5863</v>
      </c>
      <c r="AC214" t="s">
        <v>9974</v>
      </c>
      <c r="AD214" s="32">
        <v>43262</v>
      </c>
      <c r="AJ214" t="s">
        <v>9958</v>
      </c>
      <c r="AL214" t="s">
        <v>10586</v>
      </c>
    </row>
    <row r="215" spans="1:38">
      <c r="A215" t="s">
        <v>6920</v>
      </c>
      <c r="B215" t="s">
        <v>12910</v>
      </c>
      <c r="C215" t="s">
        <v>12911</v>
      </c>
      <c r="D215" t="s">
        <v>12912</v>
      </c>
      <c r="E215" s="2">
        <v>1060</v>
      </c>
      <c r="F215" s="2">
        <v>1060</v>
      </c>
      <c r="G215" s="3">
        <v>43287</v>
      </c>
      <c r="H215" s="4">
        <v>0.57604166666667</v>
      </c>
      <c r="I215" s="3">
        <v>43287</v>
      </c>
      <c r="J215" s="4">
        <v>0.796875</v>
      </c>
      <c r="K215" s="2">
        <v>0</v>
      </c>
      <c r="L215" t="s">
        <v>5856</v>
      </c>
      <c r="M215" t="s">
        <v>6955</v>
      </c>
      <c r="N215" s="3">
        <v>43304</v>
      </c>
      <c r="O215" s="3">
        <v>43289</v>
      </c>
      <c r="P215" t="s">
        <v>6026</v>
      </c>
      <c r="Q215" t="s">
        <v>12913</v>
      </c>
      <c r="R215" t="s">
        <v>6036</v>
      </c>
      <c r="S215" s="3">
        <v>43304</v>
      </c>
      <c r="T215" t="s">
        <v>9938</v>
      </c>
      <c r="U215" t="s">
        <v>6912</v>
      </c>
      <c r="V215" t="s">
        <v>12914</v>
      </c>
      <c r="W215" t="s">
        <v>5857</v>
      </c>
      <c r="X215" s="2">
        <v>0</v>
      </c>
      <c r="Y215" t="s">
        <v>5858</v>
      </c>
      <c r="Z215" t="s">
        <v>6037</v>
      </c>
      <c r="AA215" s="2">
        <v>1000</v>
      </c>
      <c r="AB215" t="s">
        <v>5915</v>
      </c>
      <c r="AD215" s="32"/>
      <c r="AJ215" t="s">
        <v>9959</v>
      </c>
      <c r="AL215" t="s">
        <v>13853</v>
      </c>
    </row>
    <row r="216" spans="1:38">
      <c r="A216" t="s">
        <v>6920</v>
      </c>
      <c r="B216" t="s">
        <v>11691</v>
      </c>
      <c r="C216" t="s">
        <v>6969</v>
      </c>
      <c r="D216" t="s">
        <v>6970</v>
      </c>
      <c r="E216" s="2">
        <v>530</v>
      </c>
      <c r="F216" s="2">
        <v>530</v>
      </c>
      <c r="G216" s="3">
        <v>43287</v>
      </c>
      <c r="H216" s="4">
        <v>0.81770833333333004</v>
      </c>
      <c r="I216" s="3">
        <v>43287</v>
      </c>
      <c r="J216" s="4">
        <v>0.92812499999999998</v>
      </c>
      <c r="K216" s="2">
        <v>20</v>
      </c>
      <c r="L216" t="s">
        <v>5856</v>
      </c>
      <c r="M216" t="s">
        <v>6930</v>
      </c>
      <c r="N216" s="3">
        <v>43292</v>
      </c>
      <c r="O216" s="3">
        <v>43289</v>
      </c>
      <c r="P216" t="s">
        <v>5889</v>
      </c>
      <c r="Q216" t="s">
        <v>6971</v>
      </c>
      <c r="R216" t="s">
        <v>6036</v>
      </c>
      <c r="S216" s="3">
        <v>43292</v>
      </c>
      <c r="T216" t="s">
        <v>9938</v>
      </c>
      <c r="U216" t="s">
        <v>5982</v>
      </c>
      <c r="V216" t="s">
        <v>6041</v>
      </c>
      <c r="W216" t="s">
        <v>5857</v>
      </c>
      <c r="X216" s="2">
        <v>200</v>
      </c>
      <c r="Y216" t="s">
        <v>5858</v>
      </c>
      <c r="Z216" t="s">
        <v>6037</v>
      </c>
      <c r="AA216" s="2">
        <v>500</v>
      </c>
      <c r="AB216" t="s">
        <v>5863</v>
      </c>
      <c r="AC216" t="s">
        <v>9978</v>
      </c>
      <c r="AD216" s="32">
        <v>43264</v>
      </c>
      <c r="AJ216" t="s">
        <v>9958</v>
      </c>
      <c r="AL216" t="s">
        <v>10587</v>
      </c>
    </row>
    <row r="217" spans="1:38">
      <c r="A217" t="s">
        <v>6920</v>
      </c>
      <c r="B217" t="s">
        <v>12915</v>
      </c>
      <c r="C217" t="s">
        <v>12916</v>
      </c>
      <c r="D217" t="s">
        <v>12917</v>
      </c>
      <c r="E217" s="2">
        <v>689</v>
      </c>
      <c r="F217" s="2">
        <v>689</v>
      </c>
      <c r="G217" s="3">
        <v>43287</v>
      </c>
      <c r="H217" s="4">
        <v>0.91249999999999998</v>
      </c>
      <c r="I217" s="3">
        <v>43288</v>
      </c>
      <c r="J217" s="4">
        <v>5.6041666666670001E-2</v>
      </c>
      <c r="K217" s="2">
        <v>10</v>
      </c>
      <c r="L217" t="s">
        <v>5856</v>
      </c>
      <c r="M217" t="s">
        <v>12918</v>
      </c>
      <c r="N217" s="3">
        <v>43290</v>
      </c>
      <c r="O217" s="3">
        <v>43290</v>
      </c>
      <c r="P217" t="s">
        <v>6849</v>
      </c>
      <c r="Q217" t="s">
        <v>12919</v>
      </c>
      <c r="R217" t="s">
        <v>6036</v>
      </c>
      <c r="S217" s="3">
        <v>43290</v>
      </c>
      <c r="T217" t="s">
        <v>9938</v>
      </c>
      <c r="U217" t="s">
        <v>6052</v>
      </c>
      <c r="V217" t="s">
        <v>12920</v>
      </c>
      <c r="W217" t="s">
        <v>5857</v>
      </c>
      <c r="X217" s="2">
        <v>0</v>
      </c>
      <c r="Y217" t="s">
        <v>5858</v>
      </c>
      <c r="Z217" t="s">
        <v>6037</v>
      </c>
      <c r="AA217" s="2">
        <v>650</v>
      </c>
      <c r="AB217" t="s">
        <v>5863</v>
      </c>
      <c r="AC217" t="s">
        <v>9974</v>
      </c>
      <c r="AD217" s="32">
        <v>43280</v>
      </c>
      <c r="AI217" t="s">
        <v>9939</v>
      </c>
      <c r="AJ217" t="s">
        <v>9958</v>
      </c>
      <c r="AL217" t="s">
        <v>13854</v>
      </c>
    </row>
    <row r="218" spans="1:38">
      <c r="A218" t="s">
        <v>6920</v>
      </c>
      <c r="B218" t="s">
        <v>11693</v>
      </c>
      <c r="C218" t="s">
        <v>6978</v>
      </c>
      <c r="D218" t="s">
        <v>6979</v>
      </c>
      <c r="E218" s="2">
        <v>1060</v>
      </c>
      <c r="F218" s="2">
        <v>1060</v>
      </c>
      <c r="G218" s="3">
        <v>43288</v>
      </c>
      <c r="H218" s="4">
        <v>7.6874999999999999E-2</v>
      </c>
      <c r="I218" s="3">
        <v>43288</v>
      </c>
      <c r="J218" s="4">
        <v>0.29770833333333002</v>
      </c>
      <c r="K218" s="2">
        <v>0</v>
      </c>
      <c r="L218" t="s">
        <v>5856</v>
      </c>
      <c r="M218" t="s">
        <v>6955</v>
      </c>
      <c r="N218" s="3">
        <v>43291</v>
      </c>
      <c r="O218" s="3">
        <v>43290</v>
      </c>
      <c r="P218" t="s">
        <v>5971</v>
      </c>
      <c r="Q218" t="s">
        <v>6980</v>
      </c>
      <c r="R218" t="s">
        <v>6036</v>
      </c>
      <c r="S218" s="3">
        <v>43291</v>
      </c>
      <c r="T218" t="s">
        <v>9938</v>
      </c>
      <c r="U218" t="s">
        <v>6064</v>
      </c>
      <c r="V218" t="s">
        <v>6981</v>
      </c>
      <c r="W218" t="s">
        <v>5857</v>
      </c>
      <c r="X218" s="2">
        <v>200</v>
      </c>
      <c r="Y218" t="s">
        <v>5858</v>
      </c>
      <c r="Z218" t="s">
        <v>6037</v>
      </c>
      <c r="AA218" s="2">
        <v>1000</v>
      </c>
      <c r="AB218" t="s">
        <v>5859</v>
      </c>
      <c r="AC218" t="s">
        <v>9974</v>
      </c>
      <c r="AD218" s="32">
        <v>43231</v>
      </c>
      <c r="AI218" t="s">
        <v>9939</v>
      </c>
      <c r="AJ218" t="s">
        <v>9958</v>
      </c>
      <c r="AL218" t="s">
        <v>13855</v>
      </c>
    </row>
    <row r="219" spans="1:38">
      <c r="A219" t="s">
        <v>6920</v>
      </c>
      <c r="B219" t="s">
        <v>11695</v>
      </c>
      <c r="C219" t="s">
        <v>6987</v>
      </c>
      <c r="D219" t="s">
        <v>6988</v>
      </c>
      <c r="E219" s="2">
        <v>212</v>
      </c>
      <c r="F219" s="2">
        <v>212</v>
      </c>
      <c r="G219" s="3">
        <v>43288</v>
      </c>
      <c r="H219" s="4">
        <v>0.31854166666667</v>
      </c>
      <c r="I219" s="3">
        <v>43288</v>
      </c>
      <c r="J219" s="4">
        <v>0.36270833333333002</v>
      </c>
      <c r="K219" s="2">
        <v>0</v>
      </c>
      <c r="L219" t="s">
        <v>5856</v>
      </c>
      <c r="M219" t="s">
        <v>6989</v>
      </c>
      <c r="N219" s="3">
        <v>43291</v>
      </c>
      <c r="O219" s="3">
        <v>43290</v>
      </c>
      <c r="P219" t="s">
        <v>5862</v>
      </c>
      <c r="Q219" t="s">
        <v>6990</v>
      </c>
      <c r="R219" t="s">
        <v>6036</v>
      </c>
      <c r="S219" s="3">
        <v>43291</v>
      </c>
      <c r="T219" t="s">
        <v>9938</v>
      </c>
      <c r="U219" t="s">
        <v>5894</v>
      </c>
      <c r="V219" t="s">
        <v>6991</v>
      </c>
      <c r="W219" t="s">
        <v>5857</v>
      </c>
      <c r="X219" s="2">
        <v>200</v>
      </c>
      <c r="Y219" t="s">
        <v>5858</v>
      </c>
      <c r="Z219" t="s">
        <v>6037</v>
      </c>
      <c r="AA219" s="2">
        <v>200</v>
      </c>
      <c r="AB219" t="s">
        <v>5859</v>
      </c>
      <c r="AC219" t="s">
        <v>9978</v>
      </c>
      <c r="AD219" s="32">
        <v>43263</v>
      </c>
      <c r="AJ219" t="s">
        <v>9958</v>
      </c>
      <c r="AL219" t="s">
        <v>10590</v>
      </c>
    </row>
    <row r="220" spans="1:38">
      <c r="A220" t="s">
        <v>6920</v>
      </c>
      <c r="B220" t="s">
        <v>11692</v>
      </c>
      <c r="C220" t="s">
        <v>6972</v>
      </c>
      <c r="D220" t="s">
        <v>6973</v>
      </c>
      <c r="E220" s="2">
        <v>1000</v>
      </c>
      <c r="F220" s="2">
        <v>1000</v>
      </c>
      <c r="G220" s="3">
        <v>43288</v>
      </c>
      <c r="H220" s="4">
        <v>0.38354166666667</v>
      </c>
      <c r="I220" s="3">
        <v>43288</v>
      </c>
      <c r="J220" s="4">
        <v>0.59187500000000004</v>
      </c>
      <c r="K220" s="2">
        <v>0</v>
      </c>
      <c r="L220" t="s">
        <v>5856</v>
      </c>
      <c r="M220" t="s">
        <v>6931</v>
      </c>
      <c r="N220" s="3">
        <v>43306</v>
      </c>
      <c r="O220" s="3">
        <v>43295</v>
      </c>
      <c r="P220" t="s">
        <v>6974</v>
      </c>
      <c r="Q220" t="s">
        <v>6975</v>
      </c>
      <c r="R220" t="s">
        <v>6036</v>
      </c>
      <c r="S220" s="3">
        <v>43306</v>
      </c>
      <c r="T220" t="s">
        <v>9938</v>
      </c>
      <c r="U220" t="s">
        <v>6976</v>
      </c>
      <c r="V220" t="s">
        <v>6977</v>
      </c>
      <c r="W220" t="s">
        <v>6038</v>
      </c>
      <c r="X220" s="2">
        <v>200</v>
      </c>
      <c r="Y220" t="s">
        <v>5858</v>
      </c>
      <c r="Z220" t="s">
        <v>6037</v>
      </c>
      <c r="AA220" s="2">
        <v>1000</v>
      </c>
      <c r="AB220" t="s">
        <v>5863</v>
      </c>
      <c r="AC220" t="s">
        <v>9974</v>
      </c>
      <c r="AD220" s="32">
        <v>43278</v>
      </c>
      <c r="AJ220" t="s">
        <v>9959</v>
      </c>
      <c r="AL220" t="s">
        <v>10588</v>
      </c>
    </row>
    <row r="221" spans="1:38">
      <c r="A221" t="s">
        <v>6920</v>
      </c>
      <c r="B221" t="s">
        <v>11694</v>
      </c>
      <c r="C221" t="s">
        <v>6982</v>
      </c>
      <c r="D221" t="s">
        <v>6983</v>
      </c>
      <c r="E221" s="2">
        <v>500</v>
      </c>
      <c r="F221" s="2">
        <v>500</v>
      </c>
      <c r="G221" s="3">
        <v>43288</v>
      </c>
      <c r="H221" s="4">
        <v>0.61270833333332997</v>
      </c>
      <c r="I221" s="3">
        <v>43288</v>
      </c>
      <c r="J221" s="4">
        <v>0.71687500000000004</v>
      </c>
      <c r="K221" s="2">
        <v>0</v>
      </c>
      <c r="L221" t="s">
        <v>5856</v>
      </c>
      <c r="M221" t="s">
        <v>6984</v>
      </c>
      <c r="N221" s="3">
        <v>43311</v>
      </c>
      <c r="O221" s="3">
        <v>43290</v>
      </c>
      <c r="P221" t="s">
        <v>5978</v>
      </c>
      <c r="Q221" t="s">
        <v>6985</v>
      </c>
      <c r="R221" t="s">
        <v>6036</v>
      </c>
      <c r="S221" s="3">
        <v>43311</v>
      </c>
      <c r="T221" t="s">
        <v>9938</v>
      </c>
      <c r="U221" t="s">
        <v>5987</v>
      </c>
      <c r="V221" t="s">
        <v>6986</v>
      </c>
      <c r="W221" t="s">
        <v>5857</v>
      </c>
      <c r="X221" s="2">
        <v>200</v>
      </c>
      <c r="Y221" t="s">
        <v>5858</v>
      </c>
      <c r="Z221" t="s">
        <v>6037</v>
      </c>
      <c r="AA221" s="2">
        <v>500</v>
      </c>
      <c r="AB221" t="s">
        <v>5863</v>
      </c>
      <c r="AC221" t="s">
        <v>9978</v>
      </c>
      <c r="AD221" s="32">
        <v>43230</v>
      </c>
      <c r="AI221" t="s">
        <v>9943</v>
      </c>
      <c r="AJ221" t="s">
        <v>9958</v>
      </c>
      <c r="AL221" t="s">
        <v>10589</v>
      </c>
    </row>
    <row r="222" spans="1:38">
      <c r="A222" t="s">
        <v>6920</v>
      </c>
      <c r="B222" t="s">
        <v>11701</v>
      </c>
      <c r="C222" t="s">
        <v>7018</v>
      </c>
      <c r="D222" t="s">
        <v>7019</v>
      </c>
      <c r="E222" s="2">
        <v>530</v>
      </c>
      <c r="F222" s="2">
        <v>530</v>
      </c>
      <c r="G222" s="3">
        <v>43289</v>
      </c>
      <c r="H222" s="4">
        <v>4.1666666666670002E-2</v>
      </c>
      <c r="I222" s="3">
        <v>43289</v>
      </c>
      <c r="J222" s="4">
        <v>0.15208333333332999</v>
      </c>
      <c r="K222" s="2">
        <v>0</v>
      </c>
      <c r="L222" t="s">
        <v>5856</v>
      </c>
      <c r="M222" t="s">
        <v>6930</v>
      </c>
      <c r="N222" s="3">
        <v>43292</v>
      </c>
      <c r="O222" s="3">
        <v>43291</v>
      </c>
      <c r="P222" t="s">
        <v>5881</v>
      </c>
      <c r="Q222" t="s">
        <v>7020</v>
      </c>
      <c r="R222" t="s">
        <v>6036</v>
      </c>
      <c r="S222" s="3">
        <v>43292</v>
      </c>
      <c r="T222" t="s">
        <v>9938</v>
      </c>
      <c r="U222" t="s">
        <v>6568</v>
      </c>
      <c r="V222" t="s">
        <v>7021</v>
      </c>
      <c r="W222" t="s">
        <v>5857</v>
      </c>
      <c r="X222" s="2">
        <v>200</v>
      </c>
      <c r="Y222" t="s">
        <v>5858</v>
      </c>
      <c r="Z222" t="s">
        <v>6037</v>
      </c>
      <c r="AA222" s="2">
        <v>500</v>
      </c>
      <c r="AB222" t="s">
        <v>5859</v>
      </c>
      <c r="AC222" t="s">
        <v>9978</v>
      </c>
      <c r="AD222" s="32">
        <v>43264</v>
      </c>
      <c r="AJ222" t="s">
        <v>9958</v>
      </c>
      <c r="AL222" t="s">
        <v>13856</v>
      </c>
    </row>
    <row r="223" spans="1:38">
      <c r="A223" t="s">
        <v>6920</v>
      </c>
      <c r="B223" t="s">
        <v>11714</v>
      </c>
      <c r="C223" t="s">
        <v>7075</v>
      </c>
      <c r="D223" t="s">
        <v>7076</v>
      </c>
      <c r="E223" s="2">
        <v>1000</v>
      </c>
      <c r="F223" s="2">
        <v>1000</v>
      </c>
      <c r="G223" s="3">
        <v>43289</v>
      </c>
      <c r="H223" s="4">
        <v>0.17291666666666999</v>
      </c>
      <c r="I223" s="3">
        <v>43289</v>
      </c>
      <c r="J223" s="4">
        <v>0.38124999999999998</v>
      </c>
      <c r="K223" s="2">
        <v>0</v>
      </c>
      <c r="L223" t="s">
        <v>5856</v>
      </c>
      <c r="M223" t="s">
        <v>6931</v>
      </c>
      <c r="N223" s="3">
        <v>43297</v>
      </c>
      <c r="O223" s="3">
        <v>43291</v>
      </c>
      <c r="P223" t="s">
        <v>6868</v>
      </c>
      <c r="Q223" t="s">
        <v>7077</v>
      </c>
      <c r="R223" t="s">
        <v>6036</v>
      </c>
      <c r="S223" s="3">
        <v>43297</v>
      </c>
      <c r="T223" t="s">
        <v>9938</v>
      </c>
      <c r="U223" t="s">
        <v>6582</v>
      </c>
      <c r="V223" t="s">
        <v>7078</v>
      </c>
      <c r="W223" t="s">
        <v>6038</v>
      </c>
      <c r="X223" s="2">
        <v>200</v>
      </c>
      <c r="Y223" t="s">
        <v>5858</v>
      </c>
      <c r="Z223" t="s">
        <v>6037</v>
      </c>
      <c r="AA223" s="2">
        <v>1000</v>
      </c>
      <c r="AB223" t="s">
        <v>5863</v>
      </c>
      <c r="AC223" t="s">
        <v>9976</v>
      </c>
      <c r="AD223" s="32">
        <v>43273</v>
      </c>
      <c r="AJ223" t="s">
        <v>9958</v>
      </c>
      <c r="AL223" t="s">
        <v>10601</v>
      </c>
    </row>
    <row r="224" spans="1:38">
      <c r="A224" t="s">
        <v>6920</v>
      </c>
      <c r="B224" t="s">
        <v>11698</v>
      </c>
      <c r="C224" t="s">
        <v>7006</v>
      </c>
      <c r="D224" t="s">
        <v>7007</v>
      </c>
      <c r="E224" s="2">
        <v>530</v>
      </c>
      <c r="F224" s="2">
        <v>530</v>
      </c>
      <c r="G224" s="3">
        <v>43289</v>
      </c>
      <c r="H224" s="4">
        <v>0.40208333333333002</v>
      </c>
      <c r="I224" s="3">
        <v>43289</v>
      </c>
      <c r="J224" s="4">
        <v>0.51249999999999996</v>
      </c>
      <c r="K224" s="2">
        <v>20</v>
      </c>
      <c r="L224" t="s">
        <v>5856</v>
      </c>
      <c r="M224" t="s">
        <v>6930</v>
      </c>
      <c r="N224" s="3">
        <v>43291</v>
      </c>
      <c r="O224" s="3">
        <v>43291</v>
      </c>
      <c r="P224" t="s">
        <v>5889</v>
      </c>
      <c r="Q224" t="s">
        <v>7008</v>
      </c>
      <c r="R224" t="s">
        <v>6036</v>
      </c>
      <c r="S224" s="3">
        <v>43291</v>
      </c>
      <c r="T224" t="s">
        <v>9938</v>
      </c>
      <c r="U224" t="s">
        <v>5893</v>
      </c>
      <c r="V224" t="s">
        <v>7009</v>
      </c>
      <c r="W224" t="s">
        <v>5857</v>
      </c>
      <c r="X224" s="2">
        <v>200</v>
      </c>
      <c r="Y224" t="s">
        <v>5858</v>
      </c>
      <c r="Z224" t="s">
        <v>6037</v>
      </c>
      <c r="AA224" s="2">
        <v>500</v>
      </c>
      <c r="AB224" t="s">
        <v>5859</v>
      </c>
      <c r="AC224" t="s">
        <v>9978</v>
      </c>
      <c r="AD224" s="32">
        <v>43262</v>
      </c>
      <c r="AJ224" t="s">
        <v>9958</v>
      </c>
      <c r="AL224" t="s">
        <v>10592</v>
      </c>
    </row>
    <row r="225" spans="1:38">
      <c r="A225" t="s">
        <v>6920</v>
      </c>
      <c r="B225" t="s">
        <v>11697</v>
      </c>
      <c r="C225" t="s">
        <v>7001</v>
      </c>
      <c r="D225" t="s">
        <v>7002</v>
      </c>
      <c r="E225" s="2">
        <v>636</v>
      </c>
      <c r="F225" s="2">
        <v>636</v>
      </c>
      <c r="G225" s="3">
        <v>43289</v>
      </c>
      <c r="H225" s="4">
        <v>0.53333333333333</v>
      </c>
      <c r="I225" s="3">
        <v>43289</v>
      </c>
      <c r="J225" s="4">
        <v>0.66583333333332995</v>
      </c>
      <c r="K225" s="2">
        <v>0</v>
      </c>
      <c r="L225" t="s">
        <v>5856</v>
      </c>
      <c r="M225" t="s">
        <v>6928</v>
      </c>
      <c r="N225" s="3">
        <v>43290</v>
      </c>
      <c r="O225" s="3">
        <v>43291</v>
      </c>
      <c r="P225" t="s">
        <v>5869</v>
      </c>
      <c r="Q225" t="s">
        <v>7003</v>
      </c>
      <c r="R225" t="s">
        <v>6036</v>
      </c>
      <c r="S225" s="3">
        <v>43290</v>
      </c>
      <c r="T225" t="s">
        <v>9938</v>
      </c>
      <c r="U225" t="s">
        <v>7004</v>
      </c>
      <c r="V225" t="s">
        <v>7005</v>
      </c>
      <c r="W225" t="s">
        <v>5857</v>
      </c>
      <c r="X225" s="2">
        <v>200</v>
      </c>
      <c r="Y225" t="s">
        <v>5858</v>
      </c>
      <c r="Z225" t="s">
        <v>6037</v>
      </c>
      <c r="AA225" s="2">
        <v>600</v>
      </c>
      <c r="AB225" t="s">
        <v>5859</v>
      </c>
      <c r="AC225" t="s">
        <v>9974</v>
      </c>
      <c r="AD225" s="32">
        <v>43263</v>
      </c>
      <c r="AJ225" t="s">
        <v>9957</v>
      </c>
      <c r="AL225" t="s">
        <v>10591</v>
      </c>
    </row>
    <row r="226" spans="1:38">
      <c r="A226" t="s">
        <v>6920</v>
      </c>
      <c r="B226" t="s">
        <v>11702</v>
      </c>
      <c r="C226" t="s">
        <v>7022</v>
      </c>
      <c r="D226" t="s">
        <v>7023</v>
      </c>
      <c r="E226" s="2">
        <v>0</v>
      </c>
      <c r="F226" s="2">
        <v>1060</v>
      </c>
      <c r="G226" s="3">
        <v>43289</v>
      </c>
      <c r="H226" s="4">
        <v>0.77916666666667</v>
      </c>
      <c r="I226" s="3">
        <v>43290</v>
      </c>
      <c r="J226" s="4">
        <v>0</v>
      </c>
      <c r="K226" s="2">
        <v>0</v>
      </c>
      <c r="L226" t="s">
        <v>5856</v>
      </c>
      <c r="M226" t="s">
        <v>6955</v>
      </c>
      <c r="N226" s="3">
        <v>43292</v>
      </c>
      <c r="O226" s="3">
        <v>43291</v>
      </c>
      <c r="P226" t="s">
        <v>5862</v>
      </c>
      <c r="Q226" t="s">
        <v>6038</v>
      </c>
      <c r="R226" t="s">
        <v>6039</v>
      </c>
      <c r="S226" s="3"/>
      <c r="T226" t="s">
        <v>9938</v>
      </c>
      <c r="U226" t="s">
        <v>7024</v>
      </c>
      <c r="V226" t="s">
        <v>7025</v>
      </c>
      <c r="W226" t="s">
        <v>5857</v>
      </c>
      <c r="X226" s="2">
        <v>200</v>
      </c>
      <c r="Y226" t="s">
        <v>5858</v>
      </c>
      <c r="Z226" t="s">
        <v>6037</v>
      </c>
      <c r="AA226" s="2">
        <v>0</v>
      </c>
      <c r="AB226" t="s">
        <v>5859</v>
      </c>
      <c r="AC226" t="s">
        <v>9974</v>
      </c>
      <c r="AD226" s="32">
        <v>43251</v>
      </c>
      <c r="AJ226" t="s">
        <v>9958</v>
      </c>
      <c r="AL226" t="s">
        <v>13857</v>
      </c>
    </row>
    <row r="227" spans="1:38">
      <c r="A227" t="s">
        <v>6920</v>
      </c>
      <c r="B227" t="s">
        <v>11707</v>
      </c>
      <c r="C227" t="s">
        <v>7052</v>
      </c>
      <c r="D227" t="s">
        <v>7053</v>
      </c>
      <c r="E227" s="5">
        <v>43.5</v>
      </c>
      <c r="F227" s="5">
        <v>768.5</v>
      </c>
      <c r="G227" s="3">
        <v>43290</v>
      </c>
      <c r="H227" s="4">
        <v>2.0833333333330002E-2</v>
      </c>
      <c r="I227" s="3">
        <v>43290</v>
      </c>
      <c r="J227" s="4">
        <v>0.1809375</v>
      </c>
      <c r="K227" s="2">
        <v>0</v>
      </c>
      <c r="L227" t="s">
        <v>5856</v>
      </c>
      <c r="M227" t="s">
        <v>7054</v>
      </c>
      <c r="N227" s="3">
        <v>43293</v>
      </c>
      <c r="O227" s="3">
        <v>43292</v>
      </c>
      <c r="P227" t="s">
        <v>5862</v>
      </c>
      <c r="Q227" t="s">
        <v>6038</v>
      </c>
      <c r="R227" t="s">
        <v>6039</v>
      </c>
      <c r="S227" s="3"/>
      <c r="T227" t="s">
        <v>9938</v>
      </c>
      <c r="U227" t="s">
        <v>6582</v>
      </c>
      <c r="V227" t="s">
        <v>7055</v>
      </c>
      <c r="W227" t="s">
        <v>5857</v>
      </c>
      <c r="X227" s="2">
        <v>200</v>
      </c>
      <c r="Y227" t="s">
        <v>5858</v>
      </c>
      <c r="Z227" t="s">
        <v>6037</v>
      </c>
      <c r="AA227" s="2">
        <v>0</v>
      </c>
      <c r="AB227" t="s">
        <v>5859</v>
      </c>
      <c r="AC227" t="s">
        <v>9976</v>
      </c>
      <c r="AD227" s="32">
        <v>43249</v>
      </c>
      <c r="AJ227" t="s">
        <v>9958</v>
      </c>
      <c r="AL227" t="s">
        <v>10597</v>
      </c>
    </row>
    <row r="228" spans="1:38">
      <c r="A228" t="s">
        <v>6920</v>
      </c>
      <c r="B228" t="s">
        <v>11715</v>
      </c>
      <c r="C228" t="s">
        <v>7079</v>
      </c>
      <c r="D228" t="s">
        <v>7080</v>
      </c>
      <c r="E228" s="2">
        <v>1000</v>
      </c>
      <c r="F228" s="2">
        <v>1000</v>
      </c>
      <c r="G228" s="3">
        <v>43290</v>
      </c>
      <c r="H228" s="4">
        <v>0.20177083333333001</v>
      </c>
      <c r="I228" s="3">
        <v>43290</v>
      </c>
      <c r="J228" s="4">
        <v>0.41010416666666999</v>
      </c>
      <c r="K228" s="2">
        <v>0</v>
      </c>
      <c r="L228" t="s">
        <v>5856</v>
      </c>
      <c r="M228" t="s">
        <v>6931</v>
      </c>
      <c r="N228" s="3">
        <v>43297</v>
      </c>
      <c r="O228" s="3">
        <v>43292</v>
      </c>
      <c r="P228" t="s">
        <v>6868</v>
      </c>
      <c r="Q228" t="s">
        <v>7081</v>
      </c>
      <c r="R228" t="s">
        <v>6036</v>
      </c>
      <c r="S228" s="3">
        <v>43297</v>
      </c>
      <c r="T228" t="s">
        <v>9938</v>
      </c>
      <c r="U228" t="s">
        <v>6582</v>
      </c>
      <c r="V228" t="s">
        <v>7082</v>
      </c>
      <c r="W228" t="s">
        <v>6038</v>
      </c>
      <c r="X228" s="2">
        <v>200</v>
      </c>
      <c r="Y228" t="s">
        <v>5858</v>
      </c>
      <c r="Z228" t="s">
        <v>6037</v>
      </c>
      <c r="AA228" s="2">
        <v>1000</v>
      </c>
      <c r="AB228" t="s">
        <v>5863</v>
      </c>
      <c r="AC228" t="s">
        <v>9976</v>
      </c>
      <c r="AD228" s="32">
        <v>43273</v>
      </c>
      <c r="AJ228" t="s">
        <v>9958</v>
      </c>
      <c r="AL228" t="s">
        <v>10602</v>
      </c>
    </row>
    <row r="229" spans="1:38">
      <c r="A229" t="s">
        <v>6920</v>
      </c>
      <c r="B229" t="s">
        <v>12681</v>
      </c>
      <c r="C229" t="s">
        <v>9008</v>
      </c>
      <c r="D229" t="s">
        <v>9009</v>
      </c>
      <c r="E229" s="2">
        <v>318</v>
      </c>
      <c r="F229" s="2">
        <v>318</v>
      </c>
      <c r="G229" s="3">
        <v>43290</v>
      </c>
      <c r="H229" s="4">
        <v>0.43093749999999997</v>
      </c>
      <c r="I229" s="3">
        <v>43290</v>
      </c>
      <c r="J229" s="4">
        <v>0.4971875</v>
      </c>
      <c r="K229" s="2">
        <v>0</v>
      </c>
      <c r="L229" t="s">
        <v>5856</v>
      </c>
      <c r="M229" t="s">
        <v>6941</v>
      </c>
      <c r="N229" s="3">
        <v>43292</v>
      </c>
      <c r="O229" s="3">
        <v>43292</v>
      </c>
      <c r="P229" t="s">
        <v>6026</v>
      </c>
      <c r="Q229" t="s">
        <v>9691</v>
      </c>
      <c r="R229" t="s">
        <v>6036</v>
      </c>
      <c r="S229" s="3">
        <v>43292</v>
      </c>
      <c r="T229" t="s">
        <v>9938</v>
      </c>
      <c r="U229" t="s">
        <v>6582</v>
      </c>
      <c r="V229" t="s">
        <v>9011</v>
      </c>
      <c r="W229" t="s">
        <v>5857</v>
      </c>
      <c r="X229" s="2">
        <v>200</v>
      </c>
      <c r="Y229" t="s">
        <v>5858</v>
      </c>
      <c r="Z229" t="s">
        <v>6037</v>
      </c>
      <c r="AA229" s="2">
        <v>300</v>
      </c>
      <c r="AB229" t="s">
        <v>5863</v>
      </c>
      <c r="AC229" t="s">
        <v>9976</v>
      </c>
      <c r="AD229" s="32">
        <v>43271</v>
      </c>
      <c r="AJ229" t="s">
        <v>9958</v>
      </c>
      <c r="AL229" t="s">
        <v>13858</v>
      </c>
    </row>
    <row r="230" spans="1:38">
      <c r="A230" t="s">
        <v>6920</v>
      </c>
      <c r="B230" t="s">
        <v>11704</v>
      </c>
      <c r="C230" t="s">
        <v>7031</v>
      </c>
      <c r="D230" t="s">
        <v>7032</v>
      </c>
      <c r="E230" s="2">
        <v>530</v>
      </c>
      <c r="F230" s="2">
        <v>530</v>
      </c>
      <c r="G230" s="3">
        <v>43290</v>
      </c>
      <c r="H230" s="4">
        <v>0.51802083333333004</v>
      </c>
      <c r="I230" s="3">
        <v>43290</v>
      </c>
      <c r="J230" s="4">
        <v>0.62843749999999998</v>
      </c>
      <c r="K230" s="2">
        <v>20</v>
      </c>
      <c r="L230" t="s">
        <v>5856</v>
      </c>
      <c r="M230" t="s">
        <v>6930</v>
      </c>
      <c r="N230" s="3">
        <v>43292</v>
      </c>
      <c r="O230" s="3">
        <v>43292</v>
      </c>
      <c r="P230" t="s">
        <v>5881</v>
      </c>
      <c r="Q230" t="s">
        <v>7033</v>
      </c>
      <c r="R230" t="s">
        <v>6036</v>
      </c>
      <c r="S230" s="3">
        <v>43292</v>
      </c>
      <c r="T230" t="s">
        <v>9938</v>
      </c>
      <c r="U230" t="s">
        <v>6621</v>
      </c>
      <c r="V230" t="s">
        <v>7034</v>
      </c>
      <c r="W230" t="s">
        <v>5857</v>
      </c>
      <c r="X230" s="2">
        <v>200</v>
      </c>
      <c r="Y230" t="s">
        <v>5858</v>
      </c>
      <c r="Z230" t="s">
        <v>6037</v>
      </c>
      <c r="AA230" s="2">
        <v>500</v>
      </c>
      <c r="AB230" t="s">
        <v>5859</v>
      </c>
      <c r="AC230" t="s">
        <v>9978</v>
      </c>
      <c r="AD230" s="32">
        <v>43263</v>
      </c>
      <c r="AJ230" t="s">
        <v>9958</v>
      </c>
      <c r="AL230" t="s">
        <v>10596</v>
      </c>
    </row>
    <row r="231" spans="1:38">
      <c r="A231" t="s">
        <v>6920</v>
      </c>
      <c r="B231" t="s">
        <v>11699</v>
      </c>
      <c r="C231" t="s">
        <v>7010</v>
      </c>
      <c r="D231" t="s">
        <v>7011</v>
      </c>
      <c r="E231" s="2">
        <v>530</v>
      </c>
      <c r="F231" s="2">
        <v>530</v>
      </c>
      <c r="G231" s="3">
        <v>43290</v>
      </c>
      <c r="H231" s="4">
        <v>0.64927083333333002</v>
      </c>
      <c r="I231" s="3">
        <v>43290</v>
      </c>
      <c r="J231" s="4">
        <v>0.75968749999999996</v>
      </c>
      <c r="K231" s="2">
        <v>4</v>
      </c>
      <c r="L231" t="s">
        <v>5856</v>
      </c>
      <c r="M231" t="s">
        <v>6930</v>
      </c>
      <c r="N231" s="3">
        <v>43291</v>
      </c>
      <c r="O231" s="3">
        <v>43292</v>
      </c>
      <c r="P231" t="s">
        <v>5960</v>
      </c>
      <c r="Q231" t="s">
        <v>12921</v>
      </c>
      <c r="R231" t="s">
        <v>6036</v>
      </c>
      <c r="S231" s="3">
        <v>43291</v>
      </c>
      <c r="T231" t="s">
        <v>9938</v>
      </c>
      <c r="U231" t="s">
        <v>7012</v>
      </c>
      <c r="V231" t="s">
        <v>7013</v>
      </c>
      <c r="W231" t="s">
        <v>5857</v>
      </c>
      <c r="X231" s="2">
        <v>0</v>
      </c>
      <c r="Y231" t="s">
        <v>5858</v>
      </c>
      <c r="Z231" t="s">
        <v>6037</v>
      </c>
      <c r="AA231" s="2">
        <v>500</v>
      </c>
      <c r="AB231" t="s">
        <v>5915</v>
      </c>
      <c r="AC231" t="s">
        <v>9976</v>
      </c>
      <c r="AD231" s="32"/>
      <c r="AJ231" t="s">
        <v>9958</v>
      </c>
      <c r="AL231" t="s">
        <v>10593</v>
      </c>
    </row>
    <row r="232" spans="1:38">
      <c r="A232" t="s">
        <v>6920</v>
      </c>
      <c r="B232" t="s">
        <v>11716</v>
      </c>
      <c r="C232" t="s">
        <v>7083</v>
      </c>
      <c r="D232" t="s">
        <v>7084</v>
      </c>
      <c r="E232" s="2">
        <v>500</v>
      </c>
      <c r="F232" s="2">
        <v>500</v>
      </c>
      <c r="G232" s="3">
        <v>43290</v>
      </c>
      <c r="H232" s="4">
        <v>0.78052083333333</v>
      </c>
      <c r="I232" s="3">
        <v>43290</v>
      </c>
      <c r="J232" s="4">
        <v>0.88468749999999996</v>
      </c>
      <c r="K232" s="2">
        <v>0</v>
      </c>
      <c r="L232" t="s">
        <v>5856</v>
      </c>
      <c r="M232" t="s">
        <v>6984</v>
      </c>
      <c r="N232" s="3">
        <v>43297</v>
      </c>
      <c r="O232" s="3">
        <v>43292</v>
      </c>
      <c r="P232" t="s">
        <v>5862</v>
      </c>
      <c r="Q232" t="s">
        <v>7085</v>
      </c>
      <c r="R232" t="s">
        <v>6036</v>
      </c>
      <c r="S232" s="3">
        <v>43297</v>
      </c>
      <c r="T232" t="s">
        <v>9938</v>
      </c>
      <c r="U232" t="s">
        <v>5987</v>
      </c>
      <c r="V232" t="s">
        <v>7086</v>
      </c>
      <c r="W232" t="s">
        <v>5857</v>
      </c>
      <c r="X232" s="2">
        <v>200</v>
      </c>
      <c r="Y232" t="s">
        <v>5858</v>
      </c>
      <c r="Z232" t="s">
        <v>6037</v>
      </c>
      <c r="AA232" s="2">
        <v>500</v>
      </c>
      <c r="AB232" t="s">
        <v>5863</v>
      </c>
      <c r="AC232" t="s">
        <v>9978</v>
      </c>
      <c r="AD232" s="32">
        <v>43265</v>
      </c>
      <c r="AJ232" t="s">
        <v>9958</v>
      </c>
      <c r="AL232" t="s">
        <v>10603</v>
      </c>
    </row>
    <row r="233" spans="1:38">
      <c r="A233" t="s">
        <v>6920</v>
      </c>
      <c r="B233" t="s">
        <v>12711</v>
      </c>
      <c r="C233" t="s">
        <v>6744</v>
      </c>
      <c r="D233" t="s">
        <v>6745</v>
      </c>
      <c r="E233" s="2">
        <v>265</v>
      </c>
      <c r="F233" s="2">
        <v>265</v>
      </c>
      <c r="G233" s="3">
        <v>43290</v>
      </c>
      <c r="H233" s="4">
        <v>0.90552083333333</v>
      </c>
      <c r="I233" s="3">
        <v>43290</v>
      </c>
      <c r="J233" s="4">
        <v>0.96072916666666996</v>
      </c>
      <c r="K233" s="2">
        <v>0</v>
      </c>
      <c r="L233" t="s">
        <v>5856</v>
      </c>
      <c r="M233" t="s">
        <v>6962</v>
      </c>
      <c r="N233" s="3">
        <v>43292</v>
      </c>
      <c r="O233" s="3">
        <v>43292</v>
      </c>
      <c r="P233" t="s">
        <v>5889</v>
      </c>
      <c r="Q233" t="s">
        <v>9781</v>
      </c>
      <c r="R233" t="s">
        <v>6036</v>
      </c>
      <c r="S233" s="3">
        <v>43292</v>
      </c>
      <c r="T233" t="s">
        <v>9938</v>
      </c>
      <c r="U233" t="s">
        <v>6747</v>
      </c>
      <c r="V233" t="s">
        <v>6748</v>
      </c>
      <c r="W233" t="s">
        <v>5857</v>
      </c>
      <c r="X233" s="2">
        <v>0</v>
      </c>
      <c r="Y233" t="s">
        <v>5858</v>
      </c>
      <c r="Z233" t="s">
        <v>6037</v>
      </c>
      <c r="AA233" s="2">
        <v>250</v>
      </c>
      <c r="AB233" t="s">
        <v>5863</v>
      </c>
      <c r="AC233" t="s">
        <v>9978</v>
      </c>
      <c r="AD233" s="32">
        <v>43271</v>
      </c>
      <c r="AJ233" t="s">
        <v>9958</v>
      </c>
      <c r="AL233" t="s">
        <v>13859</v>
      </c>
    </row>
    <row r="234" spans="1:38">
      <c r="A234" t="s">
        <v>6920</v>
      </c>
      <c r="B234" t="s">
        <v>11700</v>
      </c>
      <c r="C234" t="s">
        <v>7015</v>
      </c>
      <c r="D234" t="s">
        <v>7016</v>
      </c>
      <c r="E234" s="2">
        <v>1060</v>
      </c>
      <c r="F234" s="2">
        <v>1060</v>
      </c>
      <c r="G234" s="3">
        <v>43295</v>
      </c>
      <c r="H234" s="4">
        <v>2.0821759259260001E-2</v>
      </c>
      <c r="I234" s="3">
        <v>43295</v>
      </c>
      <c r="J234" s="4">
        <v>0.24165509259258999</v>
      </c>
      <c r="K234" s="2">
        <v>0</v>
      </c>
      <c r="L234" t="s">
        <v>5856</v>
      </c>
      <c r="M234" t="s">
        <v>6955</v>
      </c>
      <c r="N234" s="3">
        <v>43292</v>
      </c>
      <c r="O234" s="3">
        <v>43297</v>
      </c>
      <c r="P234" t="s">
        <v>5889</v>
      </c>
      <c r="Q234" t="s">
        <v>7017</v>
      </c>
      <c r="R234" t="s">
        <v>6036</v>
      </c>
      <c r="S234" s="3">
        <v>43292</v>
      </c>
      <c r="T234" t="s">
        <v>9938</v>
      </c>
      <c r="U234" t="s">
        <v>6555</v>
      </c>
      <c r="V234" t="s">
        <v>5860</v>
      </c>
      <c r="W234" t="s">
        <v>5857</v>
      </c>
      <c r="X234" s="2">
        <v>200</v>
      </c>
      <c r="Y234" t="s">
        <v>5858</v>
      </c>
      <c r="Z234" t="s">
        <v>6037</v>
      </c>
      <c r="AA234" s="2">
        <v>1000</v>
      </c>
      <c r="AB234" t="s">
        <v>5863</v>
      </c>
      <c r="AC234" t="s">
        <v>9978</v>
      </c>
      <c r="AD234" s="32">
        <v>43264</v>
      </c>
      <c r="AJ234" t="s">
        <v>9958</v>
      </c>
      <c r="AL234" t="s">
        <v>10594</v>
      </c>
    </row>
    <row r="235" spans="1:38">
      <c r="A235" t="s">
        <v>6920</v>
      </c>
      <c r="B235" t="s">
        <v>12679</v>
      </c>
      <c r="C235" t="s">
        <v>9008</v>
      </c>
      <c r="D235" t="s">
        <v>9009</v>
      </c>
      <c r="E235" s="5">
        <v>344.5</v>
      </c>
      <c r="F235" s="5">
        <v>344.5</v>
      </c>
      <c r="G235" s="3">
        <v>43295</v>
      </c>
      <c r="H235" s="4">
        <v>0.26248842592593002</v>
      </c>
      <c r="I235" s="3">
        <v>43295</v>
      </c>
      <c r="J235" s="4">
        <v>0.33425925925925998</v>
      </c>
      <c r="K235" s="2">
        <v>0</v>
      </c>
      <c r="L235" t="s">
        <v>5856</v>
      </c>
      <c r="M235" t="s">
        <v>7089</v>
      </c>
      <c r="N235" s="3">
        <v>43292</v>
      </c>
      <c r="O235" s="3">
        <v>43297</v>
      </c>
      <c r="P235" t="s">
        <v>6026</v>
      </c>
      <c r="Q235" t="s">
        <v>9687</v>
      </c>
      <c r="R235" t="s">
        <v>6036</v>
      </c>
      <c r="S235" s="3">
        <v>43292</v>
      </c>
      <c r="T235" t="s">
        <v>9938</v>
      </c>
      <c r="U235" t="s">
        <v>6582</v>
      </c>
      <c r="V235" t="s">
        <v>9011</v>
      </c>
      <c r="W235" t="s">
        <v>5857</v>
      </c>
      <c r="X235" s="2">
        <v>200</v>
      </c>
      <c r="Y235" t="s">
        <v>5858</v>
      </c>
      <c r="Z235" t="s">
        <v>6037</v>
      </c>
      <c r="AA235" s="2">
        <v>325</v>
      </c>
      <c r="AB235" t="s">
        <v>5863</v>
      </c>
      <c r="AC235" t="s">
        <v>9976</v>
      </c>
      <c r="AD235" s="32">
        <v>43271</v>
      </c>
      <c r="AJ235" t="s">
        <v>9958</v>
      </c>
      <c r="AL235" t="s">
        <v>13860</v>
      </c>
    </row>
    <row r="236" spans="1:38">
      <c r="A236" t="s">
        <v>6920</v>
      </c>
      <c r="B236" t="s">
        <v>12443</v>
      </c>
      <c r="C236" t="s">
        <v>6744</v>
      </c>
      <c r="D236" t="s">
        <v>6745</v>
      </c>
      <c r="E236" s="2">
        <v>1060</v>
      </c>
      <c r="F236" s="2">
        <v>1060</v>
      </c>
      <c r="G236" s="3">
        <v>43295</v>
      </c>
      <c r="H236" s="4">
        <v>0.46873842592593001</v>
      </c>
      <c r="I236" s="3">
        <v>43295</v>
      </c>
      <c r="J236" s="4">
        <v>0.68957175925925995</v>
      </c>
      <c r="K236" s="2">
        <v>0</v>
      </c>
      <c r="L236" t="s">
        <v>5856</v>
      </c>
      <c r="M236" t="s">
        <v>6955</v>
      </c>
      <c r="N236" s="3">
        <v>43294</v>
      </c>
      <c r="O236" s="3">
        <v>43297</v>
      </c>
      <c r="P236" t="s">
        <v>5889</v>
      </c>
      <c r="Q236" t="s">
        <v>8992</v>
      </c>
      <c r="R236" t="s">
        <v>6036</v>
      </c>
      <c r="S236" s="3">
        <v>43294</v>
      </c>
      <c r="T236" t="s">
        <v>9938</v>
      </c>
      <c r="U236" t="s">
        <v>6747</v>
      </c>
      <c r="V236" t="s">
        <v>6748</v>
      </c>
      <c r="W236" t="s">
        <v>5857</v>
      </c>
      <c r="X236" s="2">
        <v>200</v>
      </c>
      <c r="Y236" t="s">
        <v>5858</v>
      </c>
      <c r="Z236" t="s">
        <v>6037</v>
      </c>
      <c r="AA236" s="2">
        <v>1000</v>
      </c>
      <c r="AB236" t="s">
        <v>5863</v>
      </c>
      <c r="AC236" t="s">
        <v>9978</v>
      </c>
      <c r="AD236" s="32">
        <v>43262</v>
      </c>
      <c r="AJ236" t="s">
        <v>9958</v>
      </c>
      <c r="AL236" t="s">
        <v>13861</v>
      </c>
    </row>
    <row r="237" spans="1:38">
      <c r="A237" t="s">
        <v>6920</v>
      </c>
      <c r="B237" t="s">
        <v>11718</v>
      </c>
      <c r="C237" t="s">
        <v>7092</v>
      </c>
      <c r="D237" t="s">
        <v>7093</v>
      </c>
      <c r="E237" s="2">
        <v>30</v>
      </c>
      <c r="F237" s="2">
        <v>530</v>
      </c>
      <c r="G237" s="3">
        <v>43295</v>
      </c>
      <c r="H237" s="4">
        <v>0.47384259259258998</v>
      </c>
      <c r="I237" s="3">
        <v>43295</v>
      </c>
      <c r="J237" s="4">
        <v>0.58425925925926003</v>
      </c>
      <c r="K237" s="2">
        <v>0</v>
      </c>
      <c r="L237" t="s">
        <v>5856</v>
      </c>
      <c r="M237" t="s">
        <v>6930</v>
      </c>
      <c r="N237" s="3">
        <v>43294</v>
      </c>
      <c r="O237" s="3">
        <v>43297</v>
      </c>
      <c r="P237" t="s">
        <v>7094</v>
      </c>
      <c r="Q237" t="s">
        <v>6038</v>
      </c>
      <c r="R237" t="s">
        <v>6039</v>
      </c>
      <c r="S237" s="3"/>
      <c r="T237" t="s">
        <v>9938</v>
      </c>
      <c r="U237" t="s">
        <v>5961</v>
      </c>
      <c r="V237" t="s">
        <v>7095</v>
      </c>
      <c r="W237" t="s">
        <v>6038</v>
      </c>
      <c r="X237" s="2">
        <v>200</v>
      </c>
      <c r="Y237" t="s">
        <v>5858</v>
      </c>
      <c r="Z237" t="s">
        <v>6037</v>
      </c>
      <c r="AA237" s="2">
        <v>0</v>
      </c>
      <c r="AB237" t="s">
        <v>5859</v>
      </c>
      <c r="AC237" t="s">
        <v>9976</v>
      </c>
      <c r="AD237" s="32">
        <v>43273</v>
      </c>
      <c r="AJ237" t="s">
        <v>9958</v>
      </c>
      <c r="AL237" t="s">
        <v>10605</v>
      </c>
    </row>
    <row r="238" spans="1:38">
      <c r="A238" t="s">
        <v>6920</v>
      </c>
      <c r="B238" t="s">
        <v>12922</v>
      </c>
      <c r="C238" t="s">
        <v>9697</v>
      </c>
      <c r="D238" t="s">
        <v>9698</v>
      </c>
      <c r="E238" s="2">
        <v>500</v>
      </c>
      <c r="F238" s="2">
        <v>500</v>
      </c>
      <c r="G238" s="3">
        <v>43295</v>
      </c>
      <c r="H238" s="4">
        <v>0.58425925925926003</v>
      </c>
      <c r="I238" s="3">
        <v>43295</v>
      </c>
      <c r="J238" s="4">
        <v>0.68842592592592999</v>
      </c>
      <c r="K238" s="2">
        <v>0</v>
      </c>
      <c r="L238" t="s">
        <v>5856</v>
      </c>
      <c r="M238" t="s">
        <v>6984</v>
      </c>
      <c r="N238" s="3">
        <v>43298</v>
      </c>
      <c r="O238" s="3">
        <v>43297</v>
      </c>
      <c r="P238" t="s">
        <v>7094</v>
      </c>
      <c r="Q238" t="s">
        <v>9699</v>
      </c>
      <c r="R238" t="s">
        <v>6036</v>
      </c>
      <c r="S238" s="3">
        <v>43298</v>
      </c>
      <c r="T238" t="s">
        <v>9938</v>
      </c>
      <c r="U238" t="s">
        <v>6582</v>
      </c>
      <c r="V238" t="s">
        <v>9700</v>
      </c>
      <c r="W238" t="s">
        <v>6038</v>
      </c>
      <c r="X238" s="2">
        <v>200</v>
      </c>
      <c r="Y238" t="s">
        <v>5858</v>
      </c>
      <c r="Z238" t="s">
        <v>6037</v>
      </c>
      <c r="AA238" s="2">
        <v>500</v>
      </c>
      <c r="AB238" t="s">
        <v>5863</v>
      </c>
      <c r="AC238" t="s">
        <v>9976</v>
      </c>
      <c r="AD238" s="32">
        <v>43280</v>
      </c>
      <c r="AJ238" t="s">
        <v>9958</v>
      </c>
      <c r="AL238" t="s">
        <v>13862</v>
      </c>
    </row>
    <row r="239" spans="1:38">
      <c r="A239" t="s">
        <v>6920</v>
      </c>
      <c r="B239" t="s">
        <v>11703</v>
      </c>
      <c r="C239" t="s">
        <v>7026</v>
      </c>
      <c r="D239" t="s">
        <v>7027</v>
      </c>
      <c r="E239" s="2">
        <v>1060</v>
      </c>
      <c r="F239" s="2">
        <v>1060</v>
      </c>
      <c r="G239" s="3">
        <v>43295</v>
      </c>
      <c r="H239" s="4">
        <v>0.70925925925926003</v>
      </c>
      <c r="I239" s="3">
        <v>43295</v>
      </c>
      <c r="J239" s="4">
        <v>0.93009259259259003</v>
      </c>
      <c r="K239" s="2">
        <v>20</v>
      </c>
      <c r="L239" t="s">
        <v>5856</v>
      </c>
      <c r="M239" t="s">
        <v>6955</v>
      </c>
      <c r="N239" s="3">
        <v>43292</v>
      </c>
      <c r="O239" s="3">
        <v>43297</v>
      </c>
      <c r="P239" t="s">
        <v>5994</v>
      </c>
      <c r="Q239" t="s">
        <v>7028</v>
      </c>
      <c r="R239" t="s">
        <v>6036</v>
      </c>
      <c r="S239" s="3">
        <v>43292</v>
      </c>
      <c r="T239" t="s">
        <v>9938</v>
      </c>
      <c r="U239" t="s">
        <v>7029</v>
      </c>
      <c r="V239" t="s">
        <v>7030</v>
      </c>
      <c r="W239" t="s">
        <v>5857</v>
      </c>
      <c r="X239" s="2">
        <v>0</v>
      </c>
      <c r="Y239" t="s">
        <v>5858</v>
      </c>
      <c r="Z239" t="s">
        <v>6037</v>
      </c>
      <c r="AA239" s="2">
        <v>1000</v>
      </c>
      <c r="AB239" t="s">
        <v>5863</v>
      </c>
      <c r="AC239" t="s">
        <v>9974</v>
      </c>
      <c r="AD239" s="32">
        <v>43264</v>
      </c>
      <c r="AJ239" t="s">
        <v>9958</v>
      </c>
      <c r="AL239" t="s">
        <v>10595</v>
      </c>
    </row>
    <row r="240" spans="1:38">
      <c r="A240" t="s">
        <v>6920</v>
      </c>
      <c r="B240" t="s">
        <v>11712</v>
      </c>
      <c r="C240" t="s">
        <v>6081</v>
      </c>
      <c r="D240" t="s">
        <v>5988</v>
      </c>
      <c r="E240" s="2">
        <v>1000</v>
      </c>
      <c r="F240" s="2">
        <v>1000</v>
      </c>
      <c r="G240" s="3">
        <v>43296</v>
      </c>
      <c r="H240" s="4">
        <v>0.13186342592593001</v>
      </c>
      <c r="I240" s="3">
        <v>43296</v>
      </c>
      <c r="J240" s="4">
        <v>0.34019675925926002</v>
      </c>
      <c r="K240" s="2">
        <v>0</v>
      </c>
      <c r="L240" t="s">
        <v>5856</v>
      </c>
      <c r="M240" t="s">
        <v>6931</v>
      </c>
      <c r="N240" s="3">
        <v>43297</v>
      </c>
      <c r="O240" s="3">
        <v>43298</v>
      </c>
      <c r="P240" t="s">
        <v>5964</v>
      </c>
      <c r="Q240" t="s">
        <v>7068</v>
      </c>
      <c r="R240" t="s">
        <v>6036</v>
      </c>
      <c r="S240" s="3">
        <v>43297</v>
      </c>
      <c r="T240" t="s">
        <v>9938</v>
      </c>
      <c r="U240" t="s">
        <v>5989</v>
      </c>
      <c r="V240" t="s">
        <v>6041</v>
      </c>
      <c r="W240" t="s">
        <v>5857</v>
      </c>
      <c r="X240" s="2">
        <v>200</v>
      </c>
      <c r="Y240" t="s">
        <v>5858</v>
      </c>
      <c r="Z240" t="s">
        <v>6037</v>
      </c>
      <c r="AA240" s="2">
        <v>1000</v>
      </c>
      <c r="AB240" t="s">
        <v>5863</v>
      </c>
      <c r="AC240" t="s">
        <v>9978</v>
      </c>
      <c r="AD240" s="32">
        <v>43265</v>
      </c>
      <c r="AJ240" t="s">
        <v>9958</v>
      </c>
      <c r="AL240" t="s">
        <v>10600</v>
      </c>
    </row>
    <row r="241" spans="1:38">
      <c r="A241" t="s">
        <v>6920</v>
      </c>
      <c r="B241" t="s">
        <v>11713</v>
      </c>
      <c r="C241" t="s">
        <v>7071</v>
      </c>
      <c r="D241" t="s">
        <v>7072</v>
      </c>
      <c r="E241" s="2">
        <v>530</v>
      </c>
      <c r="F241" s="2">
        <v>530</v>
      </c>
      <c r="G241" s="3">
        <v>43296</v>
      </c>
      <c r="H241" s="4">
        <v>0.36103009259259</v>
      </c>
      <c r="I241" s="3">
        <v>43296</v>
      </c>
      <c r="J241" s="4">
        <v>0.47144675925926</v>
      </c>
      <c r="K241" s="2">
        <v>0</v>
      </c>
      <c r="L241" t="s">
        <v>5856</v>
      </c>
      <c r="M241" t="s">
        <v>6930</v>
      </c>
      <c r="N241" s="3">
        <v>43293</v>
      </c>
      <c r="O241" s="3">
        <v>43298</v>
      </c>
      <c r="P241" t="s">
        <v>6868</v>
      </c>
      <c r="Q241" t="s">
        <v>7073</v>
      </c>
      <c r="R241" t="s">
        <v>6036</v>
      </c>
      <c r="S241" s="3">
        <v>43293</v>
      </c>
      <c r="T241" t="s">
        <v>9938</v>
      </c>
      <c r="U241" t="s">
        <v>5917</v>
      </c>
      <c r="V241" t="s">
        <v>7074</v>
      </c>
      <c r="W241" t="s">
        <v>6038</v>
      </c>
      <c r="X241" s="2">
        <v>200</v>
      </c>
      <c r="Y241" t="s">
        <v>5858</v>
      </c>
      <c r="Z241" t="s">
        <v>6037</v>
      </c>
      <c r="AA241" s="2">
        <v>500</v>
      </c>
      <c r="AB241" t="s">
        <v>5859</v>
      </c>
      <c r="AC241" t="s">
        <v>9976</v>
      </c>
      <c r="AD241" s="32">
        <v>43273</v>
      </c>
      <c r="AJ241" t="s">
        <v>9958</v>
      </c>
      <c r="AL241" t="s">
        <v>13863</v>
      </c>
    </row>
    <row r="242" spans="1:38">
      <c r="A242" t="s">
        <v>6920</v>
      </c>
      <c r="B242" t="s">
        <v>12440</v>
      </c>
      <c r="C242" t="s">
        <v>8945</v>
      </c>
      <c r="D242" t="s">
        <v>8946</v>
      </c>
      <c r="E242" s="2">
        <v>1060</v>
      </c>
      <c r="F242" s="2">
        <v>1060</v>
      </c>
      <c r="G242" s="3">
        <v>43296</v>
      </c>
      <c r="H242" s="4">
        <v>0.49228009259258998</v>
      </c>
      <c r="I242" s="3">
        <v>43296</v>
      </c>
      <c r="J242" s="4">
        <v>0.71311342592592997</v>
      </c>
      <c r="K242" s="2">
        <v>20</v>
      </c>
      <c r="L242" t="s">
        <v>5856</v>
      </c>
      <c r="M242" t="s">
        <v>6955</v>
      </c>
      <c r="N242" s="3">
        <v>43292</v>
      </c>
      <c r="O242" s="3">
        <v>43298</v>
      </c>
      <c r="P242" t="s">
        <v>6026</v>
      </c>
      <c r="Q242" t="s">
        <v>8986</v>
      </c>
      <c r="R242" t="s">
        <v>6036</v>
      </c>
      <c r="S242" s="3">
        <v>43292</v>
      </c>
      <c r="T242" t="s">
        <v>9938</v>
      </c>
      <c r="U242" t="s">
        <v>5961</v>
      </c>
      <c r="V242" t="s">
        <v>8948</v>
      </c>
      <c r="W242" t="s">
        <v>5857</v>
      </c>
      <c r="X242" s="2">
        <v>200</v>
      </c>
      <c r="Y242" t="s">
        <v>5858</v>
      </c>
      <c r="Z242" t="s">
        <v>6037</v>
      </c>
      <c r="AA242" s="2">
        <v>1000</v>
      </c>
      <c r="AB242" t="s">
        <v>5863</v>
      </c>
      <c r="AC242" t="s">
        <v>9976</v>
      </c>
      <c r="AD242" s="32">
        <v>43263</v>
      </c>
      <c r="AJ242" t="s">
        <v>9958</v>
      </c>
      <c r="AL242" t="s">
        <v>13864</v>
      </c>
    </row>
    <row r="243" spans="1:38">
      <c r="A243" t="s">
        <v>6920</v>
      </c>
      <c r="B243" t="s">
        <v>11708</v>
      </c>
      <c r="C243" t="s">
        <v>7056</v>
      </c>
      <c r="D243" t="s">
        <v>7057</v>
      </c>
      <c r="E243" s="2">
        <v>1000</v>
      </c>
      <c r="F243" s="2">
        <v>1000</v>
      </c>
      <c r="G243" s="3">
        <v>43296</v>
      </c>
      <c r="H243" s="4">
        <v>0.79644675925926001</v>
      </c>
      <c r="I243" s="3">
        <v>43297</v>
      </c>
      <c r="J243" s="4">
        <v>4.7800925925900002E-3</v>
      </c>
      <c r="K243" s="2">
        <v>0</v>
      </c>
      <c r="L243" t="s">
        <v>5856</v>
      </c>
      <c r="M243" t="s">
        <v>6931</v>
      </c>
      <c r="N243" s="3">
        <v>43293</v>
      </c>
      <c r="O243" s="3">
        <v>43299</v>
      </c>
      <c r="P243" t="s">
        <v>5889</v>
      </c>
      <c r="Q243" t="s">
        <v>7058</v>
      </c>
      <c r="R243" t="s">
        <v>6036</v>
      </c>
      <c r="S243" s="3">
        <v>43293</v>
      </c>
      <c r="T243" t="s">
        <v>9938</v>
      </c>
      <c r="U243" t="s">
        <v>5987</v>
      </c>
      <c r="V243" t="s">
        <v>7059</v>
      </c>
      <c r="W243" t="s">
        <v>5857</v>
      </c>
      <c r="X243" s="2">
        <v>200</v>
      </c>
      <c r="Y243" t="s">
        <v>5858</v>
      </c>
      <c r="Z243" t="s">
        <v>6037</v>
      </c>
      <c r="AA243" s="2">
        <v>1000</v>
      </c>
      <c r="AB243" t="s">
        <v>5863</v>
      </c>
      <c r="AC243" t="s">
        <v>9978</v>
      </c>
      <c r="AD243" s="32">
        <v>43265</v>
      </c>
      <c r="AJ243" t="s">
        <v>9958</v>
      </c>
      <c r="AL243" t="s">
        <v>10598</v>
      </c>
    </row>
    <row r="244" spans="1:38">
      <c r="A244" t="s">
        <v>6920</v>
      </c>
      <c r="B244" t="s">
        <v>12379</v>
      </c>
      <c r="C244" t="s">
        <v>8796</v>
      </c>
      <c r="D244" t="s">
        <v>8797</v>
      </c>
      <c r="E244" s="2">
        <v>530</v>
      </c>
      <c r="F244" s="2">
        <v>530</v>
      </c>
      <c r="G244" s="3">
        <v>43297</v>
      </c>
      <c r="H244" s="4">
        <v>0.16238425925926001</v>
      </c>
      <c r="I244" s="3">
        <v>43297</v>
      </c>
      <c r="J244" s="4">
        <v>0.27280092592593003</v>
      </c>
      <c r="K244" s="2">
        <v>20</v>
      </c>
      <c r="L244" t="s">
        <v>5856</v>
      </c>
      <c r="M244" t="s">
        <v>6930</v>
      </c>
      <c r="N244" s="3">
        <v>43298</v>
      </c>
      <c r="O244" s="3">
        <v>43299</v>
      </c>
      <c r="P244" t="s">
        <v>5960</v>
      </c>
      <c r="Q244" t="s">
        <v>8799</v>
      </c>
      <c r="R244" t="s">
        <v>6036</v>
      </c>
      <c r="S244" s="3">
        <v>43298</v>
      </c>
      <c r="T244" t="s">
        <v>9938</v>
      </c>
      <c r="U244" t="s">
        <v>6582</v>
      </c>
      <c r="V244" t="s">
        <v>8800</v>
      </c>
      <c r="W244" t="s">
        <v>5857</v>
      </c>
      <c r="X244" s="2">
        <v>200</v>
      </c>
      <c r="Y244" t="s">
        <v>5858</v>
      </c>
      <c r="Z244" t="s">
        <v>6037</v>
      </c>
      <c r="AA244" s="2">
        <v>500</v>
      </c>
      <c r="AB244" t="s">
        <v>5863</v>
      </c>
      <c r="AC244" t="s">
        <v>9976</v>
      </c>
      <c r="AD244" s="32">
        <v>43277</v>
      </c>
      <c r="AJ244" t="s">
        <v>9958</v>
      </c>
      <c r="AL244" t="s">
        <v>13865</v>
      </c>
    </row>
    <row r="245" spans="1:38">
      <c r="A245" t="s">
        <v>6920</v>
      </c>
      <c r="B245" t="s">
        <v>11717</v>
      </c>
      <c r="C245" t="s">
        <v>7087</v>
      </c>
      <c r="D245" t="s">
        <v>7088</v>
      </c>
      <c r="E245" s="5">
        <v>19.5</v>
      </c>
      <c r="F245" s="5">
        <v>344.5</v>
      </c>
      <c r="G245" s="3">
        <v>43297</v>
      </c>
      <c r="H245" s="4">
        <v>0.42488425925925999</v>
      </c>
      <c r="I245" s="3">
        <v>43297</v>
      </c>
      <c r="J245" s="4">
        <v>0.49665509259259</v>
      </c>
      <c r="K245" s="2">
        <v>0</v>
      </c>
      <c r="L245" t="s">
        <v>5856</v>
      </c>
      <c r="M245" t="s">
        <v>7089</v>
      </c>
      <c r="N245" s="3">
        <v>43293</v>
      </c>
      <c r="O245" s="3">
        <v>43299</v>
      </c>
      <c r="P245" t="s">
        <v>7090</v>
      </c>
      <c r="Q245" t="s">
        <v>6038</v>
      </c>
      <c r="R245" t="s">
        <v>6039</v>
      </c>
      <c r="S245" s="3"/>
      <c r="T245" t="s">
        <v>9938</v>
      </c>
      <c r="U245" t="s">
        <v>7046</v>
      </c>
      <c r="V245" t="s">
        <v>7091</v>
      </c>
      <c r="W245" t="s">
        <v>5857</v>
      </c>
      <c r="X245" s="2">
        <v>200</v>
      </c>
      <c r="Y245" t="s">
        <v>5858</v>
      </c>
      <c r="Z245" t="s">
        <v>6037</v>
      </c>
      <c r="AA245" s="2">
        <v>0</v>
      </c>
      <c r="AB245" t="s">
        <v>5859</v>
      </c>
      <c r="AC245" t="s">
        <v>9976</v>
      </c>
      <c r="AD245" s="32">
        <v>43273</v>
      </c>
      <c r="AJ245" t="s">
        <v>9958</v>
      </c>
      <c r="AL245" t="s">
        <v>10604</v>
      </c>
    </row>
    <row r="246" spans="1:38">
      <c r="A246" t="s">
        <v>6920</v>
      </c>
      <c r="B246" t="s">
        <v>11709</v>
      </c>
      <c r="C246" t="s">
        <v>7060</v>
      </c>
      <c r="D246" t="s">
        <v>7061</v>
      </c>
      <c r="E246" s="2">
        <v>1000</v>
      </c>
      <c r="F246" s="2">
        <v>1000</v>
      </c>
      <c r="G246" s="3">
        <v>43297</v>
      </c>
      <c r="H246" s="4">
        <v>0.51748842592593003</v>
      </c>
      <c r="I246" s="3">
        <v>43297</v>
      </c>
      <c r="J246" s="4">
        <v>0.72582175925925996</v>
      </c>
      <c r="K246" s="2">
        <v>0</v>
      </c>
      <c r="L246" t="s">
        <v>5856</v>
      </c>
      <c r="M246" t="s">
        <v>6931</v>
      </c>
      <c r="N246" s="3">
        <v>43293</v>
      </c>
      <c r="O246" s="3">
        <v>43299</v>
      </c>
      <c r="P246" t="s">
        <v>5904</v>
      </c>
      <c r="Q246" t="s">
        <v>7062</v>
      </c>
      <c r="R246" t="s">
        <v>6036</v>
      </c>
      <c r="S246" s="3">
        <v>43293</v>
      </c>
      <c r="T246" t="s">
        <v>9938</v>
      </c>
      <c r="U246" t="s">
        <v>6593</v>
      </c>
      <c r="V246" t="s">
        <v>5899</v>
      </c>
      <c r="W246" t="s">
        <v>5857</v>
      </c>
      <c r="X246" s="2">
        <v>200</v>
      </c>
      <c r="Y246" t="s">
        <v>5858</v>
      </c>
      <c r="Z246" t="s">
        <v>6037</v>
      </c>
      <c r="AA246" s="2">
        <v>1000</v>
      </c>
      <c r="AB246" t="s">
        <v>5863</v>
      </c>
      <c r="AC246" t="s">
        <v>9974</v>
      </c>
      <c r="AD246" s="32">
        <v>43265</v>
      </c>
      <c r="AJ246" t="s">
        <v>9958</v>
      </c>
      <c r="AL246" t="s">
        <v>10599</v>
      </c>
    </row>
    <row r="247" spans="1:38">
      <c r="A247" t="s">
        <v>6920</v>
      </c>
      <c r="B247" t="s">
        <v>12588</v>
      </c>
      <c r="C247" t="s">
        <v>9425</v>
      </c>
      <c r="D247" t="s">
        <v>9426</v>
      </c>
      <c r="E247" s="2">
        <v>1060</v>
      </c>
      <c r="F247" s="2">
        <v>1060</v>
      </c>
      <c r="G247" s="3">
        <v>43297</v>
      </c>
      <c r="H247" s="4">
        <v>0.74665509259259</v>
      </c>
      <c r="I247" s="3">
        <v>43297</v>
      </c>
      <c r="J247" s="4">
        <v>0.96748842592592998</v>
      </c>
      <c r="K247" s="2">
        <v>20</v>
      </c>
      <c r="L247" t="s">
        <v>5856</v>
      </c>
      <c r="M247" t="s">
        <v>6955</v>
      </c>
      <c r="N247" s="3">
        <v>43298</v>
      </c>
      <c r="O247" s="3">
        <v>43299</v>
      </c>
      <c r="P247" t="s">
        <v>6591</v>
      </c>
      <c r="Q247" t="s">
        <v>9428</v>
      </c>
      <c r="R247" t="s">
        <v>6036</v>
      </c>
      <c r="S247" s="3">
        <v>43298</v>
      </c>
      <c r="T247" t="s">
        <v>9938</v>
      </c>
      <c r="U247" t="s">
        <v>7024</v>
      </c>
      <c r="V247" t="s">
        <v>9429</v>
      </c>
      <c r="W247" t="s">
        <v>5857</v>
      </c>
      <c r="X247" s="2">
        <v>200</v>
      </c>
      <c r="Y247" t="s">
        <v>5858</v>
      </c>
      <c r="Z247" t="s">
        <v>6037</v>
      </c>
      <c r="AA247" s="2">
        <v>1000</v>
      </c>
      <c r="AB247" t="s">
        <v>5863</v>
      </c>
      <c r="AC247" t="s">
        <v>9974</v>
      </c>
      <c r="AD247" s="32">
        <v>43241</v>
      </c>
      <c r="AJ247" t="s">
        <v>9958</v>
      </c>
      <c r="AL247" t="s">
        <v>13866</v>
      </c>
    </row>
    <row r="248" spans="1:38">
      <c r="A248" t="s">
        <v>6920</v>
      </c>
      <c r="B248" t="s">
        <v>12383</v>
      </c>
      <c r="C248" t="s">
        <v>8812</v>
      </c>
      <c r="D248" t="s">
        <v>8813</v>
      </c>
      <c r="E248" s="2">
        <v>530</v>
      </c>
      <c r="F248" s="2">
        <v>530</v>
      </c>
      <c r="G248" s="3">
        <v>43297</v>
      </c>
      <c r="H248" s="4">
        <v>0.98832175925926002</v>
      </c>
      <c r="I248" s="3">
        <v>43298</v>
      </c>
      <c r="J248" s="4">
        <v>9.8738425925930004E-2</v>
      </c>
      <c r="K248" s="2">
        <v>0</v>
      </c>
      <c r="L248" t="s">
        <v>5856</v>
      </c>
      <c r="M248" t="s">
        <v>6930</v>
      </c>
      <c r="N248" s="3">
        <v>43298</v>
      </c>
      <c r="O248" s="3">
        <v>43300</v>
      </c>
      <c r="P248" t="s">
        <v>5883</v>
      </c>
      <c r="Q248" t="s">
        <v>8814</v>
      </c>
      <c r="R248" t="s">
        <v>6036</v>
      </c>
      <c r="S248" s="3">
        <v>43298</v>
      </c>
      <c r="T248" t="s">
        <v>9938</v>
      </c>
      <c r="U248" t="s">
        <v>5894</v>
      </c>
      <c r="V248" t="s">
        <v>8815</v>
      </c>
      <c r="W248" t="s">
        <v>5857</v>
      </c>
      <c r="X248" s="2">
        <v>200</v>
      </c>
      <c r="Y248" t="s">
        <v>5858</v>
      </c>
      <c r="Z248" t="s">
        <v>6037</v>
      </c>
      <c r="AA248" s="2">
        <v>500</v>
      </c>
      <c r="AB248" t="s">
        <v>5863</v>
      </c>
      <c r="AC248" t="s">
        <v>9978</v>
      </c>
      <c r="AD248" s="32">
        <v>43270</v>
      </c>
      <c r="AJ248" t="s">
        <v>9958</v>
      </c>
      <c r="AL248" t="s">
        <v>13867</v>
      </c>
    </row>
    <row r="249" spans="1:38">
      <c r="A249" t="s">
        <v>6920</v>
      </c>
      <c r="B249" t="s">
        <v>11719</v>
      </c>
      <c r="C249" t="s">
        <v>7096</v>
      </c>
      <c r="D249" t="s">
        <v>7097</v>
      </c>
      <c r="E249" s="2">
        <v>300</v>
      </c>
      <c r="F249" s="2">
        <v>300</v>
      </c>
      <c r="G249" s="3">
        <v>43298</v>
      </c>
      <c r="H249" s="4">
        <v>0.11957175925926</v>
      </c>
      <c r="I249" s="3">
        <v>43298</v>
      </c>
      <c r="J249" s="4">
        <v>0.18207175925926</v>
      </c>
      <c r="K249" s="2">
        <v>0</v>
      </c>
      <c r="L249" t="s">
        <v>5856</v>
      </c>
      <c r="M249" t="s">
        <v>6942</v>
      </c>
      <c r="N249" s="3">
        <v>43298</v>
      </c>
      <c r="O249" s="3">
        <v>43300</v>
      </c>
      <c r="P249" t="s">
        <v>5951</v>
      </c>
      <c r="Q249" t="s">
        <v>7098</v>
      </c>
      <c r="R249" t="s">
        <v>6036</v>
      </c>
      <c r="S249" s="3">
        <v>43298</v>
      </c>
      <c r="T249" t="s">
        <v>9938</v>
      </c>
      <c r="U249" t="s">
        <v>6052</v>
      </c>
      <c r="V249" t="s">
        <v>7099</v>
      </c>
      <c r="W249" t="s">
        <v>5857</v>
      </c>
      <c r="X249" s="2">
        <v>200</v>
      </c>
      <c r="Y249" t="s">
        <v>5858</v>
      </c>
      <c r="Z249" t="s">
        <v>6037</v>
      </c>
      <c r="AA249" s="2">
        <v>300</v>
      </c>
      <c r="AB249" t="s">
        <v>5863</v>
      </c>
      <c r="AC249" t="s">
        <v>9974</v>
      </c>
      <c r="AD249" s="32">
        <v>43270</v>
      </c>
      <c r="AJ249" t="s">
        <v>9958</v>
      </c>
      <c r="AL249" t="s">
        <v>10606</v>
      </c>
    </row>
    <row r="250" spans="1:38">
      <c r="A250" t="s">
        <v>6920</v>
      </c>
      <c r="B250" t="s">
        <v>11720</v>
      </c>
      <c r="C250" t="s">
        <v>7100</v>
      </c>
      <c r="D250" t="s">
        <v>7101</v>
      </c>
      <c r="E250" s="2">
        <v>500</v>
      </c>
      <c r="F250" s="2">
        <v>500</v>
      </c>
      <c r="G250" s="3">
        <v>43298</v>
      </c>
      <c r="H250" s="4">
        <v>0.20290509259258999</v>
      </c>
      <c r="I250" s="3">
        <v>43298</v>
      </c>
      <c r="J250" s="4">
        <v>0.30707175925926</v>
      </c>
      <c r="K250" s="2">
        <v>20</v>
      </c>
      <c r="L250" t="s">
        <v>5856</v>
      </c>
      <c r="M250" t="s">
        <v>6984</v>
      </c>
      <c r="N250" s="3">
        <v>43298</v>
      </c>
      <c r="O250" s="3">
        <v>43300</v>
      </c>
      <c r="P250" t="s">
        <v>5951</v>
      </c>
      <c r="Q250" t="s">
        <v>7102</v>
      </c>
      <c r="R250" t="s">
        <v>6036</v>
      </c>
      <c r="S250" s="3">
        <v>43298</v>
      </c>
      <c r="T250" t="s">
        <v>9938</v>
      </c>
      <c r="U250" t="s">
        <v>6064</v>
      </c>
      <c r="V250" t="s">
        <v>7103</v>
      </c>
      <c r="W250" t="s">
        <v>5857</v>
      </c>
      <c r="X250" s="2">
        <v>200</v>
      </c>
      <c r="Y250" t="s">
        <v>5858</v>
      </c>
      <c r="Z250" t="s">
        <v>6037</v>
      </c>
      <c r="AA250" s="2">
        <v>500</v>
      </c>
      <c r="AB250" t="s">
        <v>5863</v>
      </c>
      <c r="AC250" t="s">
        <v>9974</v>
      </c>
      <c r="AD250" s="32">
        <v>43270</v>
      </c>
      <c r="AI250" t="s">
        <v>9939</v>
      </c>
      <c r="AJ250" t="s">
        <v>9958</v>
      </c>
      <c r="AL250" t="s">
        <v>10607</v>
      </c>
    </row>
    <row r="251" spans="1:38">
      <c r="A251" t="s">
        <v>6920</v>
      </c>
      <c r="B251" t="s">
        <v>11721</v>
      </c>
      <c r="C251" t="s">
        <v>7104</v>
      </c>
      <c r="D251" t="s">
        <v>7105</v>
      </c>
      <c r="E251" s="2">
        <v>1000</v>
      </c>
      <c r="F251" s="2">
        <v>1000</v>
      </c>
      <c r="G251" s="3">
        <v>43298</v>
      </c>
      <c r="H251" s="4">
        <v>0.32790509259258999</v>
      </c>
      <c r="I251" s="3">
        <v>43298</v>
      </c>
      <c r="J251" s="4">
        <v>0.53623842592592996</v>
      </c>
      <c r="K251" s="2">
        <v>20</v>
      </c>
      <c r="L251" t="s">
        <v>5856</v>
      </c>
      <c r="M251" t="s">
        <v>6931</v>
      </c>
      <c r="N251" s="3">
        <v>43318</v>
      </c>
      <c r="O251" s="3">
        <v>43300</v>
      </c>
      <c r="P251" t="s">
        <v>5960</v>
      </c>
      <c r="Q251" t="s">
        <v>6599</v>
      </c>
      <c r="R251" t="s">
        <v>6036</v>
      </c>
      <c r="S251" s="3">
        <v>43298</v>
      </c>
      <c r="T251" t="s">
        <v>9938</v>
      </c>
      <c r="U251" t="s">
        <v>6600</v>
      </c>
      <c r="V251" t="s">
        <v>7106</v>
      </c>
      <c r="W251" t="s">
        <v>5857</v>
      </c>
      <c r="X251" s="2">
        <v>200</v>
      </c>
      <c r="Y251" t="s">
        <v>5858</v>
      </c>
      <c r="Z251" t="s">
        <v>6037</v>
      </c>
      <c r="AA251" s="2">
        <v>1000</v>
      </c>
      <c r="AB251" t="s">
        <v>5863</v>
      </c>
      <c r="AC251" t="s">
        <v>9976</v>
      </c>
      <c r="AD251" s="32">
        <v>43265</v>
      </c>
      <c r="AJ251" t="s">
        <v>9958</v>
      </c>
      <c r="AL251" t="s">
        <v>10608</v>
      </c>
    </row>
    <row r="252" spans="1:38">
      <c r="A252" t="s">
        <v>6920</v>
      </c>
      <c r="B252" t="s">
        <v>12454</v>
      </c>
      <c r="C252" t="s">
        <v>7403</v>
      </c>
      <c r="D252" t="s">
        <v>7404</v>
      </c>
      <c r="E252" s="2">
        <v>530</v>
      </c>
      <c r="F252" s="2">
        <v>530</v>
      </c>
      <c r="G252" s="3">
        <v>43298</v>
      </c>
      <c r="H252" s="4">
        <v>0.55707175925926</v>
      </c>
      <c r="I252" s="3">
        <v>43298</v>
      </c>
      <c r="J252" s="4">
        <v>0.66748842592593005</v>
      </c>
      <c r="K252" s="2">
        <v>20</v>
      </c>
      <c r="L252" t="s">
        <v>5856</v>
      </c>
      <c r="M252" t="s">
        <v>6930</v>
      </c>
      <c r="N252" s="3">
        <v>43297</v>
      </c>
      <c r="O252" s="3">
        <v>43300</v>
      </c>
      <c r="P252" t="s">
        <v>6868</v>
      </c>
      <c r="Q252" t="s">
        <v>9017</v>
      </c>
      <c r="R252" t="s">
        <v>6036</v>
      </c>
      <c r="S252" s="3">
        <v>43297</v>
      </c>
      <c r="T252" t="s">
        <v>9938</v>
      </c>
      <c r="U252" t="s">
        <v>7407</v>
      </c>
      <c r="V252" t="s">
        <v>7408</v>
      </c>
      <c r="W252" t="s">
        <v>5857</v>
      </c>
      <c r="X252" s="2">
        <v>200</v>
      </c>
      <c r="Y252" t="s">
        <v>5858</v>
      </c>
      <c r="Z252" t="s">
        <v>6037</v>
      </c>
      <c r="AA252" s="2">
        <v>500</v>
      </c>
      <c r="AB252" t="s">
        <v>5859</v>
      </c>
      <c r="AC252" t="s">
        <v>9976</v>
      </c>
      <c r="AD252" s="32">
        <v>43276</v>
      </c>
      <c r="AJ252" t="s">
        <v>9958</v>
      </c>
      <c r="AL252" t="s">
        <v>13868</v>
      </c>
    </row>
    <row r="253" spans="1:38">
      <c r="A253" t="s">
        <v>6920</v>
      </c>
      <c r="B253" t="s">
        <v>11722</v>
      </c>
      <c r="C253" t="s">
        <v>7107</v>
      </c>
      <c r="D253" t="s">
        <v>7108</v>
      </c>
      <c r="E253" s="2">
        <v>1000</v>
      </c>
      <c r="F253" s="2">
        <v>1000</v>
      </c>
      <c r="G253" s="3">
        <v>43298</v>
      </c>
      <c r="H253" s="4">
        <v>0.68832175925925998</v>
      </c>
      <c r="I253" s="3">
        <v>43298</v>
      </c>
      <c r="J253" s="4">
        <v>0.89665509259259002</v>
      </c>
      <c r="K253" s="2">
        <v>20</v>
      </c>
      <c r="L253" t="s">
        <v>5856</v>
      </c>
      <c r="M253" t="s">
        <v>6931</v>
      </c>
      <c r="N253" s="3">
        <v>43298</v>
      </c>
      <c r="O253" s="3">
        <v>43300</v>
      </c>
      <c r="P253" t="s">
        <v>5881</v>
      </c>
      <c r="Q253" t="s">
        <v>7109</v>
      </c>
      <c r="R253" t="s">
        <v>6036</v>
      </c>
      <c r="S253" s="3">
        <v>43298</v>
      </c>
      <c r="T253" t="s">
        <v>9938</v>
      </c>
      <c r="U253" t="s">
        <v>5893</v>
      </c>
      <c r="V253" t="s">
        <v>6838</v>
      </c>
      <c r="W253" t="s">
        <v>5857</v>
      </c>
      <c r="X253" s="2">
        <v>200</v>
      </c>
      <c r="Y253" t="s">
        <v>5858</v>
      </c>
      <c r="Z253" t="s">
        <v>6037</v>
      </c>
      <c r="AA253" s="2">
        <v>1000</v>
      </c>
      <c r="AB253" t="s">
        <v>5863</v>
      </c>
      <c r="AC253" t="s">
        <v>9978</v>
      </c>
      <c r="AD253" s="32">
        <v>43258</v>
      </c>
      <c r="AI253" t="s">
        <v>9939</v>
      </c>
      <c r="AJ253" t="s">
        <v>9958</v>
      </c>
      <c r="AL253" t="s">
        <v>10609</v>
      </c>
    </row>
    <row r="254" spans="1:38">
      <c r="A254" t="s">
        <v>6920</v>
      </c>
      <c r="B254" t="s">
        <v>11723</v>
      </c>
      <c r="C254" t="s">
        <v>7083</v>
      </c>
      <c r="D254" t="s">
        <v>7084</v>
      </c>
      <c r="E254" s="2">
        <v>500</v>
      </c>
      <c r="F254" s="2">
        <v>500</v>
      </c>
      <c r="G254" s="3">
        <v>43298</v>
      </c>
      <c r="H254" s="4">
        <v>0.91748842592593005</v>
      </c>
      <c r="I254" s="3">
        <v>43299</v>
      </c>
      <c r="J254" s="4">
        <v>2.1655092592589999E-2</v>
      </c>
      <c r="K254" s="2">
        <v>0</v>
      </c>
      <c r="L254" t="s">
        <v>5856</v>
      </c>
      <c r="M254" t="s">
        <v>6984</v>
      </c>
      <c r="N254" s="3">
        <v>43320</v>
      </c>
      <c r="O254" s="3">
        <v>43301</v>
      </c>
      <c r="P254" t="s">
        <v>5862</v>
      </c>
      <c r="Q254" t="s">
        <v>7110</v>
      </c>
      <c r="R254" t="s">
        <v>6036</v>
      </c>
      <c r="S254" s="3">
        <v>43320</v>
      </c>
      <c r="T254" t="s">
        <v>9938</v>
      </c>
      <c r="U254" t="s">
        <v>5987</v>
      </c>
      <c r="V254" t="s">
        <v>7086</v>
      </c>
      <c r="W254" t="s">
        <v>5857</v>
      </c>
      <c r="X254" s="2">
        <v>200</v>
      </c>
      <c r="Y254" t="s">
        <v>5858</v>
      </c>
      <c r="Z254" t="s">
        <v>6037</v>
      </c>
      <c r="AA254" s="2">
        <v>500</v>
      </c>
      <c r="AB254" t="s">
        <v>5863</v>
      </c>
      <c r="AC254" t="s">
        <v>9978</v>
      </c>
      <c r="AD254" s="32">
        <v>43248</v>
      </c>
      <c r="AJ254" t="s">
        <v>9958</v>
      </c>
      <c r="AL254" t="s">
        <v>10610</v>
      </c>
    </row>
    <row r="255" spans="1:38">
      <c r="A255" t="s">
        <v>6920</v>
      </c>
      <c r="B255" t="s">
        <v>11724</v>
      </c>
      <c r="C255" t="s">
        <v>7111</v>
      </c>
      <c r="D255" t="s">
        <v>7112</v>
      </c>
      <c r="E255" s="2">
        <v>500</v>
      </c>
      <c r="F255" s="2">
        <v>500</v>
      </c>
      <c r="G255" s="3">
        <v>43299</v>
      </c>
      <c r="H255" s="4">
        <v>4.2488425925930003E-2</v>
      </c>
      <c r="I255" s="3">
        <v>43299</v>
      </c>
      <c r="J255" s="4">
        <v>0.14665509259258999</v>
      </c>
      <c r="K255" s="2">
        <v>20</v>
      </c>
      <c r="L255" t="s">
        <v>5856</v>
      </c>
      <c r="M255" t="s">
        <v>6984</v>
      </c>
      <c r="N255" s="3">
        <v>43299</v>
      </c>
      <c r="O255" s="3">
        <v>43301</v>
      </c>
      <c r="P255" t="s">
        <v>5889</v>
      </c>
      <c r="Q255" t="s">
        <v>7113</v>
      </c>
      <c r="R255" t="s">
        <v>6036</v>
      </c>
      <c r="S255" s="3">
        <v>43299</v>
      </c>
      <c r="T255" t="s">
        <v>9938</v>
      </c>
      <c r="U255" t="s">
        <v>5874</v>
      </c>
      <c r="V255" t="s">
        <v>7114</v>
      </c>
      <c r="W255" t="s">
        <v>5857</v>
      </c>
      <c r="X255" s="2">
        <v>200</v>
      </c>
      <c r="Y255" t="s">
        <v>5858</v>
      </c>
      <c r="Z255" t="s">
        <v>6037</v>
      </c>
      <c r="AA255" s="2">
        <v>500</v>
      </c>
      <c r="AB255" t="s">
        <v>5863</v>
      </c>
      <c r="AC255" t="s">
        <v>9978</v>
      </c>
      <c r="AD255" s="32">
        <v>43271</v>
      </c>
      <c r="AJ255" t="s">
        <v>9958</v>
      </c>
      <c r="AL255" t="s">
        <v>10611</v>
      </c>
    </row>
    <row r="256" spans="1:38">
      <c r="A256" t="s">
        <v>6920</v>
      </c>
      <c r="B256" t="s">
        <v>11725</v>
      </c>
      <c r="C256" t="s">
        <v>7111</v>
      </c>
      <c r="D256" t="s">
        <v>7112</v>
      </c>
      <c r="E256" s="2">
        <v>500</v>
      </c>
      <c r="F256" s="2">
        <v>500</v>
      </c>
      <c r="G256" s="3">
        <v>43299</v>
      </c>
      <c r="H256" s="4">
        <v>0.16748842592593</v>
      </c>
      <c r="I256" s="3">
        <v>43299</v>
      </c>
      <c r="J256" s="4">
        <v>0.27165509259259002</v>
      </c>
      <c r="K256" s="2">
        <v>20</v>
      </c>
      <c r="L256" t="s">
        <v>5856</v>
      </c>
      <c r="M256" t="s">
        <v>6984</v>
      </c>
      <c r="N256" s="3">
        <v>43299</v>
      </c>
      <c r="O256" s="3">
        <v>43301</v>
      </c>
      <c r="P256" t="s">
        <v>5889</v>
      </c>
      <c r="Q256" t="s">
        <v>7115</v>
      </c>
      <c r="R256" t="s">
        <v>6036</v>
      </c>
      <c r="S256" s="3">
        <v>43299</v>
      </c>
      <c r="T256" t="s">
        <v>9938</v>
      </c>
      <c r="U256" t="s">
        <v>5874</v>
      </c>
      <c r="V256" t="s">
        <v>7114</v>
      </c>
      <c r="W256" t="s">
        <v>5857</v>
      </c>
      <c r="X256" s="2">
        <v>200</v>
      </c>
      <c r="Y256" t="s">
        <v>5858</v>
      </c>
      <c r="Z256" t="s">
        <v>6037</v>
      </c>
      <c r="AA256" s="2">
        <v>500</v>
      </c>
      <c r="AB256" t="s">
        <v>5863</v>
      </c>
      <c r="AC256" t="s">
        <v>9978</v>
      </c>
      <c r="AD256" s="32">
        <v>43271</v>
      </c>
      <c r="AJ256" t="s">
        <v>9958</v>
      </c>
      <c r="AL256" t="s">
        <v>10612</v>
      </c>
    </row>
    <row r="257" spans="1:38">
      <c r="A257" t="s">
        <v>6920</v>
      </c>
      <c r="B257" t="s">
        <v>11726</v>
      </c>
      <c r="C257" t="s">
        <v>7116</v>
      </c>
      <c r="D257" t="s">
        <v>7117</v>
      </c>
      <c r="E257" s="2">
        <v>1000</v>
      </c>
      <c r="F257" s="2">
        <v>1000</v>
      </c>
      <c r="G257" s="3">
        <v>43299</v>
      </c>
      <c r="H257" s="4">
        <v>0.29248842592593</v>
      </c>
      <c r="I257" s="3">
        <v>43299</v>
      </c>
      <c r="J257" s="4">
        <v>0.50082175925925998</v>
      </c>
      <c r="K257" s="2">
        <v>0</v>
      </c>
      <c r="L257" t="s">
        <v>5856</v>
      </c>
      <c r="M257" t="s">
        <v>6931</v>
      </c>
      <c r="N257" s="3">
        <v>43339</v>
      </c>
      <c r="O257" s="3">
        <v>43301</v>
      </c>
      <c r="P257" t="s">
        <v>5883</v>
      </c>
      <c r="Q257" t="s">
        <v>7118</v>
      </c>
      <c r="R257" t="s">
        <v>6036</v>
      </c>
      <c r="S257" s="3">
        <v>43339</v>
      </c>
      <c r="T257" t="s">
        <v>9938</v>
      </c>
      <c r="U257" t="s">
        <v>5893</v>
      </c>
      <c r="V257" t="s">
        <v>7119</v>
      </c>
      <c r="W257" t="s">
        <v>5857</v>
      </c>
      <c r="X257" s="2">
        <v>200</v>
      </c>
      <c r="Y257" t="s">
        <v>5858</v>
      </c>
      <c r="Z257" t="s">
        <v>6037</v>
      </c>
      <c r="AA257" s="2">
        <v>1000</v>
      </c>
      <c r="AB257" t="s">
        <v>5863</v>
      </c>
      <c r="AC257" t="s">
        <v>9978</v>
      </c>
      <c r="AD257" s="32">
        <v>43271</v>
      </c>
      <c r="AI257" t="s">
        <v>9943</v>
      </c>
      <c r="AJ257" t="s">
        <v>9958</v>
      </c>
      <c r="AL257" t="s">
        <v>10613</v>
      </c>
    </row>
    <row r="258" spans="1:38">
      <c r="A258" t="s">
        <v>6920</v>
      </c>
      <c r="B258" t="s">
        <v>11727</v>
      </c>
      <c r="C258" t="s">
        <v>6055</v>
      </c>
      <c r="D258" t="s">
        <v>5895</v>
      </c>
      <c r="E258" s="2">
        <v>1000</v>
      </c>
      <c r="F258" s="2">
        <v>1000</v>
      </c>
      <c r="G258" s="3">
        <v>43299</v>
      </c>
      <c r="H258" s="4">
        <v>0.52165509259259002</v>
      </c>
      <c r="I258" s="3">
        <v>43299</v>
      </c>
      <c r="J258" s="4">
        <v>0.72998842592593005</v>
      </c>
      <c r="K258" s="2">
        <v>0</v>
      </c>
      <c r="L258" t="s">
        <v>5856</v>
      </c>
      <c r="M258" t="s">
        <v>6931</v>
      </c>
      <c r="N258" s="3">
        <v>43285</v>
      </c>
      <c r="O258" s="3">
        <v>43301</v>
      </c>
      <c r="P258" t="s">
        <v>5883</v>
      </c>
      <c r="Q258" t="s">
        <v>7120</v>
      </c>
      <c r="R258" t="s">
        <v>6036</v>
      </c>
      <c r="S258" s="3">
        <v>43301</v>
      </c>
      <c r="T258" t="s">
        <v>9938</v>
      </c>
      <c r="U258" t="s">
        <v>5893</v>
      </c>
      <c r="V258" t="s">
        <v>5896</v>
      </c>
      <c r="W258" t="s">
        <v>5857</v>
      </c>
      <c r="X258" s="2">
        <v>0</v>
      </c>
      <c r="Y258" t="s">
        <v>5858</v>
      </c>
      <c r="Z258" t="s">
        <v>6037</v>
      </c>
      <c r="AA258" s="2">
        <v>1000</v>
      </c>
      <c r="AB258" t="s">
        <v>5861</v>
      </c>
      <c r="AC258" t="s">
        <v>9978</v>
      </c>
      <c r="AD258" s="32"/>
      <c r="AJ258" t="s">
        <v>9958</v>
      </c>
      <c r="AL258" t="s">
        <v>10614</v>
      </c>
    </row>
    <row r="259" spans="1:38">
      <c r="A259" t="s">
        <v>6920</v>
      </c>
      <c r="B259" t="s">
        <v>11728</v>
      </c>
      <c r="C259" t="s">
        <v>7060</v>
      </c>
      <c r="D259" t="s">
        <v>7061</v>
      </c>
      <c r="E259" s="2">
        <v>675</v>
      </c>
      <c r="F259" s="2">
        <v>675</v>
      </c>
      <c r="G259" s="3">
        <v>43299</v>
      </c>
      <c r="H259" s="4">
        <v>0.75082175925925998</v>
      </c>
      <c r="I259" s="3">
        <v>43299</v>
      </c>
      <c r="J259" s="4">
        <v>0.89144675925925998</v>
      </c>
      <c r="K259" s="2">
        <v>20</v>
      </c>
      <c r="L259" t="s">
        <v>5856</v>
      </c>
      <c r="M259" t="s">
        <v>7121</v>
      </c>
      <c r="N259" s="3">
        <v>43299</v>
      </c>
      <c r="O259" s="3">
        <v>43301</v>
      </c>
      <c r="P259" t="s">
        <v>5904</v>
      </c>
      <c r="Q259" t="s">
        <v>7122</v>
      </c>
      <c r="R259" t="s">
        <v>6036</v>
      </c>
      <c r="S259" s="3">
        <v>43299</v>
      </c>
      <c r="T259" t="s">
        <v>9938</v>
      </c>
      <c r="U259" t="s">
        <v>6593</v>
      </c>
      <c r="V259" t="s">
        <v>5899</v>
      </c>
      <c r="W259" t="s">
        <v>5857</v>
      </c>
      <c r="X259" s="2">
        <v>200</v>
      </c>
      <c r="Y259" t="s">
        <v>5858</v>
      </c>
      <c r="Z259" t="s">
        <v>6037</v>
      </c>
      <c r="AA259" s="2">
        <v>675</v>
      </c>
      <c r="AB259" t="s">
        <v>5863</v>
      </c>
      <c r="AC259" t="s">
        <v>9974</v>
      </c>
      <c r="AD259" s="32">
        <v>43270</v>
      </c>
      <c r="AJ259" t="s">
        <v>9958</v>
      </c>
      <c r="AL259" t="s">
        <v>10615</v>
      </c>
    </row>
    <row r="260" spans="1:38">
      <c r="A260" t="s">
        <v>6920</v>
      </c>
      <c r="B260" t="s">
        <v>12556</v>
      </c>
      <c r="C260" t="s">
        <v>9304</v>
      </c>
      <c r="D260" t="s">
        <v>9305</v>
      </c>
      <c r="E260" s="2">
        <v>318</v>
      </c>
      <c r="F260" s="2">
        <v>318</v>
      </c>
      <c r="G260" s="3">
        <v>43299</v>
      </c>
      <c r="H260" s="4">
        <v>0.91228009259259002</v>
      </c>
      <c r="I260" s="3">
        <v>43299</v>
      </c>
      <c r="J260" s="4">
        <v>0.97853009259259005</v>
      </c>
      <c r="K260" s="2">
        <v>20</v>
      </c>
      <c r="L260" t="s">
        <v>5856</v>
      </c>
      <c r="M260" t="s">
        <v>6941</v>
      </c>
      <c r="N260" s="3">
        <v>43298</v>
      </c>
      <c r="O260" s="3">
        <v>43301</v>
      </c>
      <c r="P260" t="s">
        <v>6924</v>
      </c>
      <c r="Q260" t="s">
        <v>9307</v>
      </c>
      <c r="R260" t="s">
        <v>6036</v>
      </c>
      <c r="S260" s="3">
        <v>43298</v>
      </c>
      <c r="T260" t="s">
        <v>9938</v>
      </c>
      <c r="U260" t="s">
        <v>6582</v>
      </c>
      <c r="V260" t="s">
        <v>9308</v>
      </c>
      <c r="W260" t="s">
        <v>6038</v>
      </c>
      <c r="X260" s="2">
        <v>200</v>
      </c>
      <c r="Y260" t="s">
        <v>5858</v>
      </c>
      <c r="Z260" t="s">
        <v>6037</v>
      </c>
      <c r="AA260" s="2">
        <v>300</v>
      </c>
      <c r="AB260" t="s">
        <v>5863</v>
      </c>
      <c r="AC260" t="s">
        <v>9976</v>
      </c>
      <c r="AD260" s="32">
        <v>43277</v>
      </c>
      <c r="AJ260" t="s">
        <v>9958</v>
      </c>
      <c r="AL260" t="s">
        <v>13869</v>
      </c>
    </row>
    <row r="261" spans="1:38">
      <c r="A261" t="s">
        <v>6920</v>
      </c>
      <c r="B261" t="s">
        <v>11866</v>
      </c>
      <c r="C261" t="s">
        <v>7631</v>
      </c>
      <c r="D261" t="s">
        <v>7632</v>
      </c>
      <c r="E261" s="2">
        <v>530</v>
      </c>
      <c r="F261" s="2">
        <v>530</v>
      </c>
      <c r="G261" s="3">
        <v>43299</v>
      </c>
      <c r="H261" s="4">
        <v>0.99936342592592997</v>
      </c>
      <c r="I261" s="3">
        <v>43300</v>
      </c>
      <c r="J261" s="4">
        <v>0.10978009259259</v>
      </c>
      <c r="K261" s="2">
        <v>0</v>
      </c>
      <c r="L261" t="s">
        <v>5856</v>
      </c>
      <c r="M261" t="s">
        <v>6930</v>
      </c>
      <c r="N261" s="3">
        <v>43298</v>
      </c>
      <c r="O261" s="3">
        <v>43302</v>
      </c>
      <c r="P261" t="s">
        <v>5911</v>
      </c>
      <c r="Q261" t="s">
        <v>7633</v>
      </c>
      <c r="R261" t="s">
        <v>6036</v>
      </c>
      <c r="S261" s="3">
        <v>43298</v>
      </c>
      <c r="T261" t="s">
        <v>9938</v>
      </c>
      <c r="U261" t="s">
        <v>6052</v>
      </c>
      <c r="V261" t="s">
        <v>7634</v>
      </c>
      <c r="W261" t="s">
        <v>5857</v>
      </c>
      <c r="X261" s="2">
        <v>200</v>
      </c>
      <c r="Y261" t="s">
        <v>5858</v>
      </c>
      <c r="Z261" t="s">
        <v>6037</v>
      </c>
      <c r="AA261" s="2">
        <v>500</v>
      </c>
      <c r="AB261" t="s">
        <v>5863</v>
      </c>
      <c r="AC261" t="s">
        <v>9974</v>
      </c>
      <c r="AD261" s="32">
        <v>43265</v>
      </c>
      <c r="AJ261" t="s">
        <v>9958</v>
      </c>
      <c r="AL261" t="s">
        <v>13870</v>
      </c>
    </row>
    <row r="262" spans="1:38">
      <c r="A262" t="s">
        <v>6920</v>
      </c>
      <c r="B262" t="s">
        <v>11729</v>
      </c>
      <c r="C262" t="s">
        <v>7123</v>
      </c>
      <c r="D262" t="s">
        <v>7124</v>
      </c>
      <c r="E262" s="5">
        <v>715.5</v>
      </c>
      <c r="F262" s="5">
        <v>715.5</v>
      </c>
      <c r="G262" s="3">
        <v>43300</v>
      </c>
      <c r="H262" s="4">
        <v>0.13061342592593</v>
      </c>
      <c r="I262" s="3">
        <v>43300</v>
      </c>
      <c r="J262" s="4">
        <v>0.27967592592592999</v>
      </c>
      <c r="K262" s="2">
        <v>0</v>
      </c>
      <c r="L262" t="s">
        <v>5856</v>
      </c>
      <c r="M262" t="s">
        <v>7125</v>
      </c>
      <c r="N262" s="3">
        <v>43300</v>
      </c>
      <c r="O262" s="3">
        <v>43302</v>
      </c>
      <c r="P262" t="s">
        <v>5929</v>
      </c>
      <c r="Q262" t="s">
        <v>7126</v>
      </c>
      <c r="R262" t="s">
        <v>6036</v>
      </c>
      <c r="S262" s="3">
        <v>43300</v>
      </c>
      <c r="T262" t="s">
        <v>9938</v>
      </c>
      <c r="U262" t="s">
        <v>7127</v>
      </c>
      <c r="V262" t="s">
        <v>7128</v>
      </c>
      <c r="W262" t="s">
        <v>6038</v>
      </c>
      <c r="X262" s="2">
        <v>200</v>
      </c>
      <c r="Y262" t="s">
        <v>5858</v>
      </c>
      <c r="Z262" t="s">
        <v>6037</v>
      </c>
      <c r="AA262" s="2">
        <v>675</v>
      </c>
      <c r="AB262" t="s">
        <v>5863</v>
      </c>
      <c r="AC262" t="s">
        <v>9976</v>
      </c>
      <c r="AD262" s="32">
        <v>43277</v>
      </c>
      <c r="AJ262" t="s">
        <v>9958</v>
      </c>
      <c r="AL262" t="s">
        <v>10616</v>
      </c>
    </row>
    <row r="263" spans="1:38">
      <c r="A263" t="s">
        <v>6920</v>
      </c>
      <c r="B263" t="s">
        <v>11757</v>
      </c>
      <c r="C263" t="s">
        <v>7225</v>
      </c>
      <c r="D263" t="s">
        <v>7226</v>
      </c>
      <c r="E263" s="2">
        <v>1000</v>
      </c>
      <c r="F263" s="2">
        <v>1000</v>
      </c>
      <c r="G263" s="3">
        <v>43300</v>
      </c>
      <c r="H263" s="4">
        <v>0.30050925925925998</v>
      </c>
      <c r="I263" s="3">
        <v>43300</v>
      </c>
      <c r="J263" s="4">
        <v>0.50884259259259002</v>
      </c>
      <c r="K263" s="2">
        <v>20</v>
      </c>
      <c r="L263" t="s">
        <v>5856</v>
      </c>
      <c r="M263" t="s">
        <v>6931</v>
      </c>
      <c r="N263" s="3">
        <v>43304</v>
      </c>
      <c r="O263" s="3">
        <v>43302</v>
      </c>
      <c r="P263" t="s">
        <v>6673</v>
      </c>
      <c r="Q263" t="s">
        <v>7227</v>
      </c>
      <c r="R263" t="s">
        <v>6036</v>
      </c>
      <c r="S263" s="3">
        <v>43304</v>
      </c>
      <c r="T263" t="s">
        <v>9938</v>
      </c>
      <c r="U263" t="s">
        <v>7228</v>
      </c>
      <c r="V263" t="s">
        <v>6067</v>
      </c>
      <c r="W263" t="s">
        <v>5857</v>
      </c>
      <c r="X263" s="2">
        <v>200</v>
      </c>
      <c r="Y263" t="s">
        <v>5858</v>
      </c>
      <c r="Z263" t="s">
        <v>6037</v>
      </c>
      <c r="AA263" s="2">
        <v>1000</v>
      </c>
      <c r="AB263" t="s">
        <v>5863</v>
      </c>
      <c r="AC263" t="s">
        <v>9978</v>
      </c>
      <c r="AD263" s="32">
        <v>43254</v>
      </c>
      <c r="AI263" t="s">
        <v>9950</v>
      </c>
      <c r="AJ263" t="s">
        <v>9958</v>
      </c>
      <c r="AL263" t="s">
        <v>10646</v>
      </c>
    </row>
    <row r="264" spans="1:38">
      <c r="A264" t="s">
        <v>6920</v>
      </c>
      <c r="B264" t="s">
        <v>11730</v>
      </c>
      <c r="C264" t="s">
        <v>7129</v>
      </c>
      <c r="D264" t="s">
        <v>7130</v>
      </c>
      <c r="E264" s="2">
        <v>371</v>
      </c>
      <c r="F264" s="2">
        <v>371</v>
      </c>
      <c r="G264" s="3">
        <v>43300</v>
      </c>
      <c r="H264" s="4">
        <v>0.52967592592593005</v>
      </c>
      <c r="I264" s="3">
        <v>43300</v>
      </c>
      <c r="J264" s="4">
        <v>0.60696759259259003</v>
      </c>
      <c r="K264" s="2">
        <v>0</v>
      </c>
      <c r="L264" t="s">
        <v>5856</v>
      </c>
      <c r="M264" t="s">
        <v>7131</v>
      </c>
      <c r="N264" s="3">
        <v>43300</v>
      </c>
      <c r="O264" s="3">
        <v>43302</v>
      </c>
      <c r="P264" t="s">
        <v>5978</v>
      </c>
      <c r="Q264" t="s">
        <v>7132</v>
      </c>
      <c r="R264" t="s">
        <v>6036</v>
      </c>
      <c r="S264" s="3">
        <v>43300</v>
      </c>
      <c r="T264" t="s">
        <v>9938</v>
      </c>
      <c r="U264" t="s">
        <v>5874</v>
      </c>
      <c r="V264" t="s">
        <v>7133</v>
      </c>
      <c r="W264" t="s">
        <v>5857</v>
      </c>
      <c r="X264" s="2">
        <v>200</v>
      </c>
      <c r="Y264" t="s">
        <v>5858</v>
      </c>
      <c r="Z264" t="s">
        <v>6037</v>
      </c>
      <c r="AA264" s="2">
        <v>350</v>
      </c>
      <c r="AB264" t="s">
        <v>5863</v>
      </c>
      <c r="AC264" t="s">
        <v>9978</v>
      </c>
      <c r="AD264" s="32">
        <v>43272</v>
      </c>
      <c r="AI264" t="s">
        <v>9943</v>
      </c>
      <c r="AJ264" t="s">
        <v>9958</v>
      </c>
      <c r="AL264" t="s">
        <v>10617</v>
      </c>
    </row>
    <row r="265" spans="1:38">
      <c r="A265" t="s">
        <v>6920</v>
      </c>
      <c r="B265" t="s">
        <v>11731</v>
      </c>
      <c r="C265" t="s">
        <v>7134</v>
      </c>
      <c r="D265" t="s">
        <v>7135</v>
      </c>
      <c r="E265" s="2">
        <v>500</v>
      </c>
      <c r="F265" s="2">
        <v>500</v>
      </c>
      <c r="G265" s="3">
        <v>43300</v>
      </c>
      <c r="H265" s="4">
        <v>0.62780092592592995</v>
      </c>
      <c r="I265" s="3">
        <v>43300</v>
      </c>
      <c r="J265" s="4">
        <v>0.73196759259259003</v>
      </c>
      <c r="K265" s="2">
        <v>20</v>
      </c>
      <c r="L265" t="s">
        <v>5856</v>
      </c>
      <c r="M265" t="s">
        <v>6984</v>
      </c>
      <c r="N265" s="3">
        <v>43301</v>
      </c>
      <c r="O265" s="3">
        <v>43302</v>
      </c>
      <c r="P265" t="s">
        <v>7136</v>
      </c>
      <c r="Q265" t="s">
        <v>7137</v>
      </c>
      <c r="R265" t="s">
        <v>6036</v>
      </c>
      <c r="S265" s="3">
        <v>43301</v>
      </c>
      <c r="T265" t="s">
        <v>9938</v>
      </c>
      <c r="U265" t="s">
        <v>6052</v>
      </c>
      <c r="V265" t="s">
        <v>7138</v>
      </c>
      <c r="W265" t="s">
        <v>5857</v>
      </c>
      <c r="X265" s="2">
        <v>200</v>
      </c>
      <c r="Y265" t="s">
        <v>5858</v>
      </c>
      <c r="Z265" t="s">
        <v>6037</v>
      </c>
      <c r="AA265" s="2">
        <v>500</v>
      </c>
      <c r="AB265" t="s">
        <v>5863</v>
      </c>
      <c r="AC265" t="s">
        <v>9974</v>
      </c>
      <c r="AD265" s="32">
        <v>43273</v>
      </c>
      <c r="AJ265" t="s">
        <v>9958</v>
      </c>
      <c r="AL265" t="s">
        <v>10618</v>
      </c>
    </row>
    <row r="266" spans="1:38">
      <c r="A266" t="s">
        <v>6920</v>
      </c>
      <c r="B266" t="s">
        <v>11732</v>
      </c>
      <c r="C266" t="s">
        <v>7139</v>
      </c>
      <c r="D266" t="s">
        <v>7140</v>
      </c>
      <c r="E266" s="2">
        <v>500</v>
      </c>
      <c r="F266" s="2">
        <v>500</v>
      </c>
      <c r="G266" s="3">
        <v>43300</v>
      </c>
      <c r="H266" s="4">
        <v>0.75280092592592995</v>
      </c>
      <c r="I266" s="3">
        <v>43300</v>
      </c>
      <c r="J266" s="4">
        <v>0.85696759259259003</v>
      </c>
      <c r="K266" s="2">
        <v>20</v>
      </c>
      <c r="L266" t="s">
        <v>5856</v>
      </c>
      <c r="M266" t="s">
        <v>6984</v>
      </c>
      <c r="N266" s="3">
        <v>43283</v>
      </c>
      <c r="O266" s="3">
        <v>43302</v>
      </c>
      <c r="P266" t="s">
        <v>6026</v>
      </c>
      <c r="Q266" t="s">
        <v>7141</v>
      </c>
      <c r="R266" t="s">
        <v>6036</v>
      </c>
      <c r="S266" s="3">
        <v>43300</v>
      </c>
      <c r="T266" t="s">
        <v>9938</v>
      </c>
      <c r="U266" t="s">
        <v>5961</v>
      </c>
      <c r="V266" t="s">
        <v>7142</v>
      </c>
      <c r="W266" t="s">
        <v>5857</v>
      </c>
      <c r="X266" s="2">
        <v>200</v>
      </c>
      <c r="Y266" t="s">
        <v>5858</v>
      </c>
      <c r="Z266" t="s">
        <v>6037</v>
      </c>
      <c r="AA266" s="2">
        <v>500</v>
      </c>
      <c r="AB266" t="s">
        <v>5863</v>
      </c>
      <c r="AC266" t="s">
        <v>9976</v>
      </c>
      <c r="AD266" s="32">
        <v>43262</v>
      </c>
      <c r="AJ266" t="s">
        <v>9958</v>
      </c>
      <c r="AL266" t="s">
        <v>10619</v>
      </c>
    </row>
    <row r="267" spans="1:38">
      <c r="A267" t="s">
        <v>6920</v>
      </c>
      <c r="B267" t="s">
        <v>11733</v>
      </c>
      <c r="C267" t="s">
        <v>6739</v>
      </c>
      <c r="D267" t="s">
        <v>6740</v>
      </c>
      <c r="E267" s="2">
        <v>250</v>
      </c>
      <c r="F267" s="2">
        <v>250</v>
      </c>
      <c r="G267" s="3">
        <v>43300</v>
      </c>
      <c r="H267" s="4">
        <v>0.87780092592592995</v>
      </c>
      <c r="I267" s="3">
        <v>43300</v>
      </c>
      <c r="J267" s="4">
        <v>0.92988425925925999</v>
      </c>
      <c r="K267" s="2">
        <v>20</v>
      </c>
      <c r="L267" t="s">
        <v>5856</v>
      </c>
      <c r="M267" t="s">
        <v>7143</v>
      </c>
      <c r="N267" s="3">
        <v>43301</v>
      </c>
      <c r="O267" s="3">
        <v>43302</v>
      </c>
      <c r="P267" t="s">
        <v>5862</v>
      </c>
      <c r="Q267" t="s">
        <v>7144</v>
      </c>
      <c r="R267" t="s">
        <v>6036</v>
      </c>
      <c r="S267" s="3">
        <v>43301</v>
      </c>
      <c r="T267" t="s">
        <v>9938</v>
      </c>
      <c r="U267" t="s">
        <v>6555</v>
      </c>
      <c r="V267" t="s">
        <v>6743</v>
      </c>
      <c r="W267" t="s">
        <v>5857</v>
      </c>
      <c r="X267" s="2">
        <v>200</v>
      </c>
      <c r="Y267" t="s">
        <v>5858</v>
      </c>
      <c r="Z267" t="s">
        <v>6037</v>
      </c>
      <c r="AA267" s="2">
        <v>250</v>
      </c>
      <c r="AB267" t="s">
        <v>5863</v>
      </c>
      <c r="AC267" t="s">
        <v>9978</v>
      </c>
      <c r="AD267" s="32">
        <v>43273</v>
      </c>
      <c r="AI267" t="s">
        <v>9939</v>
      </c>
      <c r="AJ267" t="s">
        <v>9958</v>
      </c>
      <c r="AL267" t="s">
        <v>10620</v>
      </c>
    </row>
    <row r="268" spans="1:38">
      <c r="A268" t="s">
        <v>6920</v>
      </c>
      <c r="B268" t="s">
        <v>11734</v>
      </c>
      <c r="C268" t="s">
        <v>7145</v>
      </c>
      <c r="D268" t="s">
        <v>7146</v>
      </c>
      <c r="E268" s="2">
        <v>200</v>
      </c>
      <c r="F268" s="2">
        <v>200</v>
      </c>
      <c r="G268" s="3">
        <v>43300</v>
      </c>
      <c r="H268" s="4">
        <v>0.95071759259259003</v>
      </c>
      <c r="I268" s="3">
        <v>43300</v>
      </c>
      <c r="J268" s="4">
        <v>0.99238425925925999</v>
      </c>
      <c r="K268" s="2">
        <v>20</v>
      </c>
      <c r="L268" t="s">
        <v>5856</v>
      </c>
      <c r="M268" t="s">
        <v>6994</v>
      </c>
      <c r="N268" s="3">
        <v>43301</v>
      </c>
      <c r="O268" s="3">
        <v>43302</v>
      </c>
      <c r="P268" t="s">
        <v>5862</v>
      </c>
      <c r="Q268" t="s">
        <v>7147</v>
      </c>
      <c r="R268" t="s">
        <v>6036</v>
      </c>
      <c r="S268" s="3">
        <v>43301</v>
      </c>
      <c r="T268" t="s">
        <v>9938</v>
      </c>
      <c r="U268" t="s">
        <v>5894</v>
      </c>
      <c r="V268" t="s">
        <v>7148</v>
      </c>
      <c r="W268" t="s">
        <v>5857</v>
      </c>
      <c r="X268" s="2">
        <v>200</v>
      </c>
      <c r="Y268" t="s">
        <v>5858</v>
      </c>
      <c r="Z268" t="s">
        <v>6037</v>
      </c>
      <c r="AA268" s="2">
        <v>200</v>
      </c>
      <c r="AB268" t="s">
        <v>5863</v>
      </c>
      <c r="AC268" t="s">
        <v>9978</v>
      </c>
      <c r="AD268" s="32">
        <v>43273</v>
      </c>
      <c r="AJ268" t="s">
        <v>9958</v>
      </c>
      <c r="AL268" t="s">
        <v>10621</v>
      </c>
    </row>
    <row r="269" spans="1:38">
      <c r="A269" t="s">
        <v>6920</v>
      </c>
      <c r="B269" t="s">
        <v>12923</v>
      </c>
      <c r="C269" t="s">
        <v>12924</v>
      </c>
      <c r="D269" t="s">
        <v>12925</v>
      </c>
      <c r="E269" s="2">
        <v>1000</v>
      </c>
      <c r="F269" s="2">
        <v>1000</v>
      </c>
      <c r="G269" s="3">
        <v>43301</v>
      </c>
      <c r="H269" s="4">
        <v>0.36452546296296001</v>
      </c>
      <c r="I269" s="3">
        <v>43301</v>
      </c>
      <c r="J269" s="4">
        <v>0.57285879629629999</v>
      </c>
      <c r="K269" s="2">
        <v>0</v>
      </c>
      <c r="L269" t="s">
        <v>5856</v>
      </c>
      <c r="M269" t="s">
        <v>6931</v>
      </c>
      <c r="N269" s="3">
        <v>43304</v>
      </c>
      <c r="O269" s="3">
        <v>43303</v>
      </c>
      <c r="P269" t="s">
        <v>5898</v>
      </c>
      <c r="Q269" t="s">
        <v>12926</v>
      </c>
      <c r="R269" t="s">
        <v>6036</v>
      </c>
      <c r="S269" s="3">
        <v>43304</v>
      </c>
      <c r="T269" t="s">
        <v>9938</v>
      </c>
      <c r="U269" t="s">
        <v>12927</v>
      </c>
      <c r="V269" t="s">
        <v>12928</v>
      </c>
      <c r="W269" t="s">
        <v>5857</v>
      </c>
      <c r="X269" s="2">
        <v>200</v>
      </c>
      <c r="Y269" t="s">
        <v>5858</v>
      </c>
      <c r="Z269" t="s">
        <v>6037</v>
      </c>
      <c r="AA269" s="2">
        <v>1000</v>
      </c>
      <c r="AB269" t="s">
        <v>5863</v>
      </c>
      <c r="AC269" t="s">
        <v>9982</v>
      </c>
      <c r="AD269" s="32">
        <v>43279</v>
      </c>
      <c r="AJ269" t="s">
        <v>9967</v>
      </c>
      <c r="AL269" t="s">
        <v>13871</v>
      </c>
    </row>
    <row r="270" spans="1:38">
      <c r="A270" t="s">
        <v>6920</v>
      </c>
      <c r="B270" t="s">
        <v>11735</v>
      </c>
      <c r="C270" t="s">
        <v>7149</v>
      </c>
      <c r="D270" t="s">
        <v>7150</v>
      </c>
      <c r="E270" s="2">
        <v>530</v>
      </c>
      <c r="F270" s="2">
        <v>530</v>
      </c>
      <c r="G270" s="3">
        <v>43301</v>
      </c>
      <c r="H270" s="4">
        <v>0.59369212962963003</v>
      </c>
      <c r="I270" s="3">
        <v>43301</v>
      </c>
      <c r="J270" s="4">
        <v>0.70410879629629997</v>
      </c>
      <c r="K270" s="2">
        <v>0</v>
      </c>
      <c r="L270" t="s">
        <v>5856</v>
      </c>
      <c r="M270" t="s">
        <v>6930</v>
      </c>
      <c r="N270" s="3">
        <v>43304</v>
      </c>
      <c r="O270" s="3">
        <v>43303</v>
      </c>
      <c r="P270" t="s">
        <v>5883</v>
      </c>
      <c r="Q270" t="s">
        <v>7151</v>
      </c>
      <c r="R270" t="s">
        <v>6036</v>
      </c>
      <c r="S270" s="3">
        <v>43304</v>
      </c>
      <c r="T270" t="s">
        <v>9938</v>
      </c>
      <c r="U270" t="s">
        <v>5987</v>
      </c>
      <c r="V270" t="s">
        <v>7152</v>
      </c>
      <c r="W270" t="s">
        <v>5857</v>
      </c>
      <c r="X270" s="2">
        <v>200</v>
      </c>
      <c r="Y270" t="s">
        <v>5858</v>
      </c>
      <c r="Z270" t="s">
        <v>6037</v>
      </c>
      <c r="AA270" s="2">
        <v>500</v>
      </c>
      <c r="AB270" t="s">
        <v>5863</v>
      </c>
      <c r="AC270" t="s">
        <v>9978</v>
      </c>
      <c r="AD270" s="32">
        <v>43277</v>
      </c>
      <c r="AI270" t="s">
        <v>9943</v>
      </c>
      <c r="AJ270" t="s">
        <v>9958</v>
      </c>
      <c r="AL270" t="s">
        <v>10622</v>
      </c>
    </row>
    <row r="271" spans="1:38">
      <c r="A271" t="s">
        <v>6920</v>
      </c>
      <c r="B271" t="s">
        <v>12929</v>
      </c>
      <c r="C271" t="s">
        <v>9731</v>
      </c>
      <c r="D271" t="s">
        <v>9732</v>
      </c>
      <c r="E271" s="2">
        <v>530</v>
      </c>
      <c r="F271" s="2">
        <v>530</v>
      </c>
      <c r="G271" s="3">
        <v>43301</v>
      </c>
      <c r="H271" s="4">
        <v>0.61072916666666999</v>
      </c>
      <c r="I271" s="3">
        <v>43301</v>
      </c>
      <c r="J271" s="4">
        <v>0.72114583333333004</v>
      </c>
      <c r="K271" s="2">
        <v>0</v>
      </c>
      <c r="L271" t="s">
        <v>5856</v>
      </c>
      <c r="M271" t="s">
        <v>6930</v>
      </c>
      <c r="N271" s="3">
        <v>43305</v>
      </c>
      <c r="O271" s="3">
        <v>43303</v>
      </c>
      <c r="P271" t="s">
        <v>5889</v>
      </c>
      <c r="Q271" t="s">
        <v>9733</v>
      </c>
      <c r="R271" t="s">
        <v>6036</v>
      </c>
      <c r="S271" s="3">
        <v>43305</v>
      </c>
      <c r="T271" t="s">
        <v>9938</v>
      </c>
      <c r="U271" t="s">
        <v>6756</v>
      </c>
      <c r="V271" t="s">
        <v>6041</v>
      </c>
      <c r="W271" t="s">
        <v>5857</v>
      </c>
      <c r="X271" s="2">
        <v>200</v>
      </c>
      <c r="Y271" t="s">
        <v>5858</v>
      </c>
      <c r="Z271" t="s">
        <v>6037</v>
      </c>
      <c r="AA271" s="2">
        <v>500</v>
      </c>
      <c r="AB271" t="s">
        <v>5863</v>
      </c>
      <c r="AC271" t="s">
        <v>9978</v>
      </c>
      <c r="AD271" s="32">
        <v>43280</v>
      </c>
      <c r="AJ271" t="s">
        <v>9958</v>
      </c>
      <c r="AL271" t="s">
        <v>13872</v>
      </c>
    </row>
    <row r="272" spans="1:38">
      <c r="A272" t="s">
        <v>6920</v>
      </c>
      <c r="B272" t="s">
        <v>11736</v>
      </c>
      <c r="C272" t="s">
        <v>7153</v>
      </c>
      <c r="D272" t="s">
        <v>7154</v>
      </c>
      <c r="E272" s="2">
        <v>530</v>
      </c>
      <c r="F272" s="2">
        <v>530</v>
      </c>
      <c r="G272" s="3">
        <v>43301</v>
      </c>
      <c r="H272" s="4">
        <v>0.72494212962963001</v>
      </c>
      <c r="I272" s="3">
        <v>43301</v>
      </c>
      <c r="J272" s="4">
        <v>0.83535879629630005</v>
      </c>
      <c r="K272" s="2">
        <v>20</v>
      </c>
      <c r="L272" t="s">
        <v>5856</v>
      </c>
      <c r="M272" t="s">
        <v>6930</v>
      </c>
      <c r="N272" s="3">
        <v>43304</v>
      </c>
      <c r="O272" s="3">
        <v>43303</v>
      </c>
      <c r="P272" t="s">
        <v>5889</v>
      </c>
      <c r="Q272" t="s">
        <v>7155</v>
      </c>
      <c r="R272" t="s">
        <v>6036</v>
      </c>
      <c r="S272" s="3">
        <v>43304</v>
      </c>
      <c r="T272" t="s">
        <v>9938</v>
      </c>
      <c r="U272" t="s">
        <v>7156</v>
      </c>
      <c r="V272" t="s">
        <v>5860</v>
      </c>
      <c r="W272" t="s">
        <v>5857</v>
      </c>
      <c r="X272" s="2">
        <v>200</v>
      </c>
      <c r="Y272" t="s">
        <v>5858</v>
      </c>
      <c r="Z272" t="s">
        <v>6037</v>
      </c>
      <c r="AA272" s="2">
        <v>500</v>
      </c>
      <c r="AB272" t="s">
        <v>5863</v>
      </c>
      <c r="AC272" t="s">
        <v>9978</v>
      </c>
      <c r="AD272" s="32">
        <v>43276</v>
      </c>
      <c r="AJ272" t="s">
        <v>9958</v>
      </c>
      <c r="AL272" t="s">
        <v>10623</v>
      </c>
    </row>
    <row r="273" spans="1:38">
      <c r="A273" t="s">
        <v>6920</v>
      </c>
      <c r="B273" t="s">
        <v>11737</v>
      </c>
      <c r="C273" t="s">
        <v>7063</v>
      </c>
      <c r="D273" t="s">
        <v>7064</v>
      </c>
      <c r="E273" s="2">
        <v>1000</v>
      </c>
      <c r="F273" s="2">
        <v>1000</v>
      </c>
      <c r="G273" s="3">
        <v>43301</v>
      </c>
      <c r="H273" s="4">
        <v>0.85619212962962998</v>
      </c>
      <c r="I273" s="3">
        <v>43302</v>
      </c>
      <c r="J273" s="4">
        <v>6.4525462962959995E-2</v>
      </c>
      <c r="K273" s="2">
        <v>0</v>
      </c>
      <c r="L273" t="s">
        <v>5856</v>
      </c>
      <c r="M273" t="s">
        <v>6931</v>
      </c>
      <c r="N273" s="3">
        <v>43305</v>
      </c>
      <c r="O273" s="3">
        <v>43304</v>
      </c>
      <c r="P273" t="s">
        <v>5881</v>
      </c>
      <c r="Q273" t="s">
        <v>7157</v>
      </c>
      <c r="R273" t="s">
        <v>6036</v>
      </c>
      <c r="S273" s="3">
        <v>43305</v>
      </c>
      <c r="T273" t="s">
        <v>9938</v>
      </c>
      <c r="U273" t="s">
        <v>5987</v>
      </c>
      <c r="V273" t="s">
        <v>7066</v>
      </c>
      <c r="W273" t="s">
        <v>5857</v>
      </c>
      <c r="X273" s="2">
        <v>200</v>
      </c>
      <c r="Y273" t="s">
        <v>5858</v>
      </c>
      <c r="Z273" t="s">
        <v>6037</v>
      </c>
      <c r="AA273" s="2">
        <v>1000</v>
      </c>
      <c r="AB273" t="s">
        <v>5863</v>
      </c>
      <c r="AC273" t="s">
        <v>9978</v>
      </c>
      <c r="AD273" s="32">
        <v>43230</v>
      </c>
      <c r="AJ273" t="s">
        <v>9958</v>
      </c>
      <c r="AL273" t="s">
        <v>10624</v>
      </c>
    </row>
    <row r="274" spans="1:38">
      <c r="A274" t="s">
        <v>6920</v>
      </c>
      <c r="B274" t="s">
        <v>11738</v>
      </c>
      <c r="C274" t="s">
        <v>7162</v>
      </c>
      <c r="D274" t="s">
        <v>7163</v>
      </c>
      <c r="E274" s="2">
        <v>1000</v>
      </c>
      <c r="F274" s="2">
        <v>1000</v>
      </c>
      <c r="G274" s="3">
        <v>43302</v>
      </c>
      <c r="H274" s="4">
        <v>0.66666666666666996</v>
      </c>
      <c r="I274" s="3">
        <v>43302</v>
      </c>
      <c r="J274" s="4">
        <v>0.875</v>
      </c>
      <c r="K274" s="2">
        <v>20</v>
      </c>
      <c r="L274" t="s">
        <v>5856</v>
      </c>
      <c r="M274" t="s">
        <v>6931</v>
      </c>
      <c r="N274" s="3">
        <v>43305</v>
      </c>
      <c r="O274" s="3">
        <v>43304</v>
      </c>
      <c r="P274" t="s">
        <v>5889</v>
      </c>
      <c r="Q274" t="s">
        <v>7164</v>
      </c>
      <c r="R274" t="s">
        <v>6036</v>
      </c>
      <c r="S274" s="3">
        <v>43305</v>
      </c>
      <c r="T274" t="s">
        <v>9938</v>
      </c>
      <c r="U274" t="s">
        <v>6568</v>
      </c>
      <c r="V274" t="s">
        <v>6002</v>
      </c>
      <c r="W274" t="s">
        <v>5857</v>
      </c>
      <c r="X274" s="2">
        <v>200</v>
      </c>
      <c r="Y274" t="s">
        <v>5858</v>
      </c>
      <c r="Z274" t="s">
        <v>6037</v>
      </c>
      <c r="AA274" s="2">
        <v>1000</v>
      </c>
      <c r="AB274" t="s">
        <v>5863</v>
      </c>
      <c r="AC274" t="s">
        <v>9978</v>
      </c>
      <c r="AD274" s="32">
        <v>43256</v>
      </c>
      <c r="AJ274" t="s">
        <v>9958</v>
      </c>
      <c r="AL274" t="s">
        <v>10625</v>
      </c>
    </row>
    <row r="275" spans="1:38">
      <c r="A275" t="s">
        <v>6920</v>
      </c>
      <c r="B275" t="s">
        <v>6038</v>
      </c>
      <c r="C275" t="s">
        <v>12930</v>
      </c>
      <c r="D275" t="s">
        <v>12931</v>
      </c>
      <c r="E275" s="2">
        <v>1060</v>
      </c>
      <c r="F275" s="2">
        <v>1060</v>
      </c>
      <c r="G275" s="3">
        <v>43303</v>
      </c>
      <c r="H275" s="4">
        <v>1.2916666666670001E-2</v>
      </c>
      <c r="I275" s="3">
        <v>43303</v>
      </c>
      <c r="J275" s="4">
        <v>0.23375000000000001</v>
      </c>
      <c r="K275" s="2">
        <v>0</v>
      </c>
      <c r="L275" t="s">
        <v>5856</v>
      </c>
      <c r="M275" t="s">
        <v>6955</v>
      </c>
      <c r="N275" s="3"/>
      <c r="O275" s="3"/>
      <c r="P275" t="s">
        <v>6580</v>
      </c>
      <c r="Q275" t="s">
        <v>6038</v>
      </c>
      <c r="R275" t="s">
        <v>6039</v>
      </c>
      <c r="S275" s="3"/>
      <c r="T275" t="s">
        <v>9938</v>
      </c>
      <c r="U275" t="s">
        <v>5961</v>
      </c>
      <c r="V275" t="s">
        <v>13764</v>
      </c>
      <c r="W275" t="s">
        <v>6038</v>
      </c>
      <c r="X275" s="2">
        <v>0</v>
      </c>
      <c r="Y275" t="s">
        <v>5858</v>
      </c>
      <c r="Z275" t="s">
        <v>6037</v>
      </c>
      <c r="AA275" s="2">
        <v>1000</v>
      </c>
      <c r="AB275" t="s">
        <v>5915</v>
      </c>
      <c r="AD275" s="32"/>
      <c r="AJ275" t="s">
        <v>9958</v>
      </c>
      <c r="AL275" t="e">
        <v>#VALUE!</v>
      </c>
    </row>
    <row r="276" spans="1:38">
      <c r="A276" t="s">
        <v>6920</v>
      </c>
      <c r="B276" t="s">
        <v>12932</v>
      </c>
      <c r="C276" t="s">
        <v>12933</v>
      </c>
      <c r="D276" t="s">
        <v>12934</v>
      </c>
      <c r="E276" s="2">
        <v>318</v>
      </c>
      <c r="F276" s="2">
        <v>318</v>
      </c>
      <c r="G276" s="3">
        <v>43303</v>
      </c>
      <c r="H276" s="4">
        <v>0.25458333333333</v>
      </c>
      <c r="I276" s="3">
        <v>43303</v>
      </c>
      <c r="J276" s="4">
        <v>0.32083333333332997</v>
      </c>
      <c r="K276" s="2">
        <v>20</v>
      </c>
      <c r="L276" t="s">
        <v>5856</v>
      </c>
      <c r="M276" t="s">
        <v>6941</v>
      </c>
      <c r="N276" s="3">
        <v>43311</v>
      </c>
      <c r="O276" s="3">
        <v>43310</v>
      </c>
      <c r="P276" t="s">
        <v>5876</v>
      </c>
      <c r="Q276" t="s">
        <v>12935</v>
      </c>
      <c r="R276" t="s">
        <v>6036</v>
      </c>
      <c r="S276" s="3">
        <v>43311</v>
      </c>
      <c r="T276" t="s">
        <v>9938</v>
      </c>
      <c r="U276" t="s">
        <v>5877</v>
      </c>
      <c r="V276" t="s">
        <v>12936</v>
      </c>
      <c r="W276" t="s">
        <v>5857</v>
      </c>
      <c r="X276" s="2">
        <v>200</v>
      </c>
      <c r="Y276" t="s">
        <v>5858</v>
      </c>
      <c r="Z276" t="s">
        <v>6037</v>
      </c>
      <c r="AA276" s="2">
        <v>300</v>
      </c>
      <c r="AB276" t="s">
        <v>5863</v>
      </c>
      <c r="AC276" t="s">
        <v>9976</v>
      </c>
      <c r="AD276" s="32">
        <v>43283</v>
      </c>
      <c r="AJ276" t="s">
        <v>9959</v>
      </c>
      <c r="AL276" t="s">
        <v>13873</v>
      </c>
    </row>
    <row r="277" spans="1:38">
      <c r="A277" t="s">
        <v>6920</v>
      </c>
      <c r="B277" t="s">
        <v>12937</v>
      </c>
      <c r="C277" t="s">
        <v>12938</v>
      </c>
      <c r="D277" t="s">
        <v>12939</v>
      </c>
      <c r="E277" s="2">
        <v>530</v>
      </c>
      <c r="F277" s="2">
        <v>530</v>
      </c>
      <c r="G277" s="3">
        <v>43303</v>
      </c>
      <c r="H277" s="4">
        <v>0.34166666666667</v>
      </c>
      <c r="I277" s="3">
        <v>43303</v>
      </c>
      <c r="J277" s="4">
        <v>0.45208333333333001</v>
      </c>
      <c r="K277" s="2">
        <v>20</v>
      </c>
      <c r="L277" t="s">
        <v>5856</v>
      </c>
      <c r="M277" t="s">
        <v>6930</v>
      </c>
      <c r="N277" s="3">
        <v>43305</v>
      </c>
      <c r="O277" s="3">
        <v>43304</v>
      </c>
      <c r="P277" t="s">
        <v>5977</v>
      </c>
      <c r="Q277" t="s">
        <v>12940</v>
      </c>
      <c r="R277" t="s">
        <v>6036</v>
      </c>
      <c r="S277" s="3">
        <v>43305</v>
      </c>
      <c r="T277" t="s">
        <v>9938</v>
      </c>
      <c r="U277" t="s">
        <v>12858</v>
      </c>
      <c r="V277" t="s">
        <v>12941</v>
      </c>
      <c r="W277" t="s">
        <v>5857</v>
      </c>
      <c r="X277" s="2">
        <v>200</v>
      </c>
      <c r="Y277" t="s">
        <v>5858</v>
      </c>
      <c r="Z277" t="s">
        <v>6037</v>
      </c>
      <c r="AA277" s="2">
        <v>500</v>
      </c>
      <c r="AB277" t="s">
        <v>5863</v>
      </c>
      <c r="AC277" t="s">
        <v>9976</v>
      </c>
      <c r="AD277" s="32">
        <v>43280</v>
      </c>
      <c r="AJ277" t="s">
        <v>9959</v>
      </c>
      <c r="AL277" t="s">
        <v>13874</v>
      </c>
    </row>
    <row r="278" spans="1:38">
      <c r="A278" t="s">
        <v>6920</v>
      </c>
      <c r="B278" t="s">
        <v>11739</v>
      </c>
      <c r="C278" t="s">
        <v>7165</v>
      </c>
      <c r="D278" t="s">
        <v>7166</v>
      </c>
      <c r="E278" s="2">
        <v>530</v>
      </c>
      <c r="F278" s="2">
        <v>530</v>
      </c>
      <c r="G278" s="3">
        <v>43303</v>
      </c>
      <c r="H278" s="4">
        <v>0.47291666666666998</v>
      </c>
      <c r="I278" s="3">
        <v>43303</v>
      </c>
      <c r="J278" s="4">
        <v>0.58333333333333004</v>
      </c>
      <c r="K278" s="2">
        <v>20</v>
      </c>
      <c r="L278" t="s">
        <v>5856</v>
      </c>
      <c r="M278" t="s">
        <v>6930</v>
      </c>
      <c r="N278" s="3">
        <v>43306</v>
      </c>
      <c r="O278" s="3">
        <v>43305</v>
      </c>
      <c r="P278" t="s">
        <v>7167</v>
      </c>
      <c r="Q278" t="s">
        <v>7168</v>
      </c>
      <c r="R278" t="s">
        <v>6036</v>
      </c>
      <c r="S278" s="3">
        <v>43306</v>
      </c>
      <c r="T278" t="s">
        <v>9938</v>
      </c>
      <c r="U278" t="s">
        <v>5874</v>
      </c>
      <c r="V278" t="s">
        <v>7169</v>
      </c>
      <c r="W278" t="s">
        <v>5857</v>
      </c>
      <c r="X278" s="2">
        <v>200</v>
      </c>
      <c r="Y278" t="s">
        <v>5858</v>
      </c>
      <c r="Z278" t="s">
        <v>6037</v>
      </c>
      <c r="AA278" s="2">
        <v>500</v>
      </c>
      <c r="AB278" t="s">
        <v>5863</v>
      </c>
      <c r="AC278" t="s">
        <v>9978</v>
      </c>
      <c r="AD278" s="32">
        <v>43278</v>
      </c>
      <c r="AI278" t="s">
        <v>9949</v>
      </c>
      <c r="AJ278" t="s">
        <v>9958</v>
      </c>
      <c r="AL278" t="s">
        <v>10626</v>
      </c>
    </row>
    <row r="279" spans="1:38">
      <c r="A279" t="s">
        <v>6920</v>
      </c>
      <c r="B279" t="s">
        <v>11740</v>
      </c>
      <c r="C279" t="s">
        <v>7170</v>
      </c>
      <c r="D279" t="s">
        <v>7171</v>
      </c>
      <c r="E279" s="2">
        <v>500</v>
      </c>
      <c r="F279" s="2">
        <v>500</v>
      </c>
      <c r="G279" s="3">
        <v>43303</v>
      </c>
      <c r="H279" s="4">
        <v>0.60416666666666996</v>
      </c>
      <c r="I279" s="3">
        <v>43303</v>
      </c>
      <c r="J279" s="4">
        <v>0.70833333333333004</v>
      </c>
      <c r="K279" s="2">
        <v>0</v>
      </c>
      <c r="L279" t="s">
        <v>5856</v>
      </c>
      <c r="M279" t="s">
        <v>6984</v>
      </c>
      <c r="N279" s="3">
        <v>43306</v>
      </c>
      <c r="O279" s="3">
        <v>43305</v>
      </c>
      <c r="P279" t="s">
        <v>5971</v>
      </c>
      <c r="Q279" t="s">
        <v>7172</v>
      </c>
      <c r="R279" t="s">
        <v>6036</v>
      </c>
      <c r="S279" s="3">
        <v>43306</v>
      </c>
      <c r="T279" t="s">
        <v>9938</v>
      </c>
      <c r="U279" t="s">
        <v>6064</v>
      </c>
      <c r="V279" t="s">
        <v>7173</v>
      </c>
      <c r="W279" t="s">
        <v>5857</v>
      </c>
      <c r="X279" s="2">
        <v>200</v>
      </c>
      <c r="Y279" t="s">
        <v>5858</v>
      </c>
      <c r="Z279" t="s">
        <v>6037</v>
      </c>
      <c r="AA279" s="2">
        <v>500</v>
      </c>
      <c r="AB279" t="s">
        <v>5863</v>
      </c>
      <c r="AC279" t="s">
        <v>9974</v>
      </c>
      <c r="AD279" s="32">
        <v>43271</v>
      </c>
      <c r="AI279" t="s">
        <v>9949</v>
      </c>
      <c r="AJ279" t="s">
        <v>9958</v>
      </c>
      <c r="AL279" t="s">
        <v>10627</v>
      </c>
    </row>
    <row r="280" spans="1:38">
      <c r="A280" t="s">
        <v>6920</v>
      </c>
      <c r="B280" t="s">
        <v>11741</v>
      </c>
      <c r="C280" t="s">
        <v>7174</v>
      </c>
      <c r="D280" t="s">
        <v>7175</v>
      </c>
      <c r="E280" s="2">
        <v>1000</v>
      </c>
      <c r="F280" s="2">
        <v>1000</v>
      </c>
      <c r="G280" s="3">
        <v>43303</v>
      </c>
      <c r="H280" s="4">
        <v>0.72916666666666996</v>
      </c>
      <c r="I280" s="3">
        <v>43303</v>
      </c>
      <c r="J280" s="4">
        <v>0.9375</v>
      </c>
      <c r="K280" s="2">
        <v>20</v>
      </c>
      <c r="L280" t="s">
        <v>5856</v>
      </c>
      <c r="M280" t="s">
        <v>6931</v>
      </c>
      <c r="N280" s="3">
        <v>43306</v>
      </c>
      <c r="O280" s="3">
        <v>43305</v>
      </c>
      <c r="P280" t="s">
        <v>7167</v>
      </c>
      <c r="Q280" t="s">
        <v>7176</v>
      </c>
      <c r="R280" t="s">
        <v>6036</v>
      </c>
      <c r="S280" s="3">
        <v>43306</v>
      </c>
      <c r="T280" t="s">
        <v>9938</v>
      </c>
      <c r="U280" t="s">
        <v>5893</v>
      </c>
      <c r="V280" t="s">
        <v>7177</v>
      </c>
      <c r="W280" t="s">
        <v>5857</v>
      </c>
      <c r="X280" s="2">
        <v>200</v>
      </c>
      <c r="Y280" t="s">
        <v>5858</v>
      </c>
      <c r="Z280" t="s">
        <v>6037</v>
      </c>
      <c r="AA280" s="2">
        <v>1000</v>
      </c>
      <c r="AB280" t="s">
        <v>5863</v>
      </c>
      <c r="AC280" t="s">
        <v>9978</v>
      </c>
      <c r="AD280" s="32">
        <v>43270</v>
      </c>
      <c r="AI280" t="s">
        <v>9949</v>
      </c>
      <c r="AJ280" t="s">
        <v>9958</v>
      </c>
      <c r="AL280" t="s">
        <v>10628</v>
      </c>
    </row>
    <row r="281" spans="1:38">
      <c r="A281" t="s">
        <v>6920</v>
      </c>
      <c r="B281" t="s">
        <v>11742</v>
      </c>
      <c r="C281" t="s">
        <v>7170</v>
      </c>
      <c r="D281" t="s">
        <v>7171</v>
      </c>
      <c r="E281" s="2">
        <v>200</v>
      </c>
      <c r="F281" s="2">
        <v>200</v>
      </c>
      <c r="G281" s="3">
        <v>43303</v>
      </c>
      <c r="H281" s="4">
        <v>0.95833333333333004</v>
      </c>
      <c r="I281" s="3">
        <v>43304</v>
      </c>
      <c r="J281" s="4">
        <v>0</v>
      </c>
      <c r="K281" s="2">
        <v>0</v>
      </c>
      <c r="L281" t="s">
        <v>5856</v>
      </c>
      <c r="M281" t="s">
        <v>6994</v>
      </c>
      <c r="N281" s="3">
        <v>43306</v>
      </c>
      <c r="O281" s="3">
        <v>43305</v>
      </c>
      <c r="P281" t="s">
        <v>5971</v>
      </c>
      <c r="Q281" t="s">
        <v>7178</v>
      </c>
      <c r="R281" t="s">
        <v>6036</v>
      </c>
      <c r="S281" s="3">
        <v>43306</v>
      </c>
      <c r="T281" t="s">
        <v>9938</v>
      </c>
      <c r="U281" t="s">
        <v>6064</v>
      </c>
      <c r="V281" t="s">
        <v>7173</v>
      </c>
      <c r="W281" t="s">
        <v>5857</v>
      </c>
      <c r="X281" s="2">
        <v>200</v>
      </c>
      <c r="Y281" t="s">
        <v>5858</v>
      </c>
      <c r="Z281" t="s">
        <v>6037</v>
      </c>
      <c r="AA281" s="2">
        <v>200</v>
      </c>
      <c r="AB281" t="s">
        <v>5863</v>
      </c>
      <c r="AC281" t="s">
        <v>9974</v>
      </c>
      <c r="AD281" s="32">
        <v>43263</v>
      </c>
      <c r="AI281" t="s">
        <v>9949</v>
      </c>
      <c r="AJ281" t="s">
        <v>9958</v>
      </c>
      <c r="AL281" t="s">
        <v>10629</v>
      </c>
    </row>
    <row r="282" spans="1:38">
      <c r="A282" t="s">
        <v>6920</v>
      </c>
      <c r="B282" t="s">
        <v>12942</v>
      </c>
      <c r="C282" t="s">
        <v>12943</v>
      </c>
      <c r="D282" t="s">
        <v>12944</v>
      </c>
      <c r="E282" s="2">
        <v>530</v>
      </c>
      <c r="F282" s="2">
        <v>530</v>
      </c>
      <c r="G282" s="3">
        <v>43304</v>
      </c>
      <c r="H282" s="4">
        <v>0.18819444444444</v>
      </c>
      <c r="I282" s="3">
        <v>43304</v>
      </c>
      <c r="J282" s="4">
        <v>0.29861111111110999</v>
      </c>
      <c r="K282" s="2">
        <v>20</v>
      </c>
      <c r="L282" t="s">
        <v>5856</v>
      </c>
      <c r="M282" t="s">
        <v>6930</v>
      </c>
      <c r="N282" s="3">
        <v>43307</v>
      </c>
      <c r="O282" s="3">
        <v>43306</v>
      </c>
      <c r="P282" t="s">
        <v>8701</v>
      </c>
      <c r="Q282" t="s">
        <v>12945</v>
      </c>
      <c r="R282" t="s">
        <v>6036</v>
      </c>
      <c r="S282" s="3">
        <v>43307</v>
      </c>
      <c r="T282" t="s">
        <v>9938</v>
      </c>
      <c r="U282" t="s">
        <v>12946</v>
      </c>
      <c r="V282" t="s">
        <v>12947</v>
      </c>
      <c r="W282" t="s">
        <v>5857</v>
      </c>
      <c r="X282" s="2">
        <v>200</v>
      </c>
      <c r="Y282" t="s">
        <v>5858</v>
      </c>
      <c r="Z282" t="s">
        <v>6037</v>
      </c>
      <c r="AA282" s="2">
        <v>500</v>
      </c>
      <c r="AB282" t="s">
        <v>5863</v>
      </c>
      <c r="AC282" t="s">
        <v>9976</v>
      </c>
      <c r="AD282" s="32">
        <v>43279</v>
      </c>
      <c r="AI282" t="s">
        <v>9939</v>
      </c>
      <c r="AJ282" t="s">
        <v>9959</v>
      </c>
      <c r="AL282" t="s">
        <v>13875</v>
      </c>
    </row>
    <row r="283" spans="1:38">
      <c r="A283" t="s">
        <v>6920</v>
      </c>
      <c r="B283" t="s">
        <v>11743</v>
      </c>
      <c r="C283" t="s">
        <v>7083</v>
      </c>
      <c r="D283" t="s">
        <v>7084</v>
      </c>
      <c r="E283" s="2">
        <v>1000</v>
      </c>
      <c r="F283" s="2">
        <v>1000</v>
      </c>
      <c r="G283" s="3">
        <v>43304</v>
      </c>
      <c r="H283" s="4">
        <v>0.31944444444443998</v>
      </c>
      <c r="I283" s="3">
        <v>43304</v>
      </c>
      <c r="J283" s="4">
        <v>0.52777777777778001</v>
      </c>
      <c r="K283" s="2">
        <v>20</v>
      </c>
      <c r="L283" t="s">
        <v>5856</v>
      </c>
      <c r="M283" t="s">
        <v>6931</v>
      </c>
      <c r="N283" s="3">
        <v>43307</v>
      </c>
      <c r="O283" s="3">
        <v>43306</v>
      </c>
      <c r="P283" t="s">
        <v>5862</v>
      </c>
      <c r="Q283" t="s">
        <v>7179</v>
      </c>
      <c r="R283" t="s">
        <v>6036</v>
      </c>
      <c r="S283" s="3">
        <v>43307</v>
      </c>
      <c r="T283" t="s">
        <v>9938</v>
      </c>
      <c r="U283" t="s">
        <v>5987</v>
      </c>
      <c r="V283" t="s">
        <v>7086</v>
      </c>
      <c r="W283" t="s">
        <v>5857</v>
      </c>
      <c r="X283" s="2">
        <v>200</v>
      </c>
      <c r="Y283" t="s">
        <v>5858</v>
      </c>
      <c r="Z283" t="s">
        <v>6037</v>
      </c>
      <c r="AA283" s="2">
        <v>1000</v>
      </c>
      <c r="AB283" t="s">
        <v>5863</v>
      </c>
      <c r="AC283" t="s">
        <v>9978</v>
      </c>
      <c r="AD283" s="32">
        <v>43264</v>
      </c>
      <c r="AJ283" t="s">
        <v>9958</v>
      </c>
      <c r="AL283" t="s">
        <v>10630</v>
      </c>
    </row>
    <row r="284" spans="1:38">
      <c r="A284" t="s">
        <v>6920</v>
      </c>
      <c r="B284" t="s">
        <v>11745</v>
      </c>
      <c r="C284" t="s">
        <v>7185</v>
      </c>
      <c r="D284" t="s">
        <v>7186</v>
      </c>
      <c r="E284" s="2">
        <v>1000</v>
      </c>
      <c r="F284" s="2">
        <v>1000</v>
      </c>
      <c r="G284" s="3">
        <v>43304</v>
      </c>
      <c r="H284" s="4">
        <v>0.79166666666666996</v>
      </c>
      <c r="I284" s="3">
        <v>43305</v>
      </c>
      <c r="J284" s="4">
        <v>0</v>
      </c>
      <c r="K284" s="2">
        <v>0</v>
      </c>
      <c r="L284" t="s">
        <v>5856</v>
      </c>
      <c r="M284" t="s">
        <v>6931</v>
      </c>
      <c r="N284" s="3">
        <v>43307</v>
      </c>
      <c r="O284" s="3">
        <v>43306</v>
      </c>
      <c r="P284" t="s">
        <v>5924</v>
      </c>
      <c r="Q284" t="s">
        <v>7187</v>
      </c>
      <c r="R284" t="s">
        <v>6036</v>
      </c>
      <c r="S284" s="3">
        <v>43307</v>
      </c>
      <c r="T284" t="s">
        <v>9938</v>
      </c>
      <c r="U284" t="s">
        <v>7188</v>
      </c>
      <c r="V284" t="s">
        <v>7189</v>
      </c>
      <c r="W284" t="s">
        <v>5857</v>
      </c>
      <c r="X284" s="2">
        <v>200</v>
      </c>
      <c r="Y284" t="s">
        <v>5858</v>
      </c>
      <c r="Z284" t="s">
        <v>6037</v>
      </c>
      <c r="AA284" s="2">
        <v>1000</v>
      </c>
      <c r="AB284" t="s">
        <v>5863</v>
      </c>
      <c r="AC284" t="s">
        <v>9981</v>
      </c>
      <c r="AD284" s="32">
        <v>43263</v>
      </c>
      <c r="AJ284" t="s">
        <v>9959</v>
      </c>
      <c r="AL284" t="s">
        <v>10632</v>
      </c>
    </row>
    <row r="285" spans="1:38">
      <c r="A285" t="s">
        <v>6920</v>
      </c>
      <c r="B285" t="s">
        <v>11746</v>
      </c>
      <c r="C285" t="s">
        <v>7190</v>
      </c>
      <c r="D285" t="s">
        <v>7191</v>
      </c>
      <c r="E285" s="2">
        <v>1000</v>
      </c>
      <c r="F285" s="2">
        <v>1000</v>
      </c>
      <c r="G285" s="3">
        <v>43307</v>
      </c>
      <c r="H285" s="4">
        <v>0.79166666666666996</v>
      </c>
      <c r="I285" s="3">
        <v>43308</v>
      </c>
      <c r="J285" s="4">
        <v>0</v>
      </c>
      <c r="K285" s="2">
        <v>20</v>
      </c>
      <c r="L285" t="s">
        <v>5856</v>
      </c>
      <c r="M285" t="s">
        <v>6931</v>
      </c>
      <c r="N285" s="3">
        <v>43311</v>
      </c>
      <c r="O285" s="3">
        <v>43309</v>
      </c>
      <c r="P285" t="s">
        <v>5883</v>
      </c>
      <c r="Q285" t="s">
        <v>7192</v>
      </c>
      <c r="R285" t="s">
        <v>6036</v>
      </c>
      <c r="S285" s="3">
        <v>43311</v>
      </c>
      <c r="T285" t="s">
        <v>9938</v>
      </c>
      <c r="U285" t="s">
        <v>6718</v>
      </c>
      <c r="V285" t="s">
        <v>7193</v>
      </c>
      <c r="W285" t="s">
        <v>5857</v>
      </c>
      <c r="X285" s="2">
        <v>200</v>
      </c>
      <c r="Y285" t="s">
        <v>5858</v>
      </c>
      <c r="Z285" t="s">
        <v>6037</v>
      </c>
      <c r="AA285" s="2">
        <v>1000</v>
      </c>
      <c r="AB285" t="s">
        <v>5863</v>
      </c>
      <c r="AC285" t="s">
        <v>9978</v>
      </c>
      <c r="AD285" s="32">
        <v>43263</v>
      </c>
      <c r="AI285" t="s">
        <v>9947</v>
      </c>
      <c r="AJ285" t="s">
        <v>9958</v>
      </c>
      <c r="AL285" t="s">
        <v>10633</v>
      </c>
    </row>
    <row r="286" spans="1:38">
      <c r="A286" t="s">
        <v>6920</v>
      </c>
      <c r="B286" t="s">
        <v>12948</v>
      </c>
      <c r="C286" t="s">
        <v>12949</v>
      </c>
      <c r="D286" t="s">
        <v>12950</v>
      </c>
      <c r="E286" s="2">
        <v>530</v>
      </c>
      <c r="F286" s="2">
        <v>530</v>
      </c>
      <c r="G286" s="3">
        <v>43308</v>
      </c>
      <c r="H286" s="4">
        <v>0.88958333333332995</v>
      </c>
      <c r="I286" s="3">
        <v>43309</v>
      </c>
      <c r="J286" s="4">
        <v>0</v>
      </c>
      <c r="K286" s="2">
        <v>20</v>
      </c>
      <c r="L286" t="s">
        <v>5856</v>
      </c>
      <c r="M286" t="s">
        <v>6930</v>
      </c>
      <c r="N286" s="3">
        <v>43311</v>
      </c>
      <c r="O286" s="3">
        <v>43310</v>
      </c>
      <c r="P286" t="s">
        <v>5889</v>
      </c>
      <c r="Q286" t="s">
        <v>12951</v>
      </c>
      <c r="R286" t="s">
        <v>6036</v>
      </c>
      <c r="S286" s="3">
        <v>43311</v>
      </c>
      <c r="T286" t="s">
        <v>9938</v>
      </c>
      <c r="U286" t="s">
        <v>5886</v>
      </c>
      <c r="V286" t="s">
        <v>12952</v>
      </c>
      <c r="W286" t="s">
        <v>5857</v>
      </c>
      <c r="X286" s="2">
        <v>200</v>
      </c>
      <c r="Y286" t="s">
        <v>5858</v>
      </c>
      <c r="Z286" t="s">
        <v>6037</v>
      </c>
      <c r="AA286" s="2">
        <v>500</v>
      </c>
      <c r="AB286" t="s">
        <v>5863</v>
      </c>
      <c r="AC286" t="s">
        <v>9978</v>
      </c>
      <c r="AD286" s="32">
        <v>43283</v>
      </c>
      <c r="AI286" t="s">
        <v>13766</v>
      </c>
      <c r="AJ286" t="s">
        <v>9958</v>
      </c>
      <c r="AL286" t="s">
        <v>13876</v>
      </c>
    </row>
    <row r="287" spans="1:38">
      <c r="A287" t="s">
        <v>6920</v>
      </c>
      <c r="B287" t="s">
        <v>12953</v>
      </c>
      <c r="C287" t="s">
        <v>6055</v>
      </c>
      <c r="D287" t="s">
        <v>5895</v>
      </c>
      <c r="E287" s="2">
        <v>530</v>
      </c>
      <c r="F287" s="2">
        <v>530</v>
      </c>
      <c r="G287" s="3">
        <v>43310</v>
      </c>
      <c r="H287" s="4">
        <v>0.88958333333332995</v>
      </c>
      <c r="I287" s="3">
        <v>43311</v>
      </c>
      <c r="J287" s="4">
        <v>0</v>
      </c>
      <c r="K287" s="2">
        <v>20</v>
      </c>
      <c r="L287" t="s">
        <v>5856</v>
      </c>
      <c r="M287" t="s">
        <v>6930</v>
      </c>
      <c r="N287" s="3">
        <v>43313</v>
      </c>
      <c r="O287" s="3">
        <v>43312</v>
      </c>
      <c r="P287" t="s">
        <v>5883</v>
      </c>
      <c r="Q287" t="s">
        <v>12954</v>
      </c>
      <c r="R287" t="s">
        <v>6036</v>
      </c>
      <c r="S287" s="3">
        <v>43313</v>
      </c>
      <c r="T287" t="s">
        <v>9938</v>
      </c>
      <c r="U287" t="s">
        <v>5893</v>
      </c>
      <c r="V287" t="s">
        <v>5896</v>
      </c>
      <c r="W287" t="s">
        <v>5857</v>
      </c>
      <c r="X287" s="2">
        <v>200</v>
      </c>
      <c r="Y287" t="s">
        <v>5858</v>
      </c>
      <c r="Z287" t="s">
        <v>6037</v>
      </c>
      <c r="AA287" s="2">
        <v>500</v>
      </c>
      <c r="AB287" t="s">
        <v>5863</v>
      </c>
      <c r="AC287" t="s">
        <v>9978</v>
      </c>
      <c r="AD287" s="32">
        <v>43279</v>
      </c>
      <c r="AJ287" t="s">
        <v>9958</v>
      </c>
      <c r="AL287" t="s">
        <v>13877</v>
      </c>
    </row>
    <row r="288" spans="1:38">
      <c r="A288" t="s">
        <v>6920</v>
      </c>
      <c r="B288" t="s">
        <v>11747</v>
      </c>
      <c r="C288" t="s">
        <v>7107</v>
      </c>
      <c r="D288" t="s">
        <v>7108</v>
      </c>
      <c r="E288" s="2">
        <v>1000</v>
      </c>
      <c r="F288" s="2">
        <v>1000</v>
      </c>
      <c r="G288" s="3">
        <v>43311</v>
      </c>
      <c r="H288" s="4">
        <v>0.79166666666666996</v>
      </c>
      <c r="I288" s="3">
        <v>43312</v>
      </c>
      <c r="J288" s="4">
        <v>0</v>
      </c>
      <c r="K288" s="2">
        <v>20</v>
      </c>
      <c r="L288" t="s">
        <v>5856</v>
      </c>
      <c r="M288" t="s">
        <v>6931</v>
      </c>
      <c r="N288" s="3">
        <v>43314</v>
      </c>
      <c r="O288" s="3">
        <v>43313</v>
      </c>
      <c r="P288" t="s">
        <v>5881</v>
      </c>
      <c r="Q288" t="s">
        <v>7194</v>
      </c>
      <c r="R288" t="s">
        <v>6036</v>
      </c>
      <c r="S288" s="3">
        <v>43314</v>
      </c>
      <c r="T288" t="s">
        <v>9938</v>
      </c>
      <c r="U288" t="s">
        <v>5893</v>
      </c>
      <c r="V288" t="s">
        <v>6838</v>
      </c>
      <c r="W288" t="s">
        <v>5857</v>
      </c>
      <c r="X288" s="2">
        <v>200</v>
      </c>
      <c r="Y288" t="s">
        <v>5858</v>
      </c>
      <c r="Z288" t="s">
        <v>6037</v>
      </c>
      <c r="AA288" s="2">
        <v>1000</v>
      </c>
      <c r="AB288" t="s">
        <v>5863</v>
      </c>
      <c r="AC288" t="s">
        <v>9978</v>
      </c>
      <c r="AD288" s="32">
        <v>43270</v>
      </c>
      <c r="AI288" t="s">
        <v>9939</v>
      </c>
      <c r="AJ288" t="s">
        <v>9958</v>
      </c>
      <c r="AL288" t="s">
        <v>10634</v>
      </c>
    </row>
    <row r="289" spans="1:38">
      <c r="A289" t="s">
        <v>6920</v>
      </c>
      <c r="B289" t="s">
        <v>11748</v>
      </c>
      <c r="C289" t="s">
        <v>7195</v>
      </c>
      <c r="D289" t="s">
        <v>7196</v>
      </c>
      <c r="E289" s="2">
        <v>500</v>
      </c>
      <c r="F289" s="2">
        <v>500</v>
      </c>
      <c r="G289" s="3">
        <v>43312</v>
      </c>
      <c r="H289" s="4">
        <v>0.71159722222221999</v>
      </c>
      <c r="I289" s="3">
        <v>43312</v>
      </c>
      <c r="J289" s="4">
        <v>0.81576388888888995</v>
      </c>
      <c r="K289" s="2">
        <v>20</v>
      </c>
      <c r="L289" t="s">
        <v>5856</v>
      </c>
      <c r="M289" t="s">
        <v>6984</v>
      </c>
      <c r="N289" s="3">
        <v>43315</v>
      </c>
      <c r="O289" s="3">
        <v>43314</v>
      </c>
      <c r="P289" t="s">
        <v>7197</v>
      </c>
      <c r="Q289" t="s">
        <v>7198</v>
      </c>
      <c r="R289" t="s">
        <v>6036</v>
      </c>
      <c r="S289" s="3">
        <v>43315</v>
      </c>
      <c r="T289" t="s">
        <v>9938</v>
      </c>
      <c r="U289" t="s">
        <v>6513</v>
      </c>
      <c r="V289" t="s">
        <v>7199</v>
      </c>
      <c r="W289" t="s">
        <v>5857</v>
      </c>
      <c r="X289" s="2">
        <v>200</v>
      </c>
      <c r="Y289" t="s">
        <v>5858</v>
      </c>
      <c r="Z289" t="s">
        <v>6037</v>
      </c>
      <c r="AA289" s="2">
        <v>500</v>
      </c>
      <c r="AB289" t="s">
        <v>5863</v>
      </c>
      <c r="AC289" t="s">
        <v>9974</v>
      </c>
      <c r="AD289" s="32">
        <v>43249</v>
      </c>
      <c r="AJ289" t="s">
        <v>9959</v>
      </c>
      <c r="AL289" t="s">
        <v>10635</v>
      </c>
    </row>
    <row r="290" spans="1:38">
      <c r="A290" t="s">
        <v>6920</v>
      </c>
      <c r="B290" t="s">
        <v>11749</v>
      </c>
      <c r="C290" t="s">
        <v>7200</v>
      </c>
      <c r="D290" t="s">
        <v>7201</v>
      </c>
      <c r="E290" s="2">
        <v>1000</v>
      </c>
      <c r="F290" s="2">
        <v>1000</v>
      </c>
      <c r="G290" s="3">
        <v>43312</v>
      </c>
      <c r="H290" s="4">
        <v>0.83659722222221999</v>
      </c>
      <c r="I290" s="3">
        <v>43313</v>
      </c>
      <c r="J290" s="4">
        <v>4.4930555555559998E-2</v>
      </c>
      <c r="K290" s="2">
        <v>0</v>
      </c>
      <c r="L290" t="s">
        <v>5856</v>
      </c>
      <c r="M290" t="s">
        <v>6931</v>
      </c>
      <c r="N290" s="3">
        <v>43318</v>
      </c>
      <c r="O290" s="3">
        <v>43315</v>
      </c>
      <c r="P290" t="s">
        <v>5881</v>
      </c>
      <c r="Q290" t="s">
        <v>7202</v>
      </c>
      <c r="R290" t="s">
        <v>6036</v>
      </c>
      <c r="S290" s="3">
        <v>43318</v>
      </c>
      <c r="T290" t="s">
        <v>9938</v>
      </c>
      <c r="U290" t="s">
        <v>5894</v>
      </c>
      <c r="V290" t="s">
        <v>7203</v>
      </c>
      <c r="W290" t="s">
        <v>5857</v>
      </c>
      <c r="X290" s="2">
        <v>200</v>
      </c>
      <c r="Y290" t="s">
        <v>5858</v>
      </c>
      <c r="Z290" t="s">
        <v>6037</v>
      </c>
      <c r="AA290" s="2">
        <v>1000</v>
      </c>
      <c r="AB290" t="s">
        <v>5863</v>
      </c>
      <c r="AC290" t="s">
        <v>9978</v>
      </c>
      <c r="AD290" s="32">
        <v>43213</v>
      </c>
      <c r="AJ290" t="s">
        <v>9958</v>
      </c>
      <c r="AL290" t="s">
        <v>10636</v>
      </c>
    </row>
    <row r="291" spans="1:38">
      <c r="A291" t="s">
        <v>6920</v>
      </c>
      <c r="B291" t="s">
        <v>11750</v>
      </c>
      <c r="C291" t="s">
        <v>7204</v>
      </c>
      <c r="D291" t="s">
        <v>7205</v>
      </c>
      <c r="E291" s="2">
        <v>1060</v>
      </c>
      <c r="F291" s="2">
        <v>1060</v>
      </c>
      <c r="G291" s="3">
        <v>43315</v>
      </c>
      <c r="H291" s="4">
        <v>0.77915509259258997</v>
      </c>
      <c r="I291" s="3">
        <v>43315</v>
      </c>
      <c r="J291" s="4">
        <v>0.99998842592592996</v>
      </c>
      <c r="K291" s="2">
        <v>0</v>
      </c>
      <c r="L291" t="s">
        <v>5856</v>
      </c>
      <c r="M291" t="s">
        <v>6955</v>
      </c>
      <c r="N291" s="3">
        <v>43317</v>
      </c>
      <c r="O291" s="3">
        <v>43317</v>
      </c>
      <c r="P291" t="s">
        <v>7206</v>
      </c>
      <c r="Q291" t="s">
        <v>12955</v>
      </c>
      <c r="R291" t="s">
        <v>6036</v>
      </c>
      <c r="S291" s="3">
        <v>43318</v>
      </c>
      <c r="T291" t="s">
        <v>9938</v>
      </c>
      <c r="U291" t="s">
        <v>7207</v>
      </c>
      <c r="V291" t="s">
        <v>7208</v>
      </c>
      <c r="W291" t="s">
        <v>5857</v>
      </c>
      <c r="X291" s="2">
        <v>0</v>
      </c>
      <c r="Y291" t="s">
        <v>5858</v>
      </c>
      <c r="Z291" t="s">
        <v>6037</v>
      </c>
      <c r="AA291" s="2">
        <v>1000</v>
      </c>
      <c r="AB291" t="s">
        <v>5861</v>
      </c>
      <c r="AC291" t="s">
        <v>9974</v>
      </c>
      <c r="AD291" s="32"/>
      <c r="AJ291" t="s">
        <v>9957</v>
      </c>
      <c r="AL291" t="s">
        <v>10637</v>
      </c>
    </row>
    <row r="292" spans="1:38">
      <c r="A292" t="s">
        <v>6920</v>
      </c>
      <c r="B292" t="s">
        <v>11751</v>
      </c>
      <c r="C292" t="s">
        <v>6089</v>
      </c>
      <c r="D292" t="s">
        <v>6004</v>
      </c>
      <c r="E292" s="2">
        <v>500</v>
      </c>
      <c r="F292" s="2">
        <v>500</v>
      </c>
      <c r="G292" s="3">
        <v>43316</v>
      </c>
      <c r="H292" s="4">
        <v>0.89583333333333004</v>
      </c>
      <c r="I292" s="3">
        <v>43317</v>
      </c>
      <c r="J292" s="4">
        <v>0</v>
      </c>
      <c r="K292" s="2">
        <v>20</v>
      </c>
      <c r="L292" t="s">
        <v>5856</v>
      </c>
      <c r="M292" t="s">
        <v>6984</v>
      </c>
      <c r="N292" s="3">
        <v>43319</v>
      </c>
      <c r="O292" s="3">
        <v>43318</v>
      </c>
      <c r="P292" t="s">
        <v>5971</v>
      </c>
      <c r="Q292" t="s">
        <v>7213</v>
      </c>
      <c r="R292" t="s">
        <v>6036</v>
      </c>
      <c r="S292" s="3">
        <v>43319</v>
      </c>
      <c r="T292" t="s">
        <v>9938</v>
      </c>
      <c r="U292" t="s">
        <v>6052</v>
      </c>
      <c r="V292" t="s">
        <v>6005</v>
      </c>
      <c r="W292" t="s">
        <v>5857</v>
      </c>
      <c r="X292" s="2">
        <v>200</v>
      </c>
      <c r="Y292" t="s">
        <v>5858</v>
      </c>
      <c r="Z292" t="s">
        <v>6037</v>
      </c>
      <c r="AA292" s="2">
        <v>500</v>
      </c>
      <c r="AB292" t="s">
        <v>5863</v>
      </c>
      <c r="AC292" t="s">
        <v>9974</v>
      </c>
      <c r="AD292" s="32">
        <v>43265</v>
      </c>
      <c r="AJ292" t="s">
        <v>9958</v>
      </c>
      <c r="AL292" t="s">
        <v>13878</v>
      </c>
    </row>
    <row r="293" spans="1:38">
      <c r="A293" t="s">
        <v>6920</v>
      </c>
      <c r="B293" t="s">
        <v>11752</v>
      </c>
      <c r="C293" t="s">
        <v>7215</v>
      </c>
      <c r="D293" t="s">
        <v>7216</v>
      </c>
      <c r="E293" s="2">
        <v>1000</v>
      </c>
      <c r="F293" s="2">
        <v>1000</v>
      </c>
      <c r="G293" s="3">
        <v>43319</v>
      </c>
      <c r="H293" s="4">
        <v>0.79166666666666996</v>
      </c>
      <c r="I293" s="3">
        <v>43320</v>
      </c>
      <c r="J293" s="4">
        <v>0</v>
      </c>
      <c r="K293" s="2">
        <v>20</v>
      </c>
      <c r="L293" t="s">
        <v>5856</v>
      </c>
      <c r="M293" t="s">
        <v>6931</v>
      </c>
      <c r="N293" s="3">
        <v>43322</v>
      </c>
      <c r="O293" s="3">
        <v>43321</v>
      </c>
      <c r="P293" t="s">
        <v>5869</v>
      </c>
      <c r="Q293" t="s">
        <v>7217</v>
      </c>
      <c r="R293" t="s">
        <v>6036</v>
      </c>
      <c r="S293" s="3">
        <v>43322</v>
      </c>
      <c r="T293" t="s">
        <v>9938</v>
      </c>
      <c r="U293" t="s">
        <v>6593</v>
      </c>
      <c r="V293" t="s">
        <v>6041</v>
      </c>
      <c r="W293" t="s">
        <v>5857</v>
      </c>
      <c r="X293" s="2">
        <v>200</v>
      </c>
      <c r="Y293" t="s">
        <v>5858</v>
      </c>
      <c r="Z293" t="s">
        <v>6037</v>
      </c>
      <c r="AA293" s="2">
        <v>1000</v>
      </c>
      <c r="AB293" t="s">
        <v>5863</v>
      </c>
      <c r="AC293" t="s">
        <v>9974</v>
      </c>
      <c r="AD293" s="32">
        <v>43256</v>
      </c>
      <c r="AJ293" t="s">
        <v>9958</v>
      </c>
      <c r="AL293" t="s">
        <v>10641</v>
      </c>
    </row>
    <row r="294" spans="1:38">
      <c r="A294" t="s">
        <v>6920</v>
      </c>
      <c r="B294" t="s">
        <v>11753</v>
      </c>
      <c r="C294" t="s">
        <v>6997</v>
      </c>
      <c r="D294" t="s">
        <v>6998</v>
      </c>
      <c r="E294" s="2">
        <v>848</v>
      </c>
      <c r="F294" s="2">
        <v>848</v>
      </c>
      <c r="G294" s="3">
        <v>43320</v>
      </c>
      <c r="H294" s="4">
        <v>0.63909722222221998</v>
      </c>
      <c r="I294" s="3">
        <v>43320</v>
      </c>
      <c r="J294" s="4">
        <v>0.81576388888888995</v>
      </c>
      <c r="K294" s="2">
        <v>0</v>
      </c>
      <c r="L294" t="s">
        <v>5856</v>
      </c>
      <c r="M294" t="s">
        <v>7218</v>
      </c>
      <c r="N294" s="3">
        <v>43322</v>
      </c>
      <c r="O294" s="3">
        <v>43322</v>
      </c>
      <c r="P294" t="s">
        <v>6673</v>
      </c>
      <c r="Q294" t="s">
        <v>7219</v>
      </c>
      <c r="R294" t="s">
        <v>6036</v>
      </c>
      <c r="S294" s="3">
        <v>43325</v>
      </c>
      <c r="T294" t="s">
        <v>9938</v>
      </c>
      <c r="U294" t="s">
        <v>6999</v>
      </c>
      <c r="V294" t="s">
        <v>7000</v>
      </c>
      <c r="W294" t="s">
        <v>5857</v>
      </c>
      <c r="X294" s="2">
        <v>0</v>
      </c>
      <c r="Y294" t="s">
        <v>5858</v>
      </c>
      <c r="Z294" t="s">
        <v>6037</v>
      </c>
      <c r="AA294" s="2">
        <v>800</v>
      </c>
      <c r="AB294" t="s">
        <v>5861</v>
      </c>
      <c r="AC294" t="s">
        <v>9976</v>
      </c>
      <c r="AD294" s="32"/>
      <c r="AJ294" t="s">
        <v>9959</v>
      </c>
      <c r="AL294" t="s">
        <v>10642</v>
      </c>
    </row>
    <row r="295" spans="1:38">
      <c r="A295" t="s">
        <v>6920</v>
      </c>
      <c r="B295" t="s">
        <v>11754</v>
      </c>
      <c r="C295" t="s">
        <v>7220</v>
      </c>
      <c r="D295" t="s">
        <v>7221</v>
      </c>
      <c r="E295" s="2">
        <v>1000</v>
      </c>
      <c r="F295" s="2">
        <v>1000</v>
      </c>
      <c r="G295" s="3">
        <v>43320</v>
      </c>
      <c r="H295" s="4">
        <v>0.83659722222221999</v>
      </c>
      <c r="I295" s="3">
        <v>43321</v>
      </c>
      <c r="J295" s="4">
        <v>4.4930555555559998E-2</v>
      </c>
      <c r="K295" s="2">
        <v>0</v>
      </c>
      <c r="L295" t="s">
        <v>5856</v>
      </c>
      <c r="M295" t="s">
        <v>6931</v>
      </c>
      <c r="N295" s="3">
        <v>43326</v>
      </c>
      <c r="O295" s="3">
        <v>43323</v>
      </c>
      <c r="P295" t="s">
        <v>5889</v>
      </c>
      <c r="Q295" t="s">
        <v>7222</v>
      </c>
      <c r="R295" t="s">
        <v>6036</v>
      </c>
      <c r="S295" s="3">
        <v>43326</v>
      </c>
      <c r="T295" t="s">
        <v>9938</v>
      </c>
      <c r="U295" t="s">
        <v>5882</v>
      </c>
      <c r="V295" t="s">
        <v>6041</v>
      </c>
      <c r="W295" t="s">
        <v>5857</v>
      </c>
      <c r="X295" s="2">
        <v>200</v>
      </c>
      <c r="Y295" t="s">
        <v>5858</v>
      </c>
      <c r="Z295" t="s">
        <v>6037</v>
      </c>
      <c r="AA295" s="2">
        <v>1000</v>
      </c>
      <c r="AB295" t="s">
        <v>5863</v>
      </c>
      <c r="AC295" t="s">
        <v>9978</v>
      </c>
      <c r="AD295" s="32">
        <v>43198</v>
      </c>
      <c r="AJ295" t="s">
        <v>9958</v>
      </c>
      <c r="AL295" t="s">
        <v>10643</v>
      </c>
    </row>
    <row r="296" spans="1:38">
      <c r="A296" t="s">
        <v>6920</v>
      </c>
      <c r="B296" t="s">
        <v>11755</v>
      </c>
      <c r="C296" t="s">
        <v>7111</v>
      </c>
      <c r="D296" t="s">
        <v>7112</v>
      </c>
      <c r="E296" s="2">
        <v>530</v>
      </c>
      <c r="F296" s="2">
        <v>530</v>
      </c>
      <c r="G296" s="3">
        <v>43323</v>
      </c>
      <c r="H296" s="4">
        <v>0.76458333333332995</v>
      </c>
      <c r="I296" s="3">
        <v>43323</v>
      </c>
      <c r="J296" s="4">
        <v>0.875</v>
      </c>
      <c r="K296" s="2">
        <v>20</v>
      </c>
      <c r="L296" t="s">
        <v>5856</v>
      </c>
      <c r="M296" t="s">
        <v>6930</v>
      </c>
      <c r="N296" s="3">
        <v>43326</v>
      </c>
      <c r="O296" s="3">
        <v>43325</v>
      </c>
      <c r="P296" t="s">
        <v>5889</v>
      </c>
      <c r="Q296" t="s">
        <v>7223</v>
      </c>
      <c r="R296" t="s">
        <v>6036</v>
      </c>
      <c r="S296" s="3">
        <v>43326</v>
      </c>
      <c r="T296" t="s">
        <v>9938</v>
      </c>
      <c r="U296" t="s">
        <v>5874</v>
      </c>
      <c r="V296" t="s">
        <v>7114</v>
      </c>
      <c r="W296" t="s">
        <v>5857</v>
      </c>
      <c r="X296" s="2">
        <v>200</v>
      </c>
      <c r="Y296" t="s">
        <v>5858</v>
      </c>
      <c r="Z296" t="s">
        <v>6037</v>
      </c>
      <c r="AA296" s="2">
        <v>500</v>
      </c>
      <c r="AB296" t="s">
        <v>5863</v>
      </c>
      <c r="AC296" t="s">
        <v>9978</v>
      </c>
      <c r="AD296" s="32"/>
      <c r="AJ296" t="s">
        <v>9958</v>
      </c>
      <c r="AL296" t="s">
        <v>10644</v>
      </c>
    </row>
    <row r="297" spans="1:38">
      <c r="A297" t="s">
        <v>6920</v>
      </c>
      <c r="B297" t="s">
        <v>11756</v>
      </c>
      <c r="C297" t="s">
        <v>7111</v>
      </c>
      <c r="D297" t="s">
        <v>7112</v>
      </c>
      <c r="E297" s="2">
        <v>500</v>
      </c>
      <c r="F297" s="2">
        <v>500</v>
      </c>
      <c r="G297" s="3">
        <v>43323</v>
      </c>
      <c r="H297" s="4">
        <v>0.89583333333333004</v>
      </c>
      <c r="I297" s="3">
        <v>43324</v>
      </c>
      <c r="J297" s="4">
        <v>0</v>
      </c>
      <c r="K297" s="2">
        <v>20</v>
      </c>
      <c r="L297" t="s">
        <v>5856</v>
      </c>
      <c r="M297" t="s">
        <v>6984</v>
      </c>
      <c r="N297" s="3">
        <v>43326</v>
      </c>
      <c r="O297" s="3">
        <v>43325</v>
      </c>
      <c r="P297" t="s">
        <v>5889</v>
      </c>
      <c r="Q297" t="s">
        <v>7224</v>
      </c>
      <c r="R297" t="s">
        <v>6036</v>
      </c>
      <c r="S297" s="3">
        <v>43326</v>
      </c>
      <c r="T297" t="s">
        <v>9938</v>
      </c>
      <c r="U297" t="s">
        <v>5874</v>
      </c>
      <c r="V297" t="s">
        <v>7114</v>
      </c>
      <c r="W297" t="s">
        <v>5857</v>
      </c>
      <c r="X297" s="2">
        <v>200</v>
      </c>
      <c r="Y297" t="s">
        <v>5858</v>
      </c>
      <c r="Z297" t="s">
        <v>6037</v>
      </c>
      <c r="AA297" s="2">
        <v>500</v>
      </c>
      <c r="AB297" t="s">
        <v>5863</v>
      </c>
      <c r="AC297" t="s">
        <v>9978</v>
      </c>
      <c r="AD297" s="32"/>
      <c r="AJ297" t="s">
        <v>9958</v>
      </c>
      <c r="AL297" t="s">
        <v>10645</v>
      </c>
    </row>
    <row r="298" spans="1:38">
      <c r="A298" t="s">
        <v>6920</v>
      </c>
      <c r="B298" t="s">
        <v>11758</v>
      </c>
      <c r="C298" t="s">
        <v>7229</v>
      </c>
      <c r="D298" t="s">
        <v>7230</v>
      </c>
      <c r="E298" s="2">
        <v>300</v>
      </c>
      <c r="F298" s="2">
        <v>300</v>
      </c>
      <c r="G298" s="3">
        <v>43330</v>
      </c>
      <c r="H298" s="4">
        <v>0.9375</v>
      </c>
      <c r="I298" s="3">
        <v>43331</v>
      </c>
      <c r="J298" s="4">
        <v>0</v>
      </c>
      <c r="K298" s="2">
        <v>20</v>
      </c>
      <c r="L298" t="s">
        <v>5856</v>
      </c>
      <c r="M298" t="s">
        <v>6942</v>
      </c>
      <c r="N298" s="3">
        <v>43333</v>
      </c>
      <c r="O298" s="3">
        <v>43332</v>
      </c>
      <c r="P298" t="s">
        <v>5971</v>
      </c>
      <c r="Q298" t="s">
        <v>7231</v>
      </c>
      <c r="R298" t="s">
        <v>6036</v>
      </c>
      <c r="S298" s="3">
        <v>43333</v>
      </c>
      <c r="T298" t="s">
        <v>9938</v>
      </c>
      <c r="U298" t="s">
        <v>6064</v>
      </c>
      <c r="V298" t="s">
        <v>7232</v>
      </c>
      <c r="W298" t="s">
        <v>5857</v>
      </c>
      <c r="X298" s="2">
        <v>200</v>
      </c>
      <c r="Y298" t="s">
        <v>5858</v>
      </c>
      <c r="Z298" t="s">
        <v>6037</v>
      </c>
      <c r="AA298" s="2">
        <v>300</v>
      </c>
      <c r="AB298" t="s">
        <v>5863</v>
      </c>
      <c r="AD298" s="32"/>
      <c r="AI298" t="s">
        <v>9939</v>
      </c>
      <c r="AJ298" t="s">
        <v>9958</v>
      </c>
      <c r="AL298" t="s">
        <v>10647</v>
      </c>
    </row>
    <row r="299" spans="1:38">
      <c r="A299" t="s">
        <v>6920</v>
      </c>
      <c r="B299" t="s">
        <v>11759</v>
      </c>
      <c r="C299" t="s">
        <v>7233</v>
      </c>
      <c r="D299" t="s">
        <v>7234</v>
      </c>
      <c r="E299" s="2">
        <v>530</v>
      </c>
      <c r="F299" s="2">
        <v>530</v>
      </c>
      <c r="G299" s="3">
        <v>43337</v>
      </c>
      <c r="H299" s="4">
        <v>0.88958333333332995</v>
      </c>
      <c r="I299" s="3">
        <v>43338</v>
      </c>
      <c r="J299" s="4">
        <v>0</v>
      </c>
      <c r="K299" s="2">
        <v>0</v>
      </c>
      <c r="L299" t="s">
        <v>5856</v>
      </c>
      <c r="M299" t="s">
        <v>6930</v>
      </c>
      <c r="N299" s="3">
        <v>43340</v>
      </c>
      <c r="O299" s="3">
        <v>43339</v>
      </c>
      <c r="P299" t="s">
        <v>5883</v>
      </c>
      <c r="Q299" t="s">
        <v>7235</v>
      </c>
      <c r="R299" t="s">
        <v>6036</v>
      </c>
      <c r="S299" s="3">
        <v>43340</v>
      </c>
      <c r="T299" t="s">
        <v>9938</v>
      </c>
      <c r="U299" t="s">
        <v>5893</v>
      </c>
      <c r="V299" t="s">
        <v>7236</v>
      </c>
      <c r="W299" t="s">
        <v>5857</v>
      </c>
      <c r="X299" s="2">
        <v>200</v>
      </c>
      <c r="Y299" t="s">
        <v>5858</v>
      </c>
      <c r="Z299" t="s">
        <v>6037</v>
      </c>
      <c r="AA299" s="2">
        <v>500</v>
      </c>
      <c r="AB299" t="s">
        <v>5863</v>
      </c>
      <c r="AD299" s="32"/>
      <c r="AI299" t="s">
        <v>9943</v>
      </c>
      <c r="AJ299" t="s">
        <v>9958</v>
      </c>
      <c r="AL299" t="s">
        <v>10648</v>
      </c>
    </row>
    <row r="300" spans="1:38">
      <c r="A300" t="s">
        <v>6920</v>
      </c>
      <c r="B300" t="s">
        <v>11760</v>
      </c>
      <c r="C300" t="s">
        <v>7237</v>
      </c>
      <c r="D300" t="s">
        <v>7238</v>
      </c>
      <c r="E300" s="2">
        <v>530</v>
      </c>
      <c r="F300" s="2">
        <v>530</v>
      </c>
      <c r="G300" s="3">
        <v>43338</v>
      </c>
      <c r="H300" s="4">
        <v>0.88958333333332995</v>
      </c>
      <c r="I300" s="3">
        <v>43339</v>
      </c>
      <c r="J300" s="4">
        <v>0</v>
      </c>
      <c r="K300" s="2">
        <v>20</v>
      </c>
      <c r="L300" t="s">
        <v>5856</v>
      </c>
      <c r="M300" t="s">
        <v>6930</v>
      </c>
      <c r="N300" s="3">
        <v>43341</v>
      </c>
      <c r="O300" s="3">
        <v>43340</v>
      </c>
      <c r="P300" t="s">
        <v>5881</v>
      </c>
      <c r="Q300" t="s">
        <v>7239</v>
      </c>
      <c r="R300" t="s">
        <v>6036</v>
      </c>
      <c r="S300" s="3">
        <v>43341</v>
      </c>
      <c r="T300" t="s">
        <v>9938</v>
      </c>
      <c r="U300" t="s">
        <v>5893</v>
      </c>
      <c r="V300" t="s">
        <v>7240</v>
      </c>
      <c r="W300" t="s">
        <v>5857</v>
      </c>
      <c r="X300" s="2">
        <v>200</v>
      </c>
      <c r="Y300" t="s">
        <v>5858</v>
      </c>
      <c r="Z300" t="s">
        <v>6037</v>
      </c>
      <c r="AA300" s="2">
        <v>500</v>
      </c>
      <c r="AB300" t="s">
        <v>5863</v>
      </c>
      <c r="AD300" s="32"/>
      <c r="AI300" t="s">
        <v>9943</v>
      </c>
      <c r="AJ300" t="s">
        <v>9958</v>
      </c>
      <c r="AL300" t="s">
        <v>10649</v>
      </c>
    </row>
    <row r="301" spans="1:38">
      <c r="A301" t="s">
        <v>6920</v>
      </c>
      <c r="B301" t="s">
        <v>11761</v>
      </c>
      <c r="C301" t="s">
        <v>7241</v>
      </c>
      <c r="D301" t="s">
        <v>7242</v>
      </c>
      <c r="E301" s="2">
        <v>1000</v>
      </c>
      <c r="F301" s="2">
        <v>1000</v>
      </c>
      <c r="G301" s="3">
        <v>43339</v>
      </c>
      <c r="H301" s="4">
        <v>0.60743055555556003</v>
      </c>
      <c r="I301" s="3">
        <v>43339</v>
      </c>
      <c r="J301" s="4">
        <v>0.81576388888888995</v>
      </c>
      <c r="K301" s="2">
        <v>0</v>
      </c>
      <c r="L301" t="s">
        <v>5856</v>
      </c>
      <c r="M301" t="s">
        <v>6931</v>
      </c>
      <c r="N301" s="3">
        <v>43342</v>
      </c>
      <c r="O301" s="3">
        <v>43341</v>
      </c>
      <c r="P301" t="s">
        <v>5883</v>
      </c>
      <c r="Q301" t="s">
        <v>7243</v>
      </c>
      <c r="R301" t="s">
        <v>6036</v>
      </c>
      <c r="S301" s="3">
        <v>43342</v>
      </c>
      <c r="T301" t="s">
        <v>9938</v>
      </c>
      <c r="U301" t="s">
        <v>5886</v>
      </c>
      <c r="V301" t="s">
        <v>7244</v>
      </c>
      <c r="W301" t="s">
        <v>5857</v>
      </c>
      <c r="X301" s="2">
        <v>200</v>
      </c>
      <c r="Y301" t="s">
        <v>5858</v>
      </c>
      <c r="Z301" t="s">
        <v>6037</v>
      </c>
      <c r="AA301" s="2">
        <v>1000</v>
      </c>
      <c r="AB301" t="s">
        <v>5863</v>
      </c>
      <c r="AD301" s="32"/>
      <c r="AI301" t="s">
        <v>9943</v>
      </c>
      <c r="AJ301" t="s">
        <v>9958</v>
      </c>
      <c r="AL301" t="s">
        <v>10650</v>
      </c>
    </row>
    <row r="302" spans="1:38">
      <c r="A302" t="s">
        <v>6920</v>
      </c>
      <c r="B302" t="s">
        <v>11762</v>
      </c>
      <c r="C302" t="s">
        <v>7245</v>
      </c>
      <c r="D302" t="s">
        <v>7246</v>
      </c>
      <c r="E302" s="2">
        <v>1000</v>
      </c>
      <c r="F302" s="2">
        <v>1000</v>
      </c>
      <c r="G302" s="3">
        <v>43339</v>
      </c>
      <c r="H302" s="4">
        <v>0.83659722222221999</v>
      </c>
      <c r="I302" s="3">
        <v>43340</v>
      </c>
      <c r="J302" s="4">
        <v>0</v>
      </c>
      <c r="K302" s="2">
        <v>20</v>
      </c>
      <c r="L302" t="s">
        <v>5856</v>
      </c>
      <c r="M302" t="s">
        <v>6511</v>
      </c>
      <c r="N302" s="3">
        <v>43342</v>
      </c>
      <c r="O302" s="3">
        <v>43341</v>
      </c>
      <c r="P302" t="s">
        <v>5862</v>
      </c>
      <c r="Q302" t="s">
        <v>7247</v>
      </c>
      <c r="R302" t="s">
        <v>6036</v>
      </c>
      <c r="S302" s="3">
        <v>43342</v>
      </c>
      <c r="T302" t="s">
        <v>9938</v>
      </c>
      <c r="U302" t="s">
        <v>6714</v>
      </c>
      <c r="V302" t="s">
        <v>7248</v>
      </c>
      <c r="W302" t="s">
        <v>5857</v>
      </c>
      <c r="X302" s="2">
        <v>200</v>
      </c>
      <c r="Y302" t="s">
        <v>5858</v>
      </c>
      <c r="Z302" t="s">
        <v>6037</v>
      </c>
      <c r="AA302" s="2">
        <v>1000</v>
      </c>
      <c r="AB302" t="s">
        <v>5863</v>
      </c>
      <c r="AC302" t="s">
        <v>9978</v>
      </c>
      <c r="AD302" s="32"/>
      <c r="AI302" t="s">
        <v>9943</v>
      </c>
      <c r="AJ302" t="s">
        <v>9958</v>
      </c>
      <c r="AL302" t="s">
        <v>10651</v>
      </c>
    </row>
    <row r="303" spans="1:38">
      <c r="A303" t="s">
        <v>6920</v>
      </c>
      <c r="B303" t="s">
        <v>11763</v>
      </c>
      <c r="C303" t="s">
        <v>7249</v>
      </c>
      <c r="D303" t="s">
        <v>7250</v>
      </c>
      <c r="E303" s="2">
        <v>1000</v>
      </c>
      <c r="F303" s="2">
        <v>1000</v>
      </c>
      <c r="G303" s="3">
        <v>43357</v>
      </c>
      <c r="H303" s="4">
        <v>0.79166666666666996</v>
      </c>
      <c r="I303" s="3">
        <v>43358</v>
      </c>
      <c r="J303" s="4">
        <v>0</v>
      </c>
      <c r="K303" s="2">
        <v>0</v>
      </c>
      <c r="L303" t="s">
        <v>5856</v>
      </c>
      <c r="M303" t="s">
        <v>6931</v>
      </c>
      <c r="N303" s="3">
        <v>43360</v>
      </c>
      <c r="O303" s="3">
        <v>43359</v>
      </c>
      <c r="P303" t="s">
        <v>7251</v>
      </c>
      <c r="Q303" t="s">
        <v>7252</v>
      </c>
      <c r="R303" t="s">
        <v>6036</v>
      </c>
      <c r="S303" s="3">
        <v>43360</v>
      </c>
      <c r="T303" t="s">
        <v>9938</v>
      </c>
      <c r="U303" t="s">
        <v>7253</v>
      </c>
      <c r="V303" t="s">
        <v>7254</v>
      </c>
      <c r="W303" t="s">
        <v>5857</v>
      </c>
      <c r="X303" s="2">
        <v>200</v>
      </c>
      <c r="Y303" t="s">
        <v>5858</v>
      </c>
      <c r="Z303" t="s">
        <v>6037</v>
      </c>
      <c r="AA303" s="2">
        <v>1000</v>
      </c>
      <c r="AB303" t="s">
        <v>5863</v>
      </c>
      <c r="AC303" t="s">
        <v>9974</v>
      </c>
      <c r="AD303" s="32"/>
      <c r="AJ303" t="s">
        <v>9957</v>
      </c>
      <c r="AL303" t="s">
        <v>13879</v>
      </c>
    </row>
    <row r="304" spans="1:38">
      <c r="A304" t="s">
        <v>7255</v>
      </c>
      <c r="B304" t="s">
        <v>12956</v>
      </c>
      <c r="C304" t="s">
        <v>6098</v>
      </c>
      <c r="D304" t="s">
        <v>6017</v>
      </c>
      <c r="E304" s="2">
        <v>400</v>
      </c>
      <c r="F304" s="2">
        <v>20400</v>
      </c>
      <c r="G304" s="3">
        <v>43281</v>
      </c>
      <c r="H304" s="4">
        <v>0.70833333333333004</v>
      </c>
      <c r="I304" s="3">
        <v>43282</v>
      </c>
      <c r="J304" s="4">
        <v>0.125</v>
      </c>
      <c r="K304" s="2">
        <v>0</v>
      </c>
      <c r="L304" t="s">
        <v>5856</v>
      </c>
      <c r="M304" t="s">
        <v>7256</v>
      </c>
      <c r="N304" s="3"/>
      <c r="O304" s="3">
        <v>43284</v>
      </c>
      <c r="P304" t="s">
        <v>6018</v>
      </c>
      <c r="Q304" t="s">
        <v>6038</v>
      </c>
      <c r="R304" t="s">
        <v>6039</v>
      </c>
      <c r="S304" s="3"/>
      <c r="T304" t="s">
        <v>9938</v>
      </c>
      <c r="U304" t="s">
        <v>5963</v>
      </c>
      <c r="V304" t="s">
        <v>6041</v>
      </c>
      <c r="W304" t="s">
        <v>5857</v>
      </c>
      <c r="X304" s="2">
        <v>2040</v>
      </c>
      <c r="Y304" t="s">
        <v>5858</v>
      </c>
      <c r="Z304" t="s">
        <v>6037</v>
      </c>
      <c r="AA304" s="2">
        <v>0</v>
      </c>
      <c r="AB304" t="s">
        <v>5859</v>
      </c>
      <c r="AC304" t="s">
        <v>9979</v>
      </c>
      <c r="AD304" s="32">
        <v>43280</v>
      </c>
      <c r="AJ304" t="s">
        <v>9958</v>
      </c>
      <c r="AL304" t="s">
        <v>13880</v>
      </c>
    </row>
    <row r="305" spans="1:38">
      <c r="A305" t="s">
        <v>7255</v>
      </c>
      <c r="B305" t="s">
        <v>12957</v>
      </c>
      <c r="C305" t="s">
        <v>9045</v>
      </c>
      <c r="D305" t="s">
        <v>9046</v>
      </c>
      <c r="E305" s="2">
        <v>665</v>
      </c>
      <c r="F305" s="2">
        <v>12240</v>
      </c>
      <c r="G305" s="3">
        <v>43282</v>
      </c>
      <c r="H305" s="4">
        <v>0.14583333333333001</v>
      </c>
      <c r="I305" s="3">
        <v>43282</v>
      </c>
      <c r="J305" s="4">
        <v>0.39583333333332998</v>
      </c>
      <c r="K305" s="2">
        <v>0</v>
      </c>
      <c r="L305" t="s">
        <v>5856</v>
      </c>
      <c r="M305" t="s">
        <v>9793</v>
      </c>
      <c r="N305" s="3">
        <v>43284</v>
      </c>
      <c r="O305" s="3">
        <v>43284</v>
      </c>
      <c r="P305" t="s">
        <v>6018</v>
      </c>
      <c r="Q305" t="s">
        <v>12958</v>
      </c>
      <c r="R305" t="s">
        <v>6036</v>
      </c>
      <c r="S305" s="3">
        <v>43304</v>
      </c>
      <c r="T305" t="s">
        <v>9938</v>
      </c>
      <c r="U305" t="s">
        <v>5963</v>
      </c>
      <c r="V305" t="s">
        <v>6760</v>
      </c>
      <c r="W305" t="s">
        <v>5857</v>
      </c>
      <c r="X305" s="2">
        <v>2040</v>
      </c>
      <c r="Y305" t="s">
        <v>5858</v>
      </c>
      <c r="Z305" t="s">
        <v>6037</v>
      </c>
      <c r="AA305" s="2">
        <v>425</v>
      </c>
      <c r="AB305" t="s">
        <v>5859</v>
      </c>
      <c r="AC305" t="s">
        <v>13767</v>
      </c>
      <c r="AD305" s="32">
        <v>43280</v>
      </c>
      <c r="AJ305" t="s">
        <v>9958</v>
      </c>
      <c r="AL305" t="s">
        <v>13881</v>
      </c>
    </row>
    <row r="306" spans="1:38">
      <c r="A306" t="s">
        <v>7255</v>
      </c>
      <c r="B306" t="s">
        <v>12959</v>
      </c>
      <c r="C306" t="s">
        <v>6098</v>
      </c>
      <c r="D306" t="s">
        <v>6017</v>
      </c>
      <c r="E306" s="2">
        <v>400</v>
      </c>
      <c r="F306" s="2">
        <v>20400</v>
      </c>
      <c r="G306" s="3">
        <v>43282</v>
      </c>
      <c r="H306" s="4">
        <v>0.41666666666667002</v>
      </c>
      <c r="I306" s="3">
        <v>43282</v>
      </c>
      <c r="J306" s="4">
        <v>0.83333333333333004</v>
      </c>
      <c r="K306" s="2">
        <v>0</v>
      </c>
      <c r="L306" t="s">
        <v>5856</v>
      </c>
      <c r="M306" t="s">
        <v>7256</v>
      </c>
      <c r="N306" s="3"/>
      <c r="O306" s="3">
        <v>43284</v>
      </c>
      <c r="P306" t="s">
        <v>6018</v>
      </c>
      <c r="Q306" t="s">
        <v>6038</v>
      </c>
      <c r="R306" t="s">
        <v>6039</v>
      </c>
      <c r="S306" s="3"/>
      <c r="T306" t="s">
        <v>9938</v>
      </c>
      <c r="U306" t="s">
        <v>5963</v>
      </c>
      <c r="V306" t="s">
        <v>6041</v>
      </c>
      <c r="W306" t="s">
        <v>5857</v>
      </c>
      <c r="X306" s="2">
        <v>2040</v>
      </c>
      <c r="Y306" t="s">
        <v>5858</v>
      </c>
      <c r="Z306" t="s">
        <v>6037</v>
      </c>
      <c r="AA306" s="2">
        <v>0</v>
      </c>
      <c r="AB306" t="s">
        <v>5859</v>
      </c>
      <c r="AC306" t="s">
        <v>9979</v>
      </c>
      <c r="AD306" s="32">
        <v>43280</v>
      </c>
      <c r="AJ306" t="s">
        <v>9958</v>
      </c>
      <c r="AL306" t="s">
        <v>13882</v>
      </c>
    </row>
    <row r="307" spans="1:38">
      <c r="A307" t="s">
        <v>7255</v>
      </c>
      <c r="B307" t="s">
        <v>12960</v>
      </c>
      <c r="C307" t="s">
        <v>6711</v>
      </c>
      <c r="D307" t="s">
        <v>6712</v>
      </c>
      <c r="E307" s="5">
        <v>20399.999</v>
      </c>
      <c r="F307" s="5">
        <v>20399.999</v>
      </c>
      <c r="G307" s="3">
        <v>43282</v>
      </c>
      <c r="H307" s="4">
        <v>0.62980324074074001</v>
      </c>
      <c r="I307" s="3">
        <v>43283</v>
      </c>
      <c r="J307" s="4">
        <v>4.6469907407409999E-2</v>
      </c>
      <c r="K307" s="2">
        <v>0</v>
      </c>
      <c r="L307" t="s">
        <v>5856</v>
      </c>
      <c r="M307" t="s">
        <v>7256</v>
      </c>
      <c r="N307" s="3"/>
      <c r="O307" s="3">
        <v>43285</v>
      </c>
      <c r="P307" t="s">
        <v>6018</v>
      </c>
      <c r="Q307" t="s">
        <v>6713</v>
      </c>
      <c r="R307" t="s">
        <v>6036</v>
      </c>
      <c r="S307" s="3">
        <v>43286</v>
      </c>
      <c r="T307" t="s">
        <v>9938</v>
      </c>
      <c r="U307" t="s">
        <v>6714</v>
      </c>
      <c r="V307" t="s">
        <v>5973</v>
      </c>
      <c r="W307" t="s">
        <v>5857</v>
      </c>
      <c r="X307" s="2">
        <v>2040</v>
      </c>
      <c r="Y307" t="s">
        <v>5858</v>
      </c>
      <c r="Z307" t="s">
        <v>6037</v>
      </c>
      <c r="AA307" s="2">
        <v>20000</v>
      </c>
      <c r="AB307" t="s">
        <v>5863</v>
      </c>
      <c r="AC307" t="s">
        <v>9979</v>
      </c>
      <c r="AD307" s="32">
        <v>43280</v>
      </c>
      <c r="AJ307" t="s">
        <v>9958</v>
      </c>
      <c r="AL307" t="s">
        <v>13883</v>
      </c>
    </row>
    <row r="308" spans="1:38">
      <c r="A308" t="s">
        <v>7255</v>
      </c>
      <c r="B308" t="s">
        <v>12448</v>
      </c>
      <c r="C308" t="s">
        <v>9004</v>
      </c>
      <c r="D308" t="s">
        <v>9005</v>
      </c>
      <c r="E308" s="2">
        <v>10200</v>
      </c>
      <c r="F308" s="2">
        <v>10200</v>
      </c>
      <c r="G308" s="3">
        <v>43283</v>
      </c>
      <c r="H308" s="4">
        <v>8.3333333333329998E-2</v>
      </c>
      <c r="I308" s="3">
        <v>43283</v>
      </c>
      <c r="J308" s="4">
        <v>0.29166666666667002</v>
      </c>
      <c r="K308" s="2">
        <v>20</v>
      </c>
      <c r="L308" t="s">
        <v>5856</v>
      </c>
      <c r="M308" t="s">
        <v>6931</v>
      </c>
      <c r="N308" s="3">
        <v>43297</v>
      </c>
      <c r="O308" s="3">
        <v>43285</v>
      </c>
      <c r="P308" t="s">
        <v>5889</v>
      </c>
      <c r="Q308" t="s">
        <v>9006</v>
      </c>
      <c r="R308" t="s">
        <v>6036</v>
      </c>
      <c r="S308" s="3">
        <v>43297</v>
      </c>
      <c r="T308" t="s">
        <v>9938</v>
      </c>
      <c r="U308" t="s">
        <v>5874</v>
      </c>
      <c r="V308" t="s">
        <v>9007</v>
      </c>
      <c r="W308" t="s">
        <v>5857</v>
      </c>
      <c r="X308" s="2">
        <v>2040</v>
      </c>
      <c r="Y308" t="s">
        <v>5858</v>
      </c>
      <c r="Z308" t="s">
        <v>6037</v>
      </c>
      <c r="AA308" s="2">
        <v>10000</v>
      </c>
      <c r="AB308" t="s">
        <v>5859</v>
      </c>
      <c r="AC308" t="s">
        <v>9978</v>
      </c>
      <c r="AD308" s="32">
        <v>43248</v>
      </c>
      <c r="AJ308" t="s">
        <v>9958</v>
      </c>
      <c r="AL308" t="s">
        <v>13884</v>
      </c>
    </row>
    <row r="309" spans="1:38">
      <c r="A309" t="s">
        <v>7255</v>
      </c>
      <c r="B309" t="s">
        <v>11767</v>
      </c>
      <c r="C309" t="s">
        <v>7257</v>
      </c>
      <c r="D309" t="s">
        <v>7258</v>
      </c>
      <c r="E309" s="2">
        <v>20400</v>
      </c>
      <c r="F309" s="2">
        <v>20400</v>
      </c>
      <c r="G309" s="3">
        <v>43283</v>
      </c>
      <c r="H309" s="4">
        <v>0.3125</v>
      </c>
      <c r="I309" s="3">
        <v>43283</v>
      </c>
      <c r="J309" s="4">
        <v>0.72916666666666996</v>
      </c>
      <c r="K309" s="2">
        <v>20</v>
      </c>
      <c r="L309" t="s">
        <v>5856</v>
      </c>
      <c r="M309" t="s">
        <v>7256</v>
      </c>
      <c r="N309" s="3">
        <v>43340</v>
      </c>
      <c r="O309" s="3">
        <v>43285</v>
      </c>
      <c r="P309" t="s">
        <v>6018</v>
      </c>
      <c r="Q309" t="s">
        <v>7267</v>
      </c>
      <c r="R309" t="s">
        <v>6036</v>
      </c>
      <c r="S309" s="3">
        <v>43340</v>
      </c>
      <c r="T309" t="s">
        <v>9938</v>
      </c>
      <c r="U309" t="s">
        <v>5963</v>
      </c>
      <c r="V309" t="s">
        <v>7259</v>
      </c>
      <c r="W309" t="s">
        <v>5857</v>
      </c>
      <c r="X309" s="2">
        <v>2040</v>
      </c>
      <c r="Y309" t="s">
        <v>5858</v>
      </c>
      <c r="Z309" t="s">
        <v>6037</v>
      </c>
      <c r="AA309" s="2">
        <v>20000</v>
      </c>
      <c r="AB309" t="s">
        <v>5859</v>
      </c>
      <c r="AC309" t="s">
        <v>9978</v>
      </c>
      <c r="AD309" s="32">
        <v>43221</v>
      </c>
      <c r="AJ309" t="s">
        <v>9958</v>
      </c>
      <c r="AL309" t="s">
        <v>13885</v>
      </c>
    </row>
    <row r="310" spans="1:38">
      <c r="A310" t="s">
        <v>7255</v>
      </c>
      <c r="B310" t="s">
        <v>11764</v>
      </c>
      <c r="C310" t="s">
        <v>6050</v>
      </c>
      <c r="D310" t="s">
        <v>5888</v>
      </c>
      <c r="E310" s="2">
        <v>20400</v>
      </c>
      <c r="F310" s="2">
        <v>20400</v>
      </c>
      <c r="G310" s="3">
        <v>43284</v>
      </c>
      <c r="H310" s="4">
        <v>8.3333333333329998E-2</v>
      </c>
      <c r="I310" s="3">
        <v>43284</v>
      </c>
      <c r="J310" s="4">
        <v>0.5</v>
      </c>
      <c r="K310" s="2">
        <v>0</v>
      </c>
      <c r="L310" t="s">
        <v>5856</v>
      </c>
      <c r="M310" t="s">
        <v>7256</v>
      </c>
      <c r="N310" s="3">
        <v>43286</v>
      </c>
      <c r="O310" s="3">
        <v>43286</v>
      </c>
      <c r="P310" t="s">
        <v>5889</v>
      </c>
      <c r="Q310" t="s">
        <v>7265</v>
      </c>
      <c r="R310" t="s">
        <v>6036</v>
      </c>
      <c r="S310" s="3">
        <v>43286</v>
      </c>
      <c r="T310" t="s">
        <v>9938</v>
      </c>
      <c r="U310" t="s">
        <v>5886</v>
      </c>
      <c r="V310" t="s">
        <v>6041</v>
      </c>
      <c r="W310" t="s">
        <v>5857</v>
      </c>
      <c r="X310" s="2">
        <v>2040</v>
      </c>
      <c r="Y310" t="s">
        <v>5858</v>
      </c>
      <c r="Z310" t="s">
        <v>6037</v>
      </c>
      <c r="AA310" s="2">
        <v>20000</v>
      </c>
      <c r="AB310" t="s">
        <v>5859</v>
      </c>
      <c r="AC310" t="s">
        <v>9979</v>
      </c>
      <c r="AD310" s="32">
        <v>43272</v>
      </c>
      <c r="AJ310" t="s">
        <v>9958</v>
      </c>
      <c r="AL310" t="s">
        <v>13886</v>
      </c>
    </row>
    <row r="311" spans="1:38">
      <c r="A311" t="s">
        <v>7255</v>
      </c>
      <c r="B311" t="s">
        <v>12961</v>
      </c>
      <c r="C311" t="s">
        <v>6711</v>
      </c>
      <c r="D311" t="s">
        <v>6712</v>
      </c>
      <c r="E311" s="5">
        <v>20399.999</v>
      </c>
      <c r="F311" s="5">
        <v>20399.999</v>
      </c>
      <c r="G311" s="3">
        <v>43284</v>
      </c>
      <c r="H311" s="4">
        <v>0.52083333333333004</v>
      </c>
      <c r="I311" s="3">
        <v>43284</v>
      </c>
      <c r="J311" s="4">
        <v>0.9375</v>
      </c>
      <c r="K311" s="2">
        <v>0</v>
      </c>
      <c r="L311" t="s">
        <v>5856</v>
      </c>
      <c r="M311" t="s">
        <v>7256</v>
      </c>
      <c r="N311" s="3">
        <v>43287</v>
      </c>
      <c r="O311" s="3">
        <v>43286</v>
      </c>
      <c r="P311" t="s">
        <v>6018</v>
      </c>
      <c r="Q311" t="s">
        <v>12962</v>
      </c>
      <c r="R311" t="s">
        <v>6036</v>
      </c>
      <c r="S311" s="3">
        <v>43286</v>
      </c>
      <c r="T311" t="s">
        <v>9938</v>
      </c>
      <c r="U311" t="s">
        <v>6714</v>
      </c>
      <c r="V311" t="s">
        <v>5973</v>
      </c>
      <c r="W311" t="s">
        <v>5857</v>
      </c>
      <c r="X311" s="2">
        <v>2040</v>
      </c>
      <c r="Y311" t="s">
        <v>5858</v>
      </c>
      <c r="Z311" t="s">
        <v>6037</v>
      </c>
      <c r="AA311" s="2">
        <v>20000</v>
      </c>
      <c r="AB311" t="s">
        <v>5863</v>
      </c>
      <c r="AC311" t="s">
        <v>9979</v>
      </c>
      <c r="AD311" s="32">
        <v>43280</v>
      </c>
      <c r="AJ311" t="s">
        <v>9958</v>
      </c>
      <c r="AL311" t="s">
        <v>13887</v>
      </c>
    </row>
    <row r="312" spans="1:38">
      <c r="A312" t="s">
        <v>7255</v>
      </c>
      <c r="B312" t="s">
        <v>12963</v>
      </c>
      <c r="C312" t="s">
        <v>6711</v>
      </c>
      <c r="D312" t="s">
        <v>6712</v>
      </c>
      <c r="E312" s="5">
        <v>20399.999</v>
      </c>
      <c r="F312" s="5">
        <v>20399.999</v>
      </c>
      <c r="G312" s="3">
        <v>43284</v>
      </c>
      <c r="H312" s="4">
        <v>0.58332175925926</v>
      </c>
      <c r="I312" s="3">
        <v>43284</v>
      </c>
      <c r="J312" s="4">
        <v>0.99998842592592996</v>
      </c>
      <c r="K312" s="2">
        <v>0</v>
      </c>
      <c r="L312" t="s">
        <v>5856</v>
      </c>
      <c r="M312" t="s">
        <v>7256</v>
      </c>
      <c r="N312" s="3">
        <v>43286</v>
      </c>
      <c r="O312" s="3">
        <v>43286</v>
      </c>
      <c r="P312" t="s">
        <v>6018</v>
      </c>
      <c r="Q312" t="s">
        <v>8209</v>
      </c>
      <c r="R312" t="s">
        <v>6036</v>
      </c>
      <c r="S312" s="3">
        <v>43287</v>
      </c>
      <c r="T312" t="s">
        <v>9938</v>
      </c>
      <c r="U312" t="s">
        <v>6714</v>
      </c>
      <c r="V312" t="s">
        <v>5973</v>
      </c>
      <c r="W312" t="s">
        <v>5857</v>
      </c>
      <c r="X312" s="2">
        <v>2040</v>
      </c>
      <c r="Y312" t="s">
        <v>5858</v>
      </c>
      <c r="Z312" t="s">
        <v>6037</v>
      </c>
      <c r="AA312" s="2">
        <v>20000</v>
      </c>
      <c r="AB312" t="s">
        <v>5863</v>
      </c>
      <c r="AC312" t="s">
        <v>9979</v>
      </c>
      <c r="AD312" s="32">
        <v>43280</v>
      </c>
      <c r="AJ312" t="s">
        <v>9958</v>
      </c>
      <c r="AL312" t="s">
        <v>13888</v>
      </c>
    </row>
    <row r="313" spans="1:38">
      <c r="A313" t="s">
        <v>7255</v>
      </c>
      <c r="B313" t="s">
        <v>12964</v>
      </c>
      <c r="C313" t="s">
        <v>6711</v>
      </c>
      <c r="D313" t="s">
        <v>6712</v>
      </c>
      <c r="E313" s="5">
        <v>20399.999</v>
      </c>
      <c r="F313" s="5">
        <v>20399.999</v>
      </c>
      <c r="G313" s="3">
        <v>43284</v>
      </c>
      <c r="H313" s="4">
        <v>0.58332175925926</v>
      </c>
      <c r="I313" s="3">
        <v>43284</v>
      </c>
      <c r="J313" s="4">
        <v>0.99998842592592996</v>
      </c>
      <c r="K313" s="2">
        <v>0</v>
      </c>
      <c r="L313" t="s">
        <v>5856</v>
      </c>
      <c r="M313" t="s">
        <v>7256</v>
      </c>
      <c r="N313" s="3">
        <v>43286</v>
      </c>
      <c r="O313" s="3">
        <v>43286</v>
      </c>
      <c r="P313" t="s">
        <v>6018</v>
      </c>
      <c r="Q313" t="s">
        <v>6722</v>
      </c>
      <c r="R313" t="s">
        <v>6036</v>
      </c>
      <c r="S313" s="3">
        <v>43293</v>
      </c>
      <c r="T313" t="s">
        <v>9938</v>
      </c>
      <c r="U313" t="s">
        <v>6714</v>
      </c>
      <c r="V313" t="s">
        <v>5973</v>
      </c>
      <c r="W313" t="s">
        <v>5857</v>
      </c>
      <c r="X313" s="2">
        <v>2040</v>
      </c>
      <c r="Y313" t="s">
        <v>5858</v>
      </c>
      <c r="Z313" t="s">
        <v>6037</v>
      </c>
      <c r="AA313" s="2">
        <v>20000</v>
      </c>
      <c r="AB313" t="s">
        <v>5863</v>
      </c>
      <c r="AC313" t="s">
        <v>9979</v>
      </c>
      <c r="AD313" s="32">
        <v>43280</v>
      </c>
      <c r="AJ313" t="s">
        <v>9958</v>
      </c>
      <c r="AL313" t="s">
        <v>13889</v>
      </c>
    </row>
    <row r="314" spans="1:38">
      <c r="A314" t="s">
        <v>7255</v>
      </c>
      <c r="B314" t="s">
        <v>12965</v>
      </c>
      <c r="C314" t="s">
        <v>6711</v>
      </c>
      <c r="D314" t="s">
        <v>6712</v>
      </c>
      <c r="E314" s="5">
        <v>399.99900000000002</v>
      </c>
      <c r="F314" s="5">
        <v>20399.999</v>
      </c>
      <c r="G314" s="3">
        <v>43284</v>
      </c>
      <c r="H314" s="4">
        <v>0.95833333333333004</v>
      </c>
      <c r="I314" s="3">
        <v>43285</v>
      </c>
      <c r="J314" s="4">
        <v>0.375</v>
      </c>
      <c r="K314" s="2">
        <v>0</v>
      </c>
      <c r="L314" t="s">
        <v>5856</v>
      </c>
      <c r="M314" t="s">
        <v>7256</v>
      </c>
      <c r="N314" s="3">
        <v>43269</v>
      </c>
      <c r="O314" s="3">
        <v>43287</v>
      </c>
      <c r="P314" t="s">
        <v>6018</v>
      </c>
      <c r="Q314" t="s">
        <v>6038</v>
      </c>
      <c r="R314" t="s">
        <v>6039</v>
      </c>
      <c r="S314" s="3"/>
      <c r="T314" t="s">
        <v>9938</v>
      </c>
      <c r="U314" t="s">
        <v>6714</v>
      </c>
      <c r="V314" t="s">
        <v>5973</v>
      </c>
      <c r="W314" t="s">
        <v>5857</v>
      </c>
      <c r="X314" s="2">
        <v>2040</v>
      </c>
      <c r="Y314" t="s">
        <v>5858</v>
      </c>
      <c r="Z314" t="s">
        <v>6037</v>
      </c>
      <c r="AA314" s="2">
        <v>0</v>
      </c>
      <c r="AB314" t="s">
        <v>5859</v>
      </c>
      <c r="AC314" t="s">
        <v>9979</v>
      </c>
      <c r="AD314" s="32">
        <v>43280</v>
      </c>
      <c r="AJ314" t="s">
        <v>9958</v>
      </c>
      <c r="AL314" t="s">
        <v>13890</v>
      </c>
    </row>
    <row r="315" spans="1:38">
      <c r="A315" t="s">
        <v>7255</v>
      </c>
      <c r="B315" t="s">
        <v>12966</v>
      </c>
      <c r="C315" t="s">
        <v>6050</v>
      </c>
      <c r="D315" t="s">
        <v>5888</v>
      </c>
      <c r="E315" s="5">
        <v>20399.999</v>
      </c>
      <c r="F315" s="5">
        <v>20399.999</v>
      </c>
      <c r="G315" s="3">
        <v>43285</v>
      </c>
      <c r="H315" s="4">
        <v>0.39583333333332998</v>
      </c>
      <c r="I315" s="3">
        <v>43285</v>
      </c>
      <c r="J315" s="4">
        <v>0.8125</v>
      </c>
      <c r="K315" s="2">
        <v>0</v>
      </c>
      <c r="L315" t="s">
        <v>5856</v>
      </c>
      <c r="M315" t="s">
        <v>7256</v>
      </c>
      <c r="N315" s="3">
        <v>43286</v>
      </c>
      <c r="O315" s="3">
        <v>43287</v>
      </c>
      <c r="P315" t="s">
        <v>5889</v>
      </c>
      <c r="Q315" t="s">
        <v>6038</v>
      </c>
      <c r="R315" t="s">
        <v>6040</v>
      </c>
      <c r="S315" s="3">
        <v>43288</v>
      </c>
      <c r="T315" t="s">
        <v>9938</v>
      </c>
      <c r="U315" t="s">
        <v>5886</v>
      </c>
      <c r="V315" t="s">
        <v>6041</v>
      </c>
      <c r="W315" t="s">
        <v>5857</v>
      </c>
      <c r="X315" s="2">
        <v>2040</v>
      </c>
      <c r="Y315" t="s">
        <v>5858</v>
      </c>
      <c r="Z315" t="s">
        <v>6037</v>
      </c>
      <c r="AA315" s="2">
        <v>20000</v>
      </c>
      <c r="AB315" t="s">
        <v>5863</v>
      </c>
      <c r="AC315" t="s">
        <v>9979</v>
      </c>
      <c r="AD315" s="32">
        <v>43280</v>
      </c>
      <c r="AJ315" t="s">
        <v>9958</v>
      </c>
      <c r="AL315" t="s">
        <v>13891</v>
      </c>
    </row>
    <row r="316" spans="1:38">
      <c r="A316" t="s">
        <v>7255</v>
      </c>
      <c r="B316" t="s">
        <v>12967</v>
      </c>
      <c r="C316" t="s">
        <v>6711</v>
      </c>
      <c r="D316" t="s">
        <v>6712</v>
      </c>
      <c r="E316" s="5">
        <v>20399.999</v>
      </c>
      <c r="F316" s="5">
        <v>20399.999</v>
      </c>
      <c r="G316" s="3">
        <v>43285</v>
      </c>
      <c r="H316" s="4">
        <v>0.58332175925926</v>
      </c>
      <c r="I316" s="3">
        <v>43285</v>
      </c>
      <c r="J316" s="4">
        <v>0.99998842592592996</v>
      </c>
      <c r="K316" s="2">
        <v>0</v>
      </c>
      <c r="L316" t="s">
        <v>5856</v>
      </c>
      <c r="M316" t="s">
        <v>7256</v>
      </c>
      <c r="N316" s="3">
        <v>43287</v>
      </c>
      <c r="O316" s="3">
        <v>43287</v>
      </c>
      <c r="P316" t="s">
        <v>6018</v>
      </c>
      <c r="Q316" t="s">
        <v>12968</v>
      </c>
      <c r="R316" t="s">
        <v>6036</v>
      </c>
      <c r="S316" s="3">
        <v>43293</v>
      </c>
      <c r="T316" t="s">
        <v>9938</v>
      </c>
      <c r="U316" t="s">
        <v>6714</v>
      </c>
      <c r="V316" t="s">
        <v>5973</v>
      </c>
      <c r="W316" t="s">
        <v>5857</v>
      </c>
      <c r="X316" s="2">
        <v>2040</v>
      </c>
      <c r="Y316" t="s">
        <v>5858</v>
      </c>
      <c r="Z316" t="s">
        <v>6037</v>
      </c>
      <c r="AA316" s="2">
        <v>20000</v>
      </c>
      <c r="AB316" t="s">
        <v>5863</v>
      </c>
      <c r="AC316" t="s">
        <v>9979</v>
      </c>
      <c r="AD316" s="32">
        <v>43280</v>
      </c>
      <c r="AJ316" t="s">
        <v>9958</v>
      </c>
      <c r="AL316" t="s">
        <v>13892</v>
      </c>
    </row>
    <row r="317" spans="1:38">
      <c r="A317" t="s">
        <v>7255</v>
      </c>
      <c r="B317" t="s">
        <v>12969</v>
      </c>
      <c r="C317" t="s">
        <v>6090</v>
      </c>
      <c r="D317" t="s">
        <v>6006</v>
      </c>
      <c r="E317" s="2">
        <v>20400</v>
      </c>
      <c r="F317" s="2">
        <v>20400</v>
      </c>
      <c r="G317" s="3">
        <v>43286</v>
      </c>
      <c r="H317" s="4">
        <v>2.0833333333330002E-2</v>
      </c>
      <c r="I317" s="3">
        <v>43286</v>
      </c>
      <c r="J317" s="4">
        <v>0.4375</v>
      </c>
      <c r="K317" s="2">
        <v>0</v>
      </c>
      <c r="L317" t="s">
        <v>5856</v>
      </c>
      <c r="M317" t="s">
        <v>7256</v>
      </c>
      <c r="N317" s="3">
        <v>43286</v>
      </c>
      <c r="O317" s="3">
        <v>43288</v>
      </c>
      <c r="P317" t="s">
        <v>5889</v>
      </c>
      <c r="Q317" t="s">
        <v>6038</v>
      </c>
      <c r="R317" t="s">
        <v>6040</v>
      </c>
      <c r="S317" s="3">
        <v>43313</v>
      </c>
      <c r="T317" t="s">
        <v>9938</v>
      </c>
      <c r="U317" t="s">
        <v>5874</v>
      </c>
      <c r="V317" t="s">
        <v>6041</v>
      </c>
      <c r="W317" t="s">
        <v>5857</v>
      </c>
      <c r="X317" s="2">
        <v>2040</v>
      </c>
      <c r="Y317" t="s">
        <v>5858</v>
      </c>
      <c r="Z317" t="s">
        <v>6037</v>
      </c>
      <c r="AA317" s="2">
        <v>20000</v>
      </c>
      <c r="AB317" t="s">
        <v>5859</v>
      </c>
      <c r="AC317" t="s">
        <v>9979</v>
      </c>
      <c r="AD317" s="32">
        <v>43280</v>
      </c>
      <c r="AJ317" t="s">
        <v>9958</v>
      </c>
      <c r="AL317" t="s">
        <v>13893</v>
      </c>
    </row>
    <row r="318" spans="1:38">
      <c r="A318" t="s">
        <v>7255</v>
      </c>
      <c r="B318" t="s">
        <v>12970</v>
      </c>
      <c r="C318" t="s">
        <v>6050</v>
      </c>
      <c r="D318" t="s">
        <v>5888</v>
      </c>
      <c r="E318" s="2">
        <v>20000</v>
      </c>
      <c r="F318" s="2">
        <v>20000</v>
      </c>
      <c r="G318" s="3">
        <v>43286</v>
      </c>
      <c r="H318" s="4">
        <v>0.45833333333332998</v>
      </c>
      <c r="I318" s="3">
        <v>43286</v>
      </c>
      <c r="J318" s="4">
        <v>0.86682870370370002</v>
      </c>
      <c r="K318" s="2">
        <v>0</v>
      </c>
      <c r="L318" t="s">
        <v>5856</v>
      </c>
      <c r="M318" t="s">
        <v>7264</v>
      </c>
      <c r="N318" s="3">
        <v>43300</v>
      </c>
      <c r="O318" s="3">
        <v>43288</v>
      </c>
      <c r="P318" t="s">
        <v>5889</v>
      </c>
      <c r="Q318" t="s">
        <v>6038</v>
      </c>
      <c r="R318" t="s">
        <v>6040</v>
      </c>
      <c r="S318" s="3">
        <v>43288</v>
      </c>
      <c r="T318" t="s">
        <v>9938</v>
      </c>
      <c r="U318" t="s">
        <v>5886</v>
      </c>
      <c r="V318" t="s">
        <v>6041</v>
      </c>
      <c r="W318" t="s">
        <v>5857</v>
      </c>
      <c r="X318" s="2">
        <v>2040</v>
      </c>
      <c r="Y318" t="s">
        <v>5858</v>
      </c>
      <c r="Z318" t="s">
        <v>6037</v>
      </c>
      <c r="AA318" s="2">
        <v>20000</v>
      </c>
      <c r="AB318" t="s">
        <v>5863</v>
      </c>
      <c r="AC318" t="s">
        <v>9979</v>
      </c>
      <c r="AD318" s="32">
        <v>43280</v>
      </c>
      <c r="AJ318" t="s">
        <v>9958</v>
      </c>
      <c r="AL318" t="s">
        <v>13894</v>
      </c>
    </row>
    <row r="319" spans="1:38">
      <c r="A319" t="s">
        <v>7255</v>
      </c>
      <c r="B319" t="s">
        <v>12971</v>
      </c>
      <c r="C319" t="s">
        <v>6711</v>
      </c>
      <c r="D319" t="s">
        <v>6712</v>
      </c>
      <c r="E319" s="2">
        <v>10200</v>
      </c>
      <c r="F319" s="2">
        <v>10200</v>
      </c>
      <c r="G319" s="3">
        <v>43286</v>
      </c>
      <c r="H319" s="4">
        <v>0.88766203703704005</v>
      </c>
      <c r="I319" s="3">
        <v>43287</v>
      </c>
      <c r="J319" s="4">
        <v>9.5995370370369995E-2</v>
      </c>
      <c r="K319" s="2">
        <v>0</v>
      </c>
      <c r="L319" t="s">
        <v>5856</v>
      </c>
      <c r="M319" t="s">
        <v>6931</v>
      </c>
      <c r="N319" s="3"/>
      <c r="O319" s="3">
        <v>43289</v>
      </c>
      <c r="P319" t="s">
        <v>6018</v>
      </c>
      <c r="Q319" t="s">
        <v>12972</v>
      </c>
      <c r="R319" t="s">
        <v>6036</v>
      </c>
      <c r="S319" s="3">
        <v>43298</v>
      </c>
      <c r="T319" t="s">
        <v>9938</v>
      </c>
      <c r="U319" t="s">
        <v>6714</v>
      </c>
      <c r="V319" t="s">
        <v>5973</v>
      </c>
      <c r="W319" t="s">
        <v>5857</v>
      </c>
      <c r="X319" s="2">
        <v>2040</v>
      </c>
      <c r="Y319" t="s">
        <v>5858</v>
      </c>
      <c r="Z319" t="s">
        <v>6037</v>
      </c>
      <c r="AA319" s="2">
        <v>10000</v>
      </c>
      <c r="AB319" t="s">
        <v>5863</v>
      </c>
      <c r="AC319" t="s">
        <v>9979</v>
      </c>
      <c r="AD319" s="32">
        <v>43280</v>
      </c>
      <c r="AJ319" t="s">
        <v>9958</v>
      </c>
      <c r="AL319" t="s">
        <v>13895</v>
      </c>
    </row>
    <row r="320" spans="1:38">
      <c r="A320" t="s">
        <v>7255</v>
      </c>
      <c r="B320" t="s">
        <v>12973</v>
      </c>
      <c r="C320" t="s">
        <v>6711</v>
      </c>
      <c r="D320" t="s">
        <v>6712</v>
      </c>
      <c r="E320" s="5">
        <v>20399.999</v>
      </c>
      <c r="F320" s="5">
        <v>20399.999</v>
      </c>
      <c r="G320" s="3">
        <v>43287</v>
      </c>
      <c r="H320" s="4">
        <v>0.24136574074073999</v>
      </c>
      <c r="I320" s="3">
        <v>43287</v>
      </c>
      <c r="J320" s="4">
        <v>0.65803240740740998</v>
      </c>
      <c r="K320" s="2">
        <v>0</v>
      </c>
      <c r="L320" t="s">
        <v>5856</v>
      </c>
      <c r="M320" t="s">
        <v>7256</v>
      </c>
      <c r="N320" s="3">
        <v>43293</v>
      </c>
      <c r="O320" s="3">
        <v>43289</v>
      </c>
      <c r="P320" t="s">
        <v>6018</v>
      </c>
      <c r="Q320" t="s">
        <v>12974</v>
      </c>
      <c r="R320" t="s">
        <v>6036</v>
      </c>
      <c r="S320" s="3">
        <v>43300</v>
      </c>
      <c r="T320" t="s">
        <v>9938</v>
      </c>
      <c r="U320" t="s">
        <v>6714</v>
      </c>
      <c r="V320" t="s">
        <v>5973</v>
      </c>
      <c r="W320" t="s">
        <v>5857</v>
      </c>
      <c r="X320" s="2">
        <v>2040</v>
      </c>
      <c r="Y320" t="s">
        <v>5858</v>
      </c>
      <c r="Z320" t="s">
        <v>6037</v>
      </c>
      <c r="AA320" s="2">
        <v>20000</v>
      </c>
      <c r="AB320" t="s">
        <v>5859</v>
      </c>
      <c r="AC320" t="s">
        <v>9979</v>
      </c>
      <c r="AD320" s="32">
        <v>43280</v>
      </c>
      <c r="AJ320" t="s">
        <v>9958</v>
      </c>
      <c r="AL320" t="s">
        <v>13896</v>
      </c>
    </row>
    <row r="321" spans="1:38">
      <c r="A321" t="s">
        <v>7255</v>
      </c>
      <c r="B321" t="s">
        <v>11766</v>
      </c>
      <c r="C321" t="s">
        <v>6862</v>
      </c>
      <c r="D321" t="s">
        <v>6863</v>
      </c>
      <c r="E321" s="5">
        <v>20399.999</v>
      </c>
      <c r="F321" s="5">
        <v>20399.999</v>
      </c>
      <c r="G321" s="3">
        <v>43289</v>
      </c>
      <c r="H321" s="4">
        <v>0.58332175925926</v>
      </c>
      <c r="I321" s="3">
        <v>43289</v>
      </c>
      <c r="J321" s="4">
        <v>0.99998842592592996</v>
      </c>
      <c r="K321" s="2">
        <v>0</v>
      </c>
      <c r="L321" t="s">
        <v>5856</v>
      </c>
      <c r="M321" t="s">
        <v>7256</v>
      </c>
      <c r="N321" s="3">
        <v>43291</v>
      </c>
      <c r="O321" s="3">
        <v>43291</v>
      </c>
      <c r="P321" t="s">
        <v>6026</v>
      </c>
      <c r="Q321" t="s">
        <v>6038</v>
      </c>
      <c r="R321" t="s">
        <v>6040</v>
      </c>
      <c r="S321" s="3">
        <v>43313</v>
      </c>
      <c r="T321" t="s">
        <v>9938</v>
      </c>
      <c r="U321" t="s">
        <v>5961</v>
      </c>
      <c r="V321" t="s">
        <v>6864</v>
      </c>
      <c r="W321" t="s">
        <v>5857</v>
      </c>
      <c r="X321" s="2">
        <v>0</v>
      </c>
      <c r="Y321" t="s">
        <v>5858</v>
      </c>
      <c r="Z321" t="s">
        <v>6037</v>
      </c>
      <c r="AA321" s="2">
        <v>20000</v>
      </c>
      <c r="AB321" t="s">
        <v>5861</v>
      </c>
      <c r="AC321" t="s">
        <v>9980</v>
      </c>
      <c r="AD321" s="32"/>
      <c r="AJ321" t="s">
        <v>9958</v>
      </c>
      <c r="AL321" t="s">
        <v>10654</v>
      </c>
    </row>
    <row r="322" spans="1:38">
      <c r="A322" t="s">
        <v>7255</v>
      </c>
      <c r="B322" t="s">
        <v>12285</v>
      </c>
      <c r="C322" t="s">
        <v>7275</v>
      </c>
      <c r="D322" t="s">
        <v>7276</v>
      </c>
      <c r="E322" s="2">
        <v>180</v>
      </c>
      <c r="F322" s="2">
        <v>9180</v>
      </c>
      <c r="G322" s="3">
        <v>43290</v>
      </c>
      <c r="H322" s="4">
        <v>2.0833333333330002E-2</v>
      </c>
      <c r="I322" s="3">
        <v>43290</v>
      </c>
      <c r="J322" s="4">
        <v>0.20833333333333001</v>
      </c>
      <c r="K322" s="2">
        <v>20</v>
      </c>
      <c r="L322" t="s">
        <v>5856</v>
      </c>
      <c r="M322" t="s">
        <v>12975</v>
      </c>
      <c r="N322" s="3">
        <v>43294</v>
      </c>
      <c r="O322" s="3">
        <v>43292</v>
      </c>
      <c r="P322" t="s">
        <v>6018</v>
      </c>
      <c r="Q322" t="s">
        <v>6038</v>
      </c>
      <c r="R322" t="s">
        <v>6039</v>
      </c>
      <c r="S322" s="3"/>
      <c r="T322" t="s">
        <v>9938</v>
      </c>
      <c r="U322" t="s">
        <v>5963</v>
      </c>
      <c r="V322" t="s">
        <v>6066</v>
      </c>
      <c r="W322" t="s">
        <v>5857</v>
      </c>
      <c r="X322" s="2">
        <v>2040</v>
      </c>
      <c r="Y322" t="s">
        <v>5858</v>
      </c>
      <c r="Z322" t="s">
        <v>6037</v>
      </c>
      <c r="AA322" s="2">
        <v>0</v>
      </c>
      <c r="AB322" t="s">
        <v>5859</v>
      </c>
      <c r="AC322" t="s">
        <v>9978</v>
      </c>
      <c r="AD322" s="32">
        <v>43227</v>
      </c>
      <c r="AJ322" t="s">
        <v>9958</v>
      </c>
      <c r="AL322" t="s">
        <v>13897</v>
      </c>
    </row>
    <row r="323" spans="1:38">
      <c r="A323" t="s">
        <v>7255</v>
      </c>
      <c r="B323" t="s">
        <v>12976</v>
      </c>
      <c r="C323" t="s">
        <v>6711</v>
      </c>
      <c r="D323" t="s">
        <v>6712</v>
      </c>
      <c r="E323" s="2">
        <v>20400</v>
      </c>
      <c r="F323" s="2">
        <v>20400</v>
      </c>
      <c r="G323" s="3">
        <v>43290</v>
      </c>
      <c r="H323" s="4">
        <v>0.22916666666666999</v>
      </c>
      <c r="I323" s="3">
        <v>43290</v>
      </c>
      <c r="J323" s="4">
        <v>0.64583333333333004</v>
      </c>
      <c r="K323" s="2">
        <v>0</v>
      </c>
      <c r="L323" t="s">
        <v>5856</v>
      </c>
      <c r="M323" t="s">
        <v>7256</v>
      </c>
      <c r="N323" s="3"/>
      <c r="O323" s="3">
        <v>43292</v>
      </c>
      <c r="P323" t="s">
        <v>6018</v>
      </c>
      <c r="Q323" t="s">
        <v>7280</v>
      </c>
      <c r="R323" t="s">
        <v>6036</v>
      </c>
      <c r="S323" s="3">
        <v>43304</v>
      </c>
      <c r="T323" t="s">
        <v>9938</v>
      </c>
      <c r="U323" t="s">
        <v>6714</v>
      </c>
      <c r="V323" t="s">
        <v>5973</v>
      </c>
      <c r="W323" t="s">
        <v>5857</v>
      </c>
      <c r="X323" s="2">
        <v>2040</v>
      </c>
      <c r="Y323" t="s">
        <v>5858</v>
      </c>
      <c r="Z323" t="s">
        <v>6037</v>
      </c>
      <c r="AA323" s="2">
        <v>20400</v>
      </c>
      <c r="AB323" t="s">
        <v>5859</v>
      </c>
      <c r="AC323" t="s">
        <v>9979</v>
      </c>
      <c r="AD323" s="32">
        <v>43280</v>
      </c>
      <c r="AJ323" t="s">
        <v>9958</v>
      </c>
      <c r="AL323" t="s">
        <v>13898</v>
      </c>
    </row>
    <row r="324" spans="1:38">
      <c r="A324" t="s">
        <v>7255</v>
      </c>
      <c r="B324" t="s">
        <v>11768</v>
      </c>
      <c r="C324" t="s">
        <v>7269</v>
      </c>
      <c r="D324" t="s">
        <v>7270</v>
      </c>
      <c r="E324" s="2">
        <v>5000</v>
      </c>
      <c r="F324" s="2">
        <v>5000</v>
      </c>
      <c r="G324" s="3">
        <v>43297</v>
      </c>
      <c r="H324" s="4">
        <v>0.42707175925926</v>
      </c>
      <c r="I324" s="3">
        <v>43297</v>
      </c>
      <c r="J324" s="4">
        <v>0.52920138888889001</v>
      </c>
      <c r="K324" s="2">
        <v>20</v>
      </c>
      <c r="L324" t="s">
        <v>5856</v>
      </c>
      <c r="M324" t="s">
        <v>7271</v>
      </c>
      <c r="N324" s="3">
        <v>43301</v>
      </c>
      <c r="O324" s="3">
        <v>43299</v>
      </c>
      <c r="P324" t="s">
        <v>6018</v>
      </c>
      <c r="Q324" t="s">
        <v>7272</v>
      </c>
      <c r="R324" t="s">
        <v>6036</v>
      </c>
      <c r="S324" s="3">
        <v>43301</v>
      </c>
      <c r="T324" t="s">
        <v>9938</v>
      </c>
      <c r="U324" t="s">
        <v>5963</v>
      </c>
      <c r="V324" t="s">
        <v>7273</v>
      </c>
      <c r="W324" t="s">
        <v>5857</v>
      </c>
      <c r="X324" s="2">
        <v>2040</v>
      </c>
      <c r="Y324" t="s">
        <v>5858</v>
      </c>
      <c r="Z324" t="s">
        <v>6037</v>
      </c>
      <c r="AA324" s="2">
        <v>5000</v>
      </c>
      <c r="AB324" t="s">
        <v>5863</v>
      </c>
      <c r="AC324" t="s">
        <v>9978</v>
      </c>
      <c r="AD324" s="32">
        <v>43140</v>
      </c>
      <c r="AJ324" t="s">
        <v>9958</v>
      </c>
      <c r="AL324" t="s">
        <v>10655</v>
      </c>
    </row>
    <row r="325" spans="1:38">
      <c r="A325" t="s">
        <v>7255</v>
      </c>
      <c r="B325" t="s">
        <v>11769</v>
      </c>
      <c r="C325" t="s">
        <v>6630</v>
      </c>
      <c r="D325" t="s">
        <v>6631</v>
      </c>
      <c r="E325" s="2">
        <v>5000</v>
      </c>
      <c r="F325" s="2">
        <v>5000</v>
      </c>
      <c r="G325" s="3">
        <v>43297</v>
      </c>
      <c r="H325" s="4">
        <v>0.89787037037036999</v>
      </c>
      <c r="I325" s="3">
        <v>43298</v>
      </c>
      <c r="J325" s="4">
        <v>0</v>
      </c>
      <c r="K325" s="2">
        <v>0</v>
      </c>
      <c r="L325" t="s">
        <v>5856</v>
      </c>
      <c r="M325" t="s">
        <v>7271</v>
      </c>
      <c r="N325" s="3">
        <v>43301</v>
      </c>
      <c r="O325" s="3">
        <v>43299</v>
      </c>
      <c r="P325" t="s">
        <v>5881</v>
      </c>
      <c r="Q325" t="s">
        <v>7274</v>
      </c>
      <c r="R325" t="s">
        <v>6036</v>
      </c>
      <c r="S325" s="3">
        <v>43301</v>
      </c>
      <c r="T325" t="s">
        <v>9938</v>
      </c>
      <c r="U325" t="s">
        <v>5886</v>
      </c>
      <c r="V325" t="s">
        <v>6633</v>
      </c>
      <c r="W325" t="s">
        <v>5857</v>
      </c>
      <c r="X325" s="2">
        <v>2040</v>
      </c>
      <c r="Y325" t="s">
        <v>5858</v>
      </c>
      <c r="Z325" t="s">
        <v>6037</v>
      </c>
      <c r="AA325" s="2">
        <v>5000</v>
      </c>
      <c r="AB325" t="s">
        <v>5863</v>
      </c>
      <c r="AC325" t="s">
        <v>9978</v>
      </c>
      <c r="AD325" s="32">
        <v>43243</v>
      </c>
      <c r="AJ325" t="s">
        <v>9958</v>
      </c>
      <c r="AL325" t="s">
        <v>10656</v>
      </c>
    </row>
    <row r="326" spans="1:38">
      <c r="A326" t="s">
        <v>7255</v>
      </c>
      <c r="B326" t="s">
        <v>12293</v>
      </c>
      <c r="C326" t="s">
        <v>7291</v>
      </c>
      <c r="D326" t="s">
        <v>7292</v>
      </c>
      <c r="E326" s="2">
        <v>4998</v>
      </c>
      <c r="F326" s="2">
        <v>4998</v>
      </c>
      <c r="G326" s="3">
        <v>43298</v>
      </c>
      <c r="H326" s="4">
        <v>2.0833333333330002E-2</v>
      </c>
      <c r="I326" s="3">
        <v>43298</v>
      </c>
      <c r="J326" s="4">
        <v>0.12291666666667</v>
      </c>
      <c r="K326" s="2">
        <v>20</v>
      </c>
      <c r="L326" t="s">
        <v>5856</v>
      </c>
      <c r="M326" t="s">
        <v>12977</v>
      </c>
      <c r="N326" s="3">
        <v>43293</v>
      </c>
      <c r="O326" s="3">
        <v>43300</v>
      </c>
      <c r="P326" t="s">
        <v>6018</v>
      </c>
      <c r="Q326" t="s">
        <v>8618</v>
      </c>
      <c r="R326" t="s">
        <v>6036</v>
      </c>
      <c r="S326" s="3">
        <v>43293</v>
      </c>
      <c r="T326" t="s">
        <v>9938</v>
      </c>
      <c r="U326" t="s">
        <v>7294</v>
      </c>
      <c r="V326" t="s">
        <v>6041</v>
      </c>
      <c r="W326" t="s">
        <v>5857</v>
      </c>
      <c r="X326" s="2">
        <v>2040</v>
      </c>
      <c r="Y326" t="s">
        <v>5858</v>
      </c>
      <c r="Z326" t="s">
        <v>6037</v>
      </c>
      <c r="AA326" s="2">
        <v>4900</v>
      </c>
      <c r="AB326" t="s">
        <v>5859</v>
      </c>
      <c r="AC326" t="s">
        <v>9978</v>
      </c>
      <c r="AD326" s="32">
        <v>43236</v>
      </c>
      <c r="AJ326" t="s">
        <v>9958</v>
      </c>
      <c r="AL326" t="s">
        <v>13899</v>
      </c>
    </row>
    <row r="327" spans="1:38">
      <c r="A327" t="s">
        <v>7255</v>
      </c>
      <c r="B327" t="s">
        <v>11770</v>
      </c>
      <c r="C327" t="s">
        <v>7275</v>
      </c>
      <c r="D327" t="s">
        <v>7276</v>
      </c>
      <c r="E327" s="2">
        <v>10000</v>
      </c>
      <c r="F327" s="2">
        <v>10000</v>
      </c>
      <c r="G327" s="3">
        <v>43298</v>
      </c>
      <c r="H327" s="4">
        <v>0.29228009259259002</v>
      </c>
      <c r="I327" s="3">
        <v>43298</v>
      </c>
      <c r="J327" s="4">
        <v>0.49652777777778001</v>
      </c>
      <c r="K327" s="2">
        <v>0</v>
      </c>
      <c r="L327" t="s">
        <v>5856</v>
      </c>
      <c r="M327" t="s">
        <v>7277</v>
      </c>
      <c r="N327" s="3">
        <v>43301</v>
      </c>
      <c r="O327" s="3">
        <v>43300</v>
      </c>
      <c r="P327" t="s">
        <v>6018</v>
      </c>
      <c r="Q327" t="s">
        <v>7278</v>
      </c>
      <c r="R327" t="s">
        <v>6036</v>
      </c>
      <c r="S327" s="3">
        <v>43301</v>
      </c>
      <c r="T327" t="s">
        <v>9938</v>
      </c>
      <c r="U327" t="s">
        <v>5963</v>
      </c>
      <c r="V327" t="s">
        <v>6066</v>
      </c>
      <c r="W327" t="s">
        <v>5857</v>
      </c>
      <c r="X327" s="2">
        <v>2040</v>
      </c>
      <c r="Y327" t="s">
        <v>5858</v>
      </c>
      <c r="Z327" t="s">
        <v>6037</v>
      </c>
      <c r="AA327" s="2">
        <v>10000</v>
      </c>
      <c r="AB327" t="s">
        <v>5863</v>
      </c>
      <c r="AC327" t="s">
        <v>9978</v>
      </c>
      <c r="AD327" s="32">
        <v>43241</v>
      </c>
      <c r="AJ327" t="s">
        <v>9958</v>
      </c>
      <c r="AL327" t="s">
        <v>10657</v>
      </c>
    </row>
    <row r="328" spans="1:38">
      <c r="A328" t="s">
        <v>7255</v>
      </c>
      <c r="B328" t="s">
        <v>11771</v>
      </c>
      <c r="C328" t="s">
        <v>6528</v>
      </c>
      <c r="D328" t="s">
        <v>6529</v>
      </c>
      <c r="E328" s="2">
        <v>20000</v>
      </c>
      <c r="F328" s="2">
        <v>20000</v>
      </c>
      <c r="G328" s="3">
        <v>43298</v>
      </c>
      <c r="H328" s="4">
        <v>0.49652777777778001</v>
      </c>
      <c r="I328" s="3">
        <v>43298</v>
      </c>
      <c r="J328" s="4">
        <v>0.90502314814814999</v>
      </c>
      <c r="K328" s="2">
        <v>20</v>
      </c>
      <c r="L328" t="s">
        <v>5856</v>
      </c>
      <c r="M328" t="s">
        <v>7264</v>
      </c>
      <c r="N328" s="3">
        <v>43301</v>
      </c>
      <c r="O328" s="3">
        <v>43300</v>
      </c>
      <c r="P328" t="s">
        <v>5898</v>
      </c>
      <c r="Q328" t="s">
        <v>7279</v>
      </c>
      <c r="R328" t="s">
        <v>6036</v>
      </c>
      <c r="S328" s="3">
        <v>43301</v>
      </c>
      <c r="T328" t="s">
        <v>9938</v>
      </c>
      <c r="U328" t="s">
        <v>6531</v>
      </c>
      <c r="V328" t="s">
        <v>5950</v>
      </c>
      <c r="W328" t="s">
        <v>5857</v>
      </c>
      <c r="X328" s="2">
        <v>2040</v>
      </c>
      <c r="Y328" t="s">
        <v>5858</v>
      </c>
      <c r="Z328" t="s">
        <v>6037</v>
      </c>
      <c r="AA328" s="2">
        <v>20000</v>
      </c>
      <c r="AB328" t="s">
        <v>5863</v>
      </c>
      <c r="AC328" t="s">
        <v>9974</v>
      </c>
      <c r="AD328" s="32">
        <v>43136</v>
      </c>
      <c r="AI328" t="s">
        <v>9941</v>
      </c>
      <c r="AJ328" t="s">
        <v>9959</v>
      </c>
      <c r="AL328" t="s">
        <v>10658</v>
      </c>
    </row>
    <row r="329" spans="1:38">
      <c r="A329" t="s">
        <v>7255</v>
      </c>
      <c r="B329" t="s">
        <v>11772</v>
      </c>
      <c r="C329" t="s">
        <v>7281</v>
      </c>
      <c r="D329" t="s">
        <v>7282</v>
      </c>
      <c r="E329" s="2">
        <v>6000</v>
      </c>
      <c r="F329" s="2">
        <v>6000</v>
      </c>
      <c r="G329" s="3">
        <v>43302</v>
      </c>
      <c r="H329" s="4">
        <v>0.87745370370370002</v>
      </c>
      <c r="I329" s="3">
        <v>43303</v>
      </c>
      <c r="J329" s="4">
        <v>0</v>
      </c>
      <c r="K329" s="2">
        <v>20</v>
      </c>
      <c r="L329" t="s">
        <v>5856</v>
      </c>
      <c r="M329" t="s">
        <v>7283</v>
      </c>
      <c r="N329" s="3">
        <v>43305</v>
      </c>
      <c r="O329" s="3">
        <v>43304</v>
      </c>
      <c r="P329" t="s">
        <v>5862</v>
      </c>
      <c r="Q329" t="s">
        <v>7284</v>
      </c>
      <c r="R329" t="s">
        <v>6036</v>
      </c>
      <c r="S329" s="3">
        <v>43305</v>
      </c>
      <c r="T329" t="s">
        <v>9938</v>
      </c>
      <c r="U329" t="s">
        <v>5893</v>
      </c>
      <c r="V329" t="s">
        <v>7285</v>
      </c>
      <c r="W329" t="s">
        <v>5857</v>
      </c>
      <c r="X329" s="2">
        <v>2040</v>
      </c>
      <c r="Y329" t="s">
        <v>5858</v>
      </c>
      <c r="Z329" t="s">
        <v>6037</v>
      </c>
      <c r="AA329" s="2">
        <v>6000</v>
      </c>
      <c r="AB329" t="s">
        <v>5863</v>
      </c>
      <c r="AC329" t="s">
        <v>9978</v>
      </c>
      <c r="AD329" s="32">
        <v>43238</v>
      </c>
      <c r="AI329" t="s">
        <v>9943</v>
      </c>
      <c r="AJ329" t="s">
        <v>9958</v>
      </c>
      <c r="AL329" t="s">
        <v>10659</v>
      </c>
    </row>
    <row r="330" spans="1:38">
      <c r="A330" t="s">
        <v>7255</v>
      </c>
      <c r="B330" t="s">
        <v>11773</v>
      </c>
      <c r="C330" t="s">
        <v>6909</v>
      </c>
      <c r="D330" t="s">
        <v>6910</v>
      </c>
      <c r="E330" s="2">
        <v>20000</v>
      </c>
      <c r="F330" s="2">
        <v>20000</v>
      </c>
      <c r="G330" s="3">
        <v>43312</v>
      </c>
      <c r="H330" s="4">
        <v>0.59149305555555998</v>
      </c>
      <c r="I330" s="3">
        <v>43312</v>
      </c>
      <c r="J330" s="4">
        <v>0.99998842592592996</v>
      </c>
      <c r="K330" s="2">
        <v>0</v>
      </c>
      <c r="L330" t="s">
        <v>5856</v>
      </c>
      <c r="M330" t="s">
        <v>7264</v>
      </c>
      <c r="N330" s="3">
        <v>43314</v>
      </c>
      <c r="O330" s="3">
        <v>43314</v>
      </c>
      <c r="P330" t="s">
        <v>5971</v>
      </c>
      <c r="Q330" t="s">
        <v>12978</v>
      </c>
      <c r="R330" t="s">
        <v>6036</v>
      </c>
      <c r="S330" s="3">
        <v>43329</v>
      </c>
      <c r="T330" t="s">
        <v>9938</v>
      </c>
      <c r="U330" t="s">
        <v>6912</v>
      </c>
      <c r="V330" t="s">
        <v>6913</v>
      </c>
      <c r="W330" t="s">
        <v>5857</v>
      </c>
      <c r="X330" s="2">
        <v>0</v>
      </c>
      <c r="Y330" t="s">
        <v>5858</v>
      </c>
      <c r="Z330" t="s">
        <v>6037</v>
      </c>
      <c r="AA330" s="2">
        <v>20000</v>
      </c>
      <c r="AB330" t="s">
        <v>5915</v>
      </c>
      <c r="AC330" t="s">
        <v>9986</v>
      </c>
      <c r="AD330" s="32"/>
      <c r="AJ330" t="s">
        <v>9959</v>
      </c>
      <c r="AL330" t="s">
        <v>13900</v>
      </c>
    </row>
    <row r="331" spans="1:38">
      <c r="A331" t="s">
        <v>7255</v>
      </c>
      <c r="B331" t="s">
        <v>12979</v>
      </c>
      <c r="C331" t="s">
        <v>6469</v>
      </c>
      <c r="D331" t="s">
        <v>6470</v>
      </c>
      <c r="E331" s="5">
        <v>20399.999</v>
      </c>
      <c r="F331" s="5">
        <v>20399.999</v>
      </c>
      <c r="G331" s="3">
        <v>43316</v>
      </c>
      <c r="H331" s="4">
        <v>0.15399305555556</v>
      </c>
      <c r="I331" s="3">
        <v>43316</v>
      </c>
      <c r="J331" s="4">
        <v>0.57065972222221995</v>
      </c>
      <c r="K331" s="2">
        <v>0</v>
      </c>
      <c r="L331" t="s">
        <v>5856</v>
      </c>
      <c r="M331" t="s">
        <v>7256</v>
      </c>
      <c r="N331" s="3">
        <v>43320</v>
      </c>
      <c r="O331" s="3">
        <v>43318</v>
      </c>
      <c r="P331" t="s">
        <v>5898</v>
      </c>
      <c r="Q331" t="s">
        <v>12980</v>
      </c>
      <c r="R331" t="s">
        <v>6036</v>
      </c>
      <c r="S331" s="3">
        <v>43320</v>
      </c>
      <c r="T331" t="s">
        <v>9938</v>
      </c>
      <c r="U331" t="s">
        <v>6472</v>
      </c>
      <c r="V331" t="s">
        <v>5950</v>
      </c>
      <c r="W331" t="s">
        <v>5857</v>
      </c>
      <c r="X331" s="2">
        <v>2040</v>
      </c>
      <c r="Y331" t="s">
        <v>5858</v>
      </c>
      <c r="Z331" t="s">
        <v>6037</v>
      </c>
      <c r="AA331" s="2">
        <v>20000</v>
      </c>
      <c r="AB331" t="s">
        <v>5863</v>
      </c>
      <c r="AC331" t="s">
        <v>9974</v>
      </c>
      <c r="AD331" s="32">
        <v>43279</v>
      </c>
      <c r="AI331" t="s">
        <v>9940</v>
      </c>
      <c r="AJ331" t="s">
        <v>9959</v>
      </c>
      <c r="AL331" t="s">
        <v>13901</v>
      </c>
    </row>
    <row r="332" spans="1:38">
      <c r="A332" t="s">
        <v>7255</v>
      </c>
      <c r="B332" t="s">
        <v>11774</v>
      </c>
      <c r="C332" t="s">
        <v>6098</v>
      </c>
      <c r="D332" t="s">
        <v>6017</v>
      </c>
      <c r="E332" s="2">
        <v>20000</v>
      </c>
      <c r="F332" s="2">
        <v>20000</v>
      </c>
      <c r="G332" s="3">
        <v>43316</v>
      </c>
      <c r="H332" s="4">
        <v>0.59149305555555998</v>
      </c>
      <c r="I332" s="3">
        <v>43316</v>
      </c>
      <c r="J332" s="4">
        <v>0.99998842592592996</v>
      </c>
      <c r="K332" s="2">
        <v>0</v>
      </c>
      <c r="L332" t="s">
        <v>5856</v>
      </c>
      <c r="M332" t="s">
        <v>7264</v>
      </c>
      <c r="N332" s="3">
        <v>43318</v>
      </c>
      <c r="O332" s="3">
        <v>43318</v>
      </c>
      <c r="P332" t="s">
        <v>6018</v>
      </c>
      <c r="Q332" t="s">
        <v>12981</v>
      </c>
      <c r="R332" t="s">
        <v>6036</v>
      </c>
      <c r="S332" s="3">
        <v>43314</v>
      </c>
      <c r="T332" t="s">
        <v>9938</v>
      </c>
      <c r="U332" t="s">
        <v>5963</v>
      </c>
      <c r="V332" t="s">
        <v>6041</v>
      </c>
      <c r="W332" t="s">
        <v>5857</v>
      </c>
      <c r="X332" s="2">
        <v>0</v>
      </c>
      <c r="Y332" t="s">
        <v>5858</v>
      </c>
      <c r="Z332" t="s">
        <v>6037</v>
      </c>
      <c r="AA332" s="2">
        <v>20000</v>
      </c>
      <c r="AB332" t="s">
        <v>5861</v>
      </c>
      <c r="AC332" t="s">
        <v>9979</v>
      </c>
      <c r="AD332" s="32"/>
      <c r="AJ332" t="s">
        <v>9958</v>
      </c>
      <c r="AL332" t="s">
        <v>10661</v>
      </c>
    </row>
    <row r="333" spans="1:38">
      <c r="A333" t="s">
        <v>7255</v>
      </c>
      <c r="B333" t="s">
        <v>11775</v>
      </c>
      <c r="C333" t="s">
        <v>6098</v>
      </c>
      <c r="D333" t="s">
        <v>6017</v>
      </c>
      <c r="E333" s="2">
        <v>20000</v>
      </c>
      <c r="F333" s="2">
        <v>20000</v>
      </c>
      <c r="G333" s="3">
        <v>43316</v>
      </c>
      <c r="H333" s="4">
        <v>0.59149305555555998</v>
      </c>
      <c r="I333" s="3">
        <v>43316</v>
      </c>
      <c r="J333" s="4">
        <v>0.99998842592592996</v>
      </c>
      <c r="K333" s="2">
        <v>0</v>
      </c>
      <c r="L333" t="s">
        <v>5856</v>
      </c>
      <c r="M333" t="s">
        <v>7264</v>
      </c>
      <c r="N333" s="3">
        <v>43318</v>
      </c>
      <c r="O333" s="3">
        <v>43318</v>
      </c>
      <c r="P333" t="s">
        <v>6018</v>
      </c>
      <c r="Q333" t="s">
        <v>12982</v>
      </c>
      <c r="R333" t="s">
        <v>6036</v>
      </c>
      <c r="S333" s="3">
        <v>43319</v>
      </c>
      <c r="T333" t="s">
        <v>9938</v>
      </c>
      <c r="U333" t="s">
        <v>5963</v>
      </c>
      <c r="V333" t="s">
        <v>6041</v>
      </c>
      <c r="W333" t="s">
        <v>5857</v>
      </c>
      <c r="X333" s="2">
        <v>0</v>
      </c>
      <c r="Y333" t="s">
        <v>5858</v>
      </c>
      <c r="Z333" t="s">
        <v>6037</v>
      </c>
      <c r="AA333" s="2">
        <v>20000</v>
      </c>
      <c r="AB333" t="s">
        <v>5861</v>
      </c>
      <c r="AC333" t="s">
        <v>9979</v>
      </c>
      <c r="AD333" s="32"/>
      <c r="AJ333" t="s">
        <v>9958</v>
      </c>
      <c r="AL333" t="s">
        <v>10662</v>
      </c>
    </row>
    <row r="334" spans="1:38">
      <c r="A334" t="s">
        <v>7255</v>
      </c>
      <c r="B334" t="s">
        <v>12983</v>
      </c>
      <c r="C334" t="s">
        <v>6485</v>
      </c>
      <c r="D334" t="s">
        <v>6486</v>
      </c>
      <c r="E334" s="5">
        <v>20399.999</v>
      </c>
      <c r="F334" s="5">
        <v>20399.999</v>
      </c>
      <c r="G334" s="3">
        <v>43317</v>
      </c>
      <c r="H334" s="4">
        <v>0.35416666666667002</v>
      </c>
      <c r="I334" s="3">
        <v>43317</v>
      </c>
      <c r="J334" s="4">
        <v>0.77083333333333004</v>
      </c>
      <c r="K334" s="2">
        <v>0</v>
      </c>
      <c r="L334" t="s">
        <v>5856</v>
      </c>
      <c r="M334" t="s">
        <v>7256</v>
      </c>
      <c r="N334" s="3">
        <v>43320</v>
      </c>
      <c r="O334" s="3">
        <v>43319</v>
      </c>
      <c r="P334" t="s">
        <v>5904</v>
      </c>
      <c r="Q334" t="s">
        <v>12984</v>
      </c>
      <c r="R334" t="s">
        <v>6036</v>
      </c>
      <c r="S334" s="3">
        <v>43320</v>
      </c>
      <c r="T334" t="s">
        <v>9938</v>
      </c>
      <c r="U334" t="s">
        <v>6488</v>
      </c>
      <c r="V334" t="s">
        <v>6045</v>
      </c>
      <c r="W334" t="s">
        <v>5857</v>
      </c>
      <c r="X334" s="2">
        <v>2040</v>
      </c>
      <c r="Y334" t="s">
        <v>5858</v>
      </c>
      <c r="Z334" t="s">
        <v>6037</v>
      </c>
      <c r="AA334" s="2">
        <v>20000</v>
      </c>
      <c r="AB334" t="s">
        <v>5863</v>
      </c>
      <c r="AC334" t="s">
        <v>9974</v>
      </c>
      <c r="AD334" s="32">
        <v>43279</v>
      </c>
      <c r="AJ334" t="s">
        <v>9959</v>
      </c>
      <c r="AL334" t="s">
        <v>13902</v>
      </c>
    </row>
    <row r="335" spans="1:38">
      <c r="A335" t="s">
        <v>7255</v>
      </c>
      <c r="B335" t="s">
        <v>11776</v>
      </c>
      <c r="C335" t="s">
        <v>6469</v>
      </c>
      <c r="D335" t="s">
        <v>6470</v>
      </c>
      <c r="E335" s="2">
        <v>10200</v>
      </c>
      <c r="F335" s="2">
        <v>10200</v>
      </c>
      <c r="G335" s="3">
        <v>43317</v>
      </c>
      <c r="H335" s="4">
        <v>0.79166666666666996</v>
      </c>
      <c r="I335" s="3">
        <v>43318</v>
      </c>
      <c r="J335" s="4">
        <v>0</v>
      </c>
      <c r="K335" s="2">
        <v>20</v>
      </c>
      <c r="L335" t="s">
        <v>5856</v>
      </c>
      <c r="M335" t="s">
        <v>6931</v>
      </c>
      <c r="N335" s="3">
        <v>43320</v>
      </c>
      <c r="O335" s="3">
        <v>43319</v>
      </c>
      <c r="P335" t="s">
        <v>5898</v>
      </c>
      <c r="Q335" t="s">
        <v>7286</v>
      </c>
      <c r="R335" t="s">
        <v>6036</v>
      </c>
      <c r="S335" s="3">
        <v>43320</v>
      </c>
      <c r="T335" t="s">
        <v>9938</v>
      </c>
      <c r="U335" t="s">
        <v>6472</v>
      </c>
      <c r="V335" t="s">
        <v>5950</v>
      </c>
      <c r="W335" t="s">
        <v>5857</v>
      </c>
      <c r="X335" s="2">
        <v>2040</v>
      </c>
      <c r="Y335" t="s">
        <v>5858</v>
      </c>
      <c r="Z335" t="s">
        <v>6037</v>
      </c>
      <c r="AA335" s="2">
        <v>10000</v>
      </c>
      <c r="AB335" t="s">
        <v>5863</v>
      </c>
      <c r="AC335" t="s">
        <v>9974</v>
      </c>
      <c r="AD335" s="32">
        <v>43279</v>
      </c>
      <c r="AI335" t="s">
        <v>9940</v>
      </c>
      <c r="AJ335" t="s">
        <v>9959</v>
      </c>
      <c r="AL335" t="s">
        <v>10663</v>
      </c>
    </row>
    <row r="336" spans="1:38">
      <c r="A336" t="s">
        <v>7255</v>
      </c>
      <c r="B336" t="s">
        <v>11777</v>
      </c>
      <c r="C336" t="s">
        <v>7287</v>
      </c>
      <c r="D336" t="s">
        <v>7288</v>
      </c>
      <c r="E336" s="2">
        <v>6000</v>
      </c>
      <c r="F336" s="2">
        <v>6000</v>
      </c>
      <c r="G336" s="3">
        <v>43318</v>
      </c>
      <c r="H336" s="4">
        <v>0.54861111111111005</v>
      </c>
      <c r="I336" s="3">
        <v>43318</v>
      </c>
      <c r="J336" s="4">
        <v>0.67115740740741003</v>
      </c>
      <c r="K336" s="2">
        <v>20</v>
      </c>
      <c r="L336" t="s">
        <v>5856</v>
      </c>
      <c r="M336" t="s">
        <v>7283</v>
      </c>
      <c r="N336" s="3">
        <v>43321</v>
      </c>
      <c r="O336" s="3">
        <v>43320</v>
      </c>
      <c r="P336" t="s">
        <v>5883</v>
      </c>
      <c r="Q336" t="s">
        <v>7289</v>
      </c>
      <c r="R336" t="s">
        <v>6036</v>
      </c>
      <c r="S336" s="3">
        <v>43321</v>
      </c>
      <c r="T336" t="s">
        <v>9938</v>
      </c>
      <c r="U336" t="s">
        <v>5893</v>
      </c>
      <c r="V336" t="s">
        <v>7290</v>
      </c>
      <c r="W336" t="s">
        <v>5857</v>
      </c>
      <c r="X336" s="2">
        <v>2040</v>
      </c>
      <c r="Y336" t="s">
        <v>5858</v>
      </c>
      <c r="Z336" t="s">
        <v>6037</v>
      </c>
      <c r="AA336" s="2">
        <v>6000</v>
      </c>
      <c r="AB336" t="s">
        <v>5863</v>
      </c>
      <c r="AC336" t="s">
        <v>9978</v>
      </c>
      <c r="AD336" s="32">
        <v>43186</v>
      </c>
      <c r="AI336" t="s">
        <v>9951</v>
      </c>
      <c r="AJ336" t="s">
        <v>9958</v>
      </c>
      <c r="AL336" t="s">
        <v>13903</v>
      </c>
    </row>
    <row r="337" spans="1:38">
      <c r="A337" t="s">
        <v>7255</v>
      </c>
      <c r="B337" t="s">
        <v>11778</v>
      </c>
      <c r="C337" t="s">
        <v>6098</v>
      </c>
      <c r="D337" t="s">
        <v>6017</v>
      </c>
      <c r="E337" s="2">
        <v>20000</v>
      </c>
      <c r="F337" s="2">
        <v>20000</v>
      </c>
      <c r="G337" s="3">
        <v>43322</v>
      </c>
      <c r="H337" s="4">
        <v>0.59149305555555998</v>
      </c>
      <c r="I337" s="3">
        <v>43322</v>
      </c>
      <c r="J337" s="4">
        <v>0.99998842592592996</v>
      </c>
      <c r="K337" s="2">
        <v>0</v>
      </c>
      <c r="L337" t="s">
        <v>5856</v>
      </c>
      <c r="M337" t="s">
        <v>7264</v>
      </c>
      <c r="N337" s="3">
        <v>43346</v>
      </c>
      <c r="O337" s="3">
        <v>43324</v>
      </c>
      <c r="P337" t="s">
        <v>6018</v>
      </c>
      <c r="Q337" t="s">
        <v>12985</v>
      </c>
      <c r="R337" t="s">
        <v>6036</v>
      </c>
      <c r="S337" s="3">
        <v>43325</v>
      </c>
      <c r="T337" t="s">
        <v>9938</v>
      </c>
      <c r="U337" t="s">
        <v>5963</v>
      </c>
      <c r="V337" t="s">
        <v>6041</v>
      </c>
      <c r="W337" t="s">
        <v>5857</v>
      </c>
      <c r="X337" s="2">
        <v>0</v>
      </c>
      <c r="Y337" t="s">
        <v>5858</v>
      </c>
      <c r="Z337" t="s">
        <v>6037</v>
      </c>
      <c r="AA337" s="2">
        <v>20000</v>
      </c>
      <c r="AB337" t="s">
        <v>5861</v>
      </c>
      <c r="AC337" t="s">
        <v>9979</v>
      </c>
      <c r="AD337" s="32"/>
      <c r="AJ337" t="s">
        <v>9958</v>
      </c>
      <c r="AL337" t="s">
        <v>10665</v>
      </c>
    </row>
    <row r="338" spans="1:38">
      <c r="A338" t="s">
        <v>7255</v>
      </c>
      <c r="B338" t="s">
        <v>11765</v>
      </c>
      <c r="C338" t="s">
        <v>7261</v>
      </c>
      <c r="D338" t="s">
        <v>7262</v>
      </c>
      <c r="E338" s="2">
        <v>20000</v>
      </c>
      <c r="F338" s="2">
        <v>20000</v>
      </c>
      <c r="G338" s="3">
        <v>43324</v>
      </c>
      <c r="H338" s="4">
        <v>0.86635416666666998</v>
      </c>
      <c r="I338" s="3">
        <v>43325</v>
      </c>
      <c r="J338" s="4">
        <v>0.27484953703704001</v>
      </c>
      <c r="K338" s="2">
        <v>0</v>
      </c>
      <c r="L338" t="s">
        <v>5856</v>
      </c>
      <c r="M338" t="s">
        <v>7264</v>
      </c>
      <c r="N338" s="3"/>
      <c r="O338" s="3">
        <v>43327</v>
      </c>
      <c r="P338" t="s">
        <v>6673</v>
      </c>
      <c r="Q338" t="s">
        <v>12986</v>
      </c>
      <c r="R338" t="s">
        <v>6042</v>
      </c>
      <c r="S338" s="3">
        <v>43336</v>
      </c>
      <c r="T338" t="s">
        <v>9938</v>
      </c>
      <c r="U338" t="s">
        <v>5963</v>
      </c>
      <c r="V338" t="s">
        <v>6067</v>
      </c>
      <c r="W338" t="s">
        <v>5857</v>
      </c>
      <c r="X338" s="2">
        <v>0</v>
      </c>
      <c r="Y338" t="s">
        <v>5858</v>
      </c>
      <c r="Z338" t="s">
        <v>6037</v>
      </c>
      <c r="AA338" s="2">
        <v>20000</v>
      </c>
      <c r="AB338" t="s">
        <v>5861</v>
      </c>
      <c r="AC338" t="s">
        <v>9979</v>
      </c>
      <c r="AD338" s="32"/>
      <c r="AJ338" t="s">
        <v>9958</v>
      </c>
      <c r="AL338" t="s">
        <v>10653</v>
      </c>
    </row>
    <row r="339" spans="1:38">
      <c r="A339" t="s">
        <v>7255</v>
      </c>
      <c r="B339" t="s">
        <v>11779</v>
      </c>
      <c r="C339" t="s">
        <v>7291</v>
      </c>
      <c r="D339" t="s">
        <v>7292</v>
      </c>
      <c r="E339" s="2">
        <v>10000</v>
      </c>
      <c r="F339" s="2">
        <v>10000</v>
      </c>
      <c r="G339" s="3">
        <v>43329</v>
      </c>
      <c r="H339" s="4">
        <v>0.82638888888888995</v>
      </c>
      <c r="I339" s="3">
        <v>43330</v>
      </c>
      <c r="J339" s="4">
        <v>3.063657407407E-2</v>
      </c>
      <c r="K339" s="2">
        <v>20</v>
      </c>
      <c r="L339" t="s">
        <v>5856</v>
      </c>
      <c r="M339" t="s">
        <v>7277</v>
      </c>
      <c r="N339" s="3">
        <v>43335</v>
      </c>
      <c r="O339" s="3">
        <v>43332</v>
      </c>
      <c r="P339" t="s">
        <v>6018</v>
      </c>
      <c r="Q339" t="s">
        <v>7293</v>
      </c>
      <c r="R339" t="s">
        <v>6036</v>
      </c>
      <c r="S339" s="3">
        <v>43335</v>
      </c>
      <c r="T339" t="s">
        <v>9938</v>
      </c>
      <c r="U339" t="s">
        <v>7294</v>
      </c>
      <c r="V339" t="s">
        <v>6041</v>
      </c>
      <c r="W339" t="s">
        <v>5857</v>
      </c>
      <c r="X339" s="2">
        <v>2040</v>
      </c>
      <c r="Y339" t="s">
        <v>5858</v>
      </c>
      <c r="Z339" t="s">
        <v>6037</v>
      </c>
      <c r="AA339" s="2">
        <v>10000</v>
      </c>
      <c r="AB339" t="s">
        <v>5863</v>
      </c>
      <c r="AC339" t="s">
        <v>9978</v>
      </c>
      <c r="AD339" s="32"/>
      <c r="AJ339" t="s">
        <v>9958</v>
      </c>
      <c r="AL339" t="s">
        <v>10666</v>
      </c>
    </row>
    <row r="340" spans="1:38">
      <c r="A340" t="s">
        <v>7255</v>
      </c>
      <c r="B340" t="s">
        <v>11780</v>
      </c>
      <c r="C340" t="s">
        <v>7257</v>
      </c>
      <c r="D340" t="s">
        <v>7258</v>
      </c>
      <c r="E340" s="2">
        <v>20000</v>
      </c>
      <c r="F340" s="2">
        <v>20000</v>
      </c>
      <c r="G340" s="3">
        <v>43343</v>
      </c>
      <c r="H340" s="4">
        <v>0.18299768518519</v>
      </c>
      <c r="I340" s="3">
        <v>43343</v>
      </c>
      <c r="J340" s="4">
        <v>0.59149305555555998</v>
      </c>
      <c r="K340" s="2">
        <v>20</v>
      </c>
      <c r="L340" t="s">
        <v>5856</v>
      </c>
      <c r="M340" t="s">
        <v>7264</v>
      </c>
      <c r="N340" s="3">
        <v>43347</v>
      </c>
      <c r="O340" s="3">
        <v>43345</v>
      </c>
      <c r="P340" t="s">
        <v>6018</v>
      </c>
      <c r="Q340" t="s">
        <v>7295</v>
      </c>
      <c r="R340" t="s">
        <v>6036</v>
      </c>
      <c r="S340" s="3">
        <v>43347</v>
      </c>
      <c r="T340" t="s">
        <v>9938</v>
      </c>
      <c r="U340" t="s">
        <v>5963</v>
      </c>
      <c r="V340" t="s">
        <v>7259</v>
      </c>
      <c r="W340" t="s">
        <v>5857</v>
      </c>
      <c r="X340" s="2">
        <v>2040</v>
      </c>
      <c r="Y340" t="s">
        <v>5858</v>
      </c>
      <c r="Z340" t="s">
        <v>6037</v>
      </c>
      <c r="AA340" s="2">
        <v>20000</v>
      </c>
      <c r="AB340" t="s">
        <v>5863</v>
      </c>
      <c r="AC340" t="s">
        <v>9978</v>
      </c>
      <c r="AD340" s="32"/>
      <c r="AJ340" t="s">
        <v>9958</v>
      </c>
      <c r="AL340" t="s">
        <v>10667</v>
      </c>
    </row>
    <row r="341" spans="1:38">
      <c r="A341" t="s">
        <v>7255</v>
      </c>
      <c r="B341" t="s">
        <v>11781</v>
      </c>
      <c r="C341" t="s">
        <v>7257</v>
      </c>
      <c r="D341" t="s">
        <v>7258</v>
      </c>
      <c r="E341" s="2">
        <v>20000</v>
      </c>
      <c r="F341" s="2">
        <v>20000</v>
      </c>
      <c r="G341" s="3">
        <v>43343</v>
      </c>
      <c r="H341" s="4">
        <v>0.99952546296295997</v>
      </c>
      <c r="I341" s="3">
        <v>43344</v>
      </c>
      <c r="J341" s="4">
        <v>0.40802083333333</v>
      </c>
      <c r="K341" s="2">
        <v>20</v>
      </c>
      <c r="L341" t="s">
        <v>5856</v>
      </c>
      <c r="M341" t="s">
        <v>7264</v>
      </c>
      <c r="N341" s="3">
        <v>43300</v>
      </c>
      <c r="O341" s="3">
        <v>43346</v>
      </c>
      <c r="P341" t="s">
        <v>6018</v>
      </c>
      <c r="Q341" t="s">
        <v>7296</v>
      </c>
      <c r="R341" t="s">
        <v>6036</v>
      </c>
      <c r="S341" s="3">
        <v>43300</v>
      </c>
      <c r="T341" t="s">
        <v>9938</v>
      </c>
      <c r="U341" t="s">
        <v>5963</v>
      </c>
      <c r="V341" t="s">
        <v>7259</v>
      </c>
      <c r="W341" t="s">
        <v>5857</v>
      </c>
      <c r="X341" s="2">
        <v>2040</v>
      </c>
      <c r="Y341" t="s">
        <v>5858</v>
      </c>
      <c r="Z341" t="s">
        <v>6037</v>
      </c>
      <c r="AA341" s="2">
        <v>20000</v>
      </c>
      <c r="AB341" t="s">
        <v>5863</v>
      </c>
      <c r="AC341" t="s">
        <v>9978</v>
      </c>
      <c r="AD341" s="32"/>
      <c r="AJ341" t="s">
        <v>9958</v>
      </c>
      <c r="AL341" t="s">
        <v>10668</v>
      </c>
    </row>
    <row r="342" spans="1:38">
      <c r="A342" t="s">
        <v>7255</v>
      </c>
      <c r="B342" t="s">
        <v>11782</v>
      </c>
      <c r="C342" t="s">
        <v>7261</v>
      </c>
      <c r="D342" t="s">
        <v>7262</v>
      </c>
      <c r="E342" s="2">
        <v>20000</v>
      </c>
      <c r="F342" s="2">
        <v>20000</v>
      </c>
      <c r="G342" s="3">
        <v>43345</v>
      </c>
      <c r="H342" s="4">
        <v>0.63766203703704005</v>
      </c>
      <c r="I342" s="3">
        <v>43346</v>
      </c>
      <c r="J342" s="4">
        <v>4.6157407407409999E-2</v>
      </c>
      <c r="K342" s="2">
        <v>0</v>
      </c>
      <c r="L342" t="s">
        <v>5856</v>
      </c>
      <c r="M342" t="s">
        <v>7264</v>
      </c>
      <c r="N342" s="3">
        <v>43348</v>
      </c>
      <c r="O342" s="3">
        <v>43348</v>
      </c>
      <c r="P342" t="s">
        <v>6673</v>
      </c>
      <c r="Q342" t="s">
        <v>6038</v>
      </c>
      <c r="R342" t="s">
        <v>6040</v>
      </c>
      <c r="S342" s="3">
        <v>43374</v>
      </c>
      <c r="T342" t="s">
        <v>9938</v>
      </c>
      <c r="U342" t="s">
        <v>5963</v>
      </c>
      <c r="V342" t="s">
        <v>6067</v>
      </c>
      <c r="W342" t="s">
        <v>5857</v>
      </c>
      <c r="X342" s="2">
        <v>0</v>
      </c>
      <c r="Y342" t="s">
        <v>5858</v>
      </c>
      <c r="Z342" t="s">
        <v>6037</v>
      </c>
      <c r="AA342" s="2">
        <v>20000</v>
      </c>
      <c r="AB342" t="s">
        <v>5861</v>
      </c>
      <c r="AC342" t="s">
        <v>9979</v>
      </c>
      <c r="AD342" s="32"/>
      <c r="AJ342" t="s">
        <v>9958</v>
      </c>
      <c r="AL342" t="s">
        <v>10669</v>
      </c>
    </row>
    <row r="343" spans="1:38">
      <c r="A343" t="s">
        <v>7255</v>
      </c>
      <c r="B343" t="s">
        <v>11783</v>
      </c>
      <c r="C343" t="s">
        <v>7297</v>
      </c>
      <c r="D343" t="s">
        <v>7298</v>
      </c>
      <c r="E343" s="2">
        <v>20000</v>
      </c>
      <c r="F343" s="2">
        <v>20000</v>
      </c>
      <c r="G343" s="3">
        <v>43364</v>
      </c>
      <c r="H343" s="4">
        <v>0.65277777777778001</v>
      </c>
      <c r="I343" s="3">
        <v>43365</v>
      </c>
      <c r="J343" s="4">
        <v>6.1273148148149999E-2</v>
      </c>
      <c r="K343" s="2">
        <v>20</v>
      </c>
      <c r="L343" t="s">
        <v>5856</v>
      </c>
      <c r="M343" t="s">
        <v>7264</v>
      </c>
      <c r="N343" s="3">
        <v>43368</v>
      </c>
      <c r="O343" s="3">
        <v>43367</v>
      </c>
      <c r="P343" t="s">
        <v>6018</v>
      </c>
      <c r="Q343" t="s">
        <v>7299</v>
      </c>
      <c r="R343" t="s">
        <v>6036</v>
      </c>
      <c r="S343" s="3">
        <v>43368</v>
      </c>
      <c r="T343" t="s">
        <v>9938</v>
      </c>
      <c r="U343" t="s">
        <v>5963</v>
      </c>
      <c r="V343" t="s">
        <v>7300</v>
      </c>
      <c r="W343" t="s">
        <v>6478</v>
      </c>
      <c r="X343" s="2">
        <v>2040</v>
      </c>
      <c r="Y343" t="s">
        <v>5858</v>
      </c>
      <c r="Z343" t="s">
        <v>6037</v>
      </c>
      <c r="AA343" s="2">
        <v>20000</v>
      </c>
      <c r="AB343" t="s">
        <v>5863</v>
      </c>
      <c r="AC343" t="s">
        <v>9978</v>
      </c>
      <c r="AD343" s="32"/>
      <c r="AJ343" t="s">
        <v>9958</v>
      </c>
      <c r="AL343" t="s">
        <v>13904</v>
      </c>
    </row>
    <row r="344" spans="1:38">
      <c r="A344" t="s">
        <v>7301</v>
      </c>
      <c r="B344" t="s">
        <v>11784</v>
      </c>
      <c r="C344" t="s">
        <v>7302</v>
      </c>
      <c r="D344" t="s">
        <v>7303</v>
      </c>
      <c r="E344" s="2">
        <v>1000</v>
      </c>
      <c r="F344" s="2">
        <v>1000</v>
      </c>
      <c r="G344" s="3">
        <v>43270</v>
      </c>
      <c r="H344" s="4">
        <v>1.1574074069999999E-5</v>
      </c>
      <c r="I344" s="3">
        <v>43270</v>
      </c>
      <c r="J344" s="4">
        <v>9.8055555555560003E-2</v>
      </c>
      <c r="K344" s="2">
        <v>0</v>
      </c>
      <c r="L344" t="s">
        <v>5856</v>
      </c>
      <c r="M344" t="s">
        <v>6634</v>
      </c>
      <c r="N344" s="3"/>
      <c r="O344" s="3">
        <v>43272</v>
      </c>
      <c r="P344" t="s">
        <v>7304</v>
      </c>
      <c r="Q344" t="s">
        <v>6038</v>
      </c>
      <c r="R344" t="s">
        <v>6039</v>
      </c>
      <c r="S344" s="3"/>
      <c r="T344" t="s">
        <v>9938</v>
      </c>
      <c r="U344" t="s">
        <v>5878</v>
      </c>
      <c r="V344" t="s">
        <v>7305</v>
      </c>
      <c r="W344" t="s">
        <v>5857</v>
      </c>
      <c r="X344" s="2">
        <v>425</v>
      </c>
      <c r="Y344" t="s">
        <v>7306</v>
      </c>
      <c r="Z344" t="s">
        <v>6037</v>
      </c>
      <c r="AA344" s="2">
        <v>1000</v>
      </c>
      <c r="AB344" t="s">
        <v>5859</v>
      </c>
      <c r="AD344" s="32"/>
      <c r="AJ344" t="s">
        <v>9959</v>
      </c>
      <c r="AL344" t="s">
        <v>10671</v>
      </c>
    </row>
    <row r="345" spans="1:38">
      <c r="A345" t="s">
        <v>7301</v>
      </c>
      <c r="B345" t="s">
        <v>11785</v>
      </c>
      <c r="C345" t="s">
        <v>7302</v>
      </c>
      <c r="D345" t="s">
        <v>7303</v>
      </c>
      <c r="E345" s="5">
        <v>1102.5</v>
      </c>
      <c r="F345" s="5">
        <v>1102.5</v>
      </c>
      <c r="G345" s="3">
        <v>43270</v>
      </c>
      <c r="H345" s="4">
        <v>1.1574074069999999E-5</v>
      </c>
      <c r="I345" s="3">
        <v>43270</v>
      </c>
      <c r="J345" s="4">
        <v>0.10810185185185001</v>
      </c>
      <c r="K345" s="2">
        <v>0</v>
      </c>
      <c r="L345" t="s">
        <v>5856</v>
      </c>
      <c r="M345" t="s">
        <v>7307</v>
      </c>
      <c r="N345" s="3"/>
      <c r="O345" s="3">
        <v>43272</v>
      </c>
      <c r="P345" t="s">
        <v>7304</v>
      </c>
      <c r="Q345" t="s">
        <v>6038</v>
      </c>
      <c r="R345" t="s">
        <v>6039</v>
      </c>
      <c r="S345" s="3"/>
      <c r="T345" t="s">
        <v>9938</v>
      </c>
      <c r="U345" t="s">
        <v>5878</v>
      </c>
      <c r="V345" t="s">
        <v>7305</v>
      </c>
      <c r="W345" t="s">
        <v>5857</v>
      </c>
      <c r="X345" s="2">
        <v>500</v>
      </c>
      <c r="Y345" t="s">
        <v>7306</v>
      </c>
      <c r="Z345" t="s">
        <v>6037</v>
      </c>
      <c r="AA345" s="5">
        <v>1102.5</v>
      </c>
      <c r="AB345" t="s">
        <v>5859</v>
      </c>
      <c r="AD345" s="32"/>
      <c r="AJ345" t="s">
        <v>9959</v>
      </c>
      <c r="AL345" t="s">
        <v>10672</v>
      </c>
    </row>
    <row r="346" spans="1:38">
      <c r="A346" t="s">
        <v>7301</v>
      </c>
      <c r="B346" t="s">
        <v>11786</v>
      </c>
      <c r="C346" t="s">
        <v>7308</v>
      </c>
      <c r="D346" t="s">
        <v>7309</v>
      </c>
      <c r="E346" s="2">
        <v>3000</v>
      </c>
      <c r="F346" s="2">
        <v>3000</v>
      </c>
      <c r="G346" s="3">
        <v>43274</v>
      </c>
      <c r="H346" s="4">
        <v>0.70587962962963002</v>
      </c>
      <c r="I346" s="3">
        <v>43275</v>
      </c>
      <c r="J346" s="4">
        <v>0</v>
      </c>
      <c r="K346" s="2">
        <v>0</v>
      </c>
      <c r="L346" t="s">
        <v>5856</v>
      </c>
      <c r="M346" t="s">
        <v>6697</v>
      </c>
      <c r="N346" s="3">
        <v>43328</v>
      </c>
      <c r="O346" s="3">
        <v>43276</v>
      </c>
      <c r="P346" t="s">
        <v>7310</v>
      </c>
      <c r="Q346" t="s">
        <v>7311</v>
      </c>
      <c r="R346" t="s">
        <v>6036</v>
      </c>
      <c r="S346" s="3">
        <v>43328</v>
      </c>
      <c r="T346" t="s">
        <v>9938</v>
      </c>
      <c r="U346" t="s">
        <v>7312</v>
      </c>
      <c r="V346" t="s">
        <v>7313</v>
      </c>
      <c r="W346" t="s">
        <v>5857</v>
      </c>
      <c r="X346" s="2">
        <v>425</v>
      </c>
      <c r="Y346" t="s">
        <v>5858</v>
      </c>
      <c r="Z346" t="s">
        <v>6037</v>
      </c>
      <c r="AA346" s="2">
        <v>3000</v>
      </c>
      <c r="AB346" t="s">
        <v>5863</v>
      </c>
      <c r="AD346" s="32"/>
      <c r="AJ346" t="s">
        <v>9959</v>
      </c>
      <c r="AL346" t="s">
        <v>10673</v>
      </c>
    </row>
    <row r="347" spans="1:38">
      <c r="A347" t="s">
        <v>7301</v>
      </c>
      <c r="B347" t="s">
        <v>11787</v>
      </c>
      <c r="C347" t="s">
        <v>7314</v>
      </c>
      <c r="D347" t="s">
        <v>7315</v>
      </c>
      <c r="E347" s="2">
        <v>5250</v>
      </c>
      <c r="F347" s="2">
        <v>5250</v>
      </c>
      <c r="G347" s="3">
        <v>43276</v>
      </c>
      <c r="H347" s="4">
        <v>0.24877314814814999</v>
      </c>
      <c r="I347" s="3">
        <v>43276</v>
      </c>
      <c r="J347" s="4">
        <v>0.76348379629630003</v>
      </c>
      <c r="K347" s="2">
        <v>0</v>
      </c>
      <c r="L347" t="s">
        <v>5856</v>
      </c>
      <c r="M347" t="s">
        <v>7316</v>
      </c>
      <c r="N347" s="3">
        <v>43307</v>
      </c>
      <c r="O347" s="3">
        <v>43278</v>
      </c>
      <c r="P347" t="s">
        <v>7317</v>
      </c>
      <c r="Q347" t="s">
        <v>7318</v>
      </c>
      <c r="R347" t="s">
        <v>6036</v>
      </c>
      <c r="S347" s="3">
        <v>43307</v>
      </c>
      <c r="T347" t="s">
        <v>9938</v>
      </c>
      <c r="U347" t="s">
        <v>5877</v>
      </c>
      <c r="V347" t="s">
        <v>7319</v>
      </c>
      <c r="W347" t="s">
        <v>5857</v>
      </c>
      <c r="X347" s="2">
        <v>425</v>
      </c>
      <c r="Y347" t="s">
        <v>5858</v>
      </c>
      <c r="Z347" t="s">
        <v>6037</v>
      </c>
      <c r="AA347" s="2">
        <v>5250</v>
      </c>
      <c r="AB347" t="s">
        <v>5859</v>
      </c>
      <c r="AC347" t="s">
        <v>9976</v>
      </c>
      <c r="AD347" s="32">
        <v>43266</v>
      </c>
      <c r="AJ347" t="s">
        <v>9959</v>
      </c>
      <c r="AL347" t="s">
        <v>10674</v>
      </c>
    </row>
    <row r="348" spans="1:38">
      <c r="A348" t="s">
        <v>7301</v>
      </c>
      <c r="B348" t="s">
        <v>12987</v>
      </c>
      <c r="C348" t="s">
        <v>12988</v>
      </c>
      <c r="D348" t="s">
        <v>12989</v>
      </c>
      <c r="E348" s="5">
        <v>87.5</v>
      </c>
      <c r="F348" s="5">
        <v>1837.5</v>
      </c>
      <c r="G348" s="3">
        <v>43283</v>
      </c>
      <c r="H348" s="4">
        <v>2.0833333333330002E-2</v>
      </c>
      <c r="I348" s="3">
        <v>43283</v>
      </c>
      <c r="J348" s="4">
        <v>0.2009837962963</v>
      </c>
      <c r="K348" s="2">
        <v>10</v>
      </c>
      <c r="L348" t="s">
        <v>5856</v>
      </c>
      <c r="M348" t="s">
        <v>12990</v>
      </c>
      <c r="N348" s="3">
        <v>43290</v>
      </c>
      <c r="O348" s="3">
        <v>43290</v>
      </c>
      <c r="P348" t="s">
        <v>6974</v>
      </c>
      <c r="Q348" t="s">
        <v>6038</v>
      </c>
      <c r="R348" t="s">
        <v>6039</v>
      </c>
      <c r="S348" s="3"/>
      <c r="T348" t="s">
        <v>9938</v>
      </c>
      <c r="U348" t="s">
        <v>6093</v>
      </c>
      <c r="V348" t="s">
        <v>12991</v>
      </c>
      <c r="W348" t="s">
        <v>6038</v>
      </c>
      <c r="X348" s="2">
        <v>425</v>
      </c>
      <c r="Y348" t="s">
        <v>5858</v>
      </c>
      <c r="Z348" t="s">
        <v>6037</v>
      </c>
      <c r="AA348" s="2">
        <v>0</v>
      </c>
      <c r="AB348" t="s">
        <v>5859</v>
      </c>
      <c r="AC348" t="s">
        <v>9989</v>
      </c>
      <c r="AD348" s="32">
        <v>43280</v>
      </c>
      <c r="AJ348" t="s">
        <v>9959</v>
      </c>
      <c r="AL348" t="s">
        <v>13905</v>
      </c>
    </row>
    <row r="349" spans="1:38">
      <c r="A349" t="s">
        <v>7301</v>
      </c>
      <c r="B349" t="s">
        <v>11788</v>
      </c>
      <c r="C349" t="s">
        <v>7335</v>
      </c>
      <c r="D349" t="s">
        <v>7336</v>
      </c>
      <c r="E349" s="2">
        <v>100</v>
      </c>
      <c r="F349" s="2">
        <v>2100</v>
      </c>
      <c r="G349" s="3">
        <v>43283</v>
      </c>
      <c r="H349" s="4">
        <v>0.22618055555555999</v>
      </c>
      <c r="I349" s="3">
        <v>43283</v>
      </c>
      <c r="J349" s="4">
        <v>0.43206018518519002</v>
      </c>
      <c r="K349" s="2">
        <v>0</v>
      </c>
      <c r="L349" t="s">
        <v>5856</v>
      </c>
      <c r="M349" t="s">
        <v>7322</v>
      </c>
      <c r="N349" s="3">
        <v>43286</v>
      </c>
      <c r="O349" s="3">
        <v>43285</v>
      </c>
      <c r="P349" t="s">
        <v>7337</v>
      </c>
      <c r="Q349" t="s">
        <v>6038</v>
      </c>
      <c r="R349" t="s">
        <v>6039</v>
      </c>
      <c r="S349" s="3"/>
      <c r="T349" t="s">
        <v>9938</v>
      </c>
      <c r="U349" t="s">
        <v>5886</v>
      </c>
      <c r="V349" t="s">
        <v>7338</v>
      </c>
      <c r="W349" t="s">
        <v>5857</v>
      </c>
      <c r="X349" s="2">
        <v>425</v>
      </c>
      <c r="Y349" t="s">
        <v>5858</v>
      </c>
      <c r="Z349" t="s">
        <v>6037</v>
      </c>
      <c r="AA349" s="2">
        <v>0</v>
      </c>
      <c r="AB349" t="s">
        <v>5859</v>
      </c>
      <c r="AC349" t="s">
        <v>9978</v>
      </c>
      <c r="AD349" s="32">
        <v>43257</v>
      </c>
      <c r="AH349">
        <v>3</v>
      </c>
      <c r="AI349" t="s">
        <v>9943</v>
      </c>
      <c r="AJ349" t="s">
        <v>9958</v>
      </c>
      <c r="AL349" t="s">
        <v>10675</v>
      </c>
    </row>
    <row r="350" spans="1:38">
      <c r="A350" t="s">
        <v>7301</v>
      </c>
      <c r="B350" t="s">
        <v>11808</v>
      </c>
      <c r="C350" t="s">
        <v>7430</v>
      </c>
      <c r="D350" t="s">
        <v>7431</v>
      </c>
      <c r="E350" s="2">
        <v>1000</v>
      </c>
      <c r="F350" s="2">
        <v>1000</v>
      </c>
      <c r="G350" s="3">
        <v>43284</v>
      </c>
      <c r="H350" s="4">
        <v>0.62254629629629998</v>
      </c>
      <c r="I350" s="3">
        <v>43284</v>
      </c>
      <c r="J350" s="4">
        <v>0.72059027777777995</v>
      </c>
      <c r="K350" s="2">
        <v>20</v>
      </c>
      <c r="L350" t="s">
        <v>5856</v>
      </c>
      <c r="M350" t="s">
        <v>6634</v>
      </c>
      <c r="N350" s="3">
        <v>43297</v>
      </c>
      <c r="O350" s="3">
        <v>43286</v>
      </c>
      <c r="P350" t="s">
        <v>5862</v>
      </c>
      <c r="Q350" t="s">
        <v>7432</v>
      </c>
      <c r="R350" t="s">
        <v>6036</v>
      </c>
      <c r="S350" s="3">
        <v>43298</v>
      </c>
      <c r="T350" t="s">
        <v>9938</v>
      </c>
      <c r="U350" t="s">
        <v>5886</v>
      </c>
      <c r="V350" t="s">
        <v>7433</v>
      </c>
      <c r="W350" t="s">
        <v>5857</v>
      </c>
      <c r="X350" s="2">
        <v>425</v>
      </c>
      <c r="Y350" t="s">
        <v>5858</v>
      </c>
      <c r="Z350" t="s">
        <v>6037</v>
      </c>
      <c r="AA350" s="2">
        <v>1000</v>
      </c>
      <c r="AB350" t="s">
        <v>5863</v>
      </c>
      <c r="AC350" t="s">
        <v>9978</v>
      </c>
      <c r="AD350" s="32">
        <v>43277</v>
      </c>
      <c r="AI350" t="s">
        <v>9939</v>
      </c>
      <c r="AJ350" t="s">
        <v>9958</v>
      </c>
      <c r="AL350" t="s">
        <v>10691</v>
      </c>
    </row>
    <row r="351" spans="1:38">
      <c r="A351" t="s">
        <v>7301</v>
      </c>
      <c r="B351" t="s">
        <v>11789</v>
      </c>
      <c r="C351" t="s">
        <v>6069</v>
      </c>
      <c r="D351" t="s">
        <v>5936</v>
      </c>
      <c r="E351" s="2">
        <v>2100</v>
      </c>
      <c r="F351" s="2">
        <v>2100</v>
      </c>
      <c r="G351" s="3">
        <v>43286</v>
      </c>
      <c r="H351" s="4">
        <v>2.0833333333330002E-2</v>
      </c>
      <c r="I351" s="3">
        <v>43286</v>
      </c>
      <c r="J351" s="4">
        <v>0.22671296296296001</v>
      </c>
      <c r="K351" s="2">
        <v>20</v>
      </c>
      <c r="L351" t="s">
        <v>5856</v>
      </c>
      <c r="M351" t="s">
        <v>7322</v>
      </c>
      <c r="N351" s="3">
        <v>43290</v>
      </c>
      <c r="O351" s="3">
        <v>43288</v>
      </c>
      <c r="P351" t="s">
        <v>5862</v>
      </c>
      <c r="Q351" t="s">
        <v>7345</v>
      </c>
      <c r="R351" t="s">
        <v>6036</v>
      </c>
      <c r="S351" s="3">
        <v>43290</v>
      </c>
      <c r="T351" t="s">
        <v>9938</v>
      </c>
      <c r="U351" t="s">
        <v>5923</v>
      </c>
      <c r="V351" t="s">
        <v>5938</v>
      </c>
      <c r="W351" t="s">
        <v>5857</v>
      </c>
      <c r="X351" s="2">
        <v>425</v>
      </c>
      <c r="Y351" t="s">
        <v>5858</v>
      </c>
      <c r="Z351" t="s">
        <v>6037</v>
      </c>
      <c r="AA351" s="2">
        <v>2000</v>
      </c>
      <c r="AB351" t="s">
        <v>5859</v>
      </c>
      <c r="AC351" t="s">
        <v>9974</v>
      </c>
      <c r="AD351" s="32">
        <v>43259</v>
      </c>
      <c r="AJ351" t="s">
        <v>9959</v>
      </c>
      <c r="AL351" t="s">
        <v>10676</v>
      </c>
    </row>
    <row r="352" spans="1:38">
      <c r="A352" t="s">
        <v>7301</v>
      </c>
      <c r="B352" t="s">
        <v>11792</v>
      </c>
      <c r="C352" t="s">
        <v>7356</v>
      </c>
      <c r="D352" t="s">
        <v>7357</v>
      </c>
      <c r="E352" s="2">
        <v>50</v>
      </c>
      <c r="F352" s="2">
        <v>1050</v>
      </c>
      <c r="G352" s="3">
        <v>43286</v>
      </c>
      <c r="H352" s="4">
        <v>2.0833333333330002E-2</v>
      </c>
      <c r="I352" s="3">
        <v>43286</v>
      </c>
      <c r="J352" s="4">
        <v>0.12378472222222001</v>
      </c>
      <c r="K352" s="2">
        <v>0</v>
      </c>
      <c r="L352" t="s">
        <v>5856</v>
      </c>
      <c r="M352" t="s">
        <v>7348</v>
      </c>
      <c r="N352" s="3">
        <v>43290</v>
      </c>
      <c r="O352" s="3">
        <v>43288</v>
      </c>
      <c r="P352" t="s">
        <v>7358</v>
      </c>
      <c r="Q352" t="s">
        <v>6038</v>
      </c>
      <c r="R352" t="s">
        <v>6039</v>
      </c>
      <c r="S352" s="3"/>
      <c r="T352" t="s">
        <v>9938</v>
      </c>
      <c r="U352" t="s">
        <v>6052</v>
      </c>
      <c r="V352" t="s">
        <v>7359</v>
      </c>
      <c r="W352" t="s">
        <v>6038</v>
      </c>
      <c r="X352" s="2">
        <v>425</v>
      </c>
      <c r="Y352" t="s">
        <v>5858</v>
      </c>
      <c r="Z352" t="s">
        <v>6037</v>
      </c>
      <c r="AA352" s="2">
        <v>0</v>
      </c>
      <c r="AB352" t="s">
        <v>5859</v>
      </c>
      <c r="AC352" t="s">
        <v>9974</v>
      </c>
      <c r="AD352" s="32">
        <v>43262</v>
      </c>
      <c r="AJ352" t="s">
        <v>9958</v>
      </c>
      <c r="AL352" t="s">
        <v>10679</v>
      </c>
    </row>
    <row r="353" spans="1:38">
      <c r="A353" t="s">
        <v>7301</v>
      </c>
      <c r="B353" t="s">
        <v>11791</v>
      </c>
      <c r="C353" t="s">
        <v>7352</v>
      </c>
      <c r="D353" t="s">
        <v>7353</v>
      </c>
      <c r="E353" s="2">
        <v>50</v>
      </c>
      <c r="F353" s="2">
        <v>1050</v>
      </c>
      <c r="G353" s="3">
        <v>43286</v>
      </c>
      <c r="H353" s="4">
        <v>2.0833333333330002E-2</v>
      </c>
      <c r="I353" s="3">
        <v>43286</v>
      </c>
      <c r="J353" s="4">
        <v>0.12378472222222001</v>
      </c>
      <c r="K353" s="2">
        <v>0</v>
      </c>
      <c r="L353" t="s">
        <v>5856</v>
      </c>
      <c r="M353" t="s">
        <v>7348</v>
      </c>
      <c r="N353" s="3">
        <v>43291</v>
      </c>
      <c r="O353" s="3">
        <v>43288</v>
      </c>
      <c r="P353" t="s">
        <v>6974</v>
      </c>
      <c r="Q353" t="s">
        <v>6038</v>
      </c>
      <c r="R353" t="s">
        <v>6039</v>
      </c>
      <c r="S353" s="3"/>
      <c r="T353" t="s">
        <v>9938</v>
      </c>
      <c r="U353" t="s">
        <v>7354</v>
      </c>
      <c r="V353" t="s">
        <v>7355</v>
      </c>
      <c r="W353" t="s">
        <v>6038</v>
      </c>
      <c r="X353" s="2">
        <v>425</v>
      </c>
      <c r="Y353" t="s">
        <v>5858</v>
      </c>
      <c r="Z353" t="s">
        <v>6037</v>
      </c>
      <c r="AA353" s="2">
        <v>0</v>
      </c>
      <c r="AB353" t="s">
        <v>5859</v>
      </c>
      <c r="AC353" t="s">
        <v>9981</v>
      </c>
      <c r="AD353" s="32">
        <v>43264</v>
      </c>
      <c r="AJ353" t="s">
        <v>9959</v>
      </c>
      <c r="AL353" t="s">
        <v>10678</v>
      </c>
    </row>
    <row r="354" spans="1:38">
      <c r="A354" t="s">
        <v>7301</v>
      </c>
      <c r="B354" t="s">
        <v>11790</v>
      </c>
      <c r="C354" t="s">
        <v>7346</v>
      </c>
      <c r="D354" t="s">
        <v>7347</v>
      </c>
      <c r="E354" s="2">
        <v>1050</v>
      </c>
      <c r="F354" s="2">
        <v>1050</v>
      </c>
      <c r="G354" s="3">
        <v>43286</v>
      </c>
      <c r="H354" s="4">
        <v>0.24754629629630001</v>
      </c>
      <c r="I354" s="3">
        <v>43286</v>
      </c>
      <c r="J354" s="4">
        <v>0.35049768518518998</v>
      </c>
      <c r="K354" s="2">
        <v>0</v>
      </c>
      <c r="L354" t="s">
        <v>5856</v>
      </c>
      <c r="M354" t="s">
        <v>7348</v>
      </c>
      <c r="N354" s="3">
        <v>43290</v>
      </c>
      <c r="O354" s="3">
        <v>43288</v>
      </c>
      <c r="P354" t="s">
        <v>7349</v>
      </c>
      <c r="Q354" t="s">
        <v>7350</v>
      </c>
      <c r="R354" t="s">
        <v>6036</v>
      </c>
      <c r="S354" s="3">
        <v>43290</v>
      </c>
      <c r="T354" t="s">
        <v>9938</v>
      </c>
      <c r="U354" t="s">
        <v>6052</v>
      </c>
      <c r="V354" t="s">
        <v>7351</v>
      </c>
      <c r="W354" t="s">
        <v>6038</v>
      </c>
      <c r="X354" s="2">
        <v>425</v>
      </c>
      <c r="Y354" t="s">
        <v>5858</v>
      </c>
      <c r="Z354" t="s">
        <v>6037</v>
      </c>
      <c r="AA354" s="2">
        <v>1000</v>
      </c>
      <c r="AB354" t="s">
        <v>5859</v>
      </c>
      <c r="AC354" t="s">
        <v>9974</v>
      </c>
      <c r="AD354" s="32">
        <v>43270</v>
      </c>
      <c r="AJ354" t="s">
        <v>9958</v>
      </c>
      <c r="AL354" t="s">
        <v>10677</v>
      </c>
    </row>
    <row r="355" spans="1:38">
      <c r="A355" t="s">
        <v>7301</v>
      </c>
      <c r="B355" t="s">
        <v>11793</v>
      </c>
      <c r="C355" t="s">
        <v>7364</v>
      </c>
      <c r="D355" t="s">
        <v>7365</v>
      </c>
      <c r="E355" s="2">
        <v>35</v>
      </c>
      <c r="F355" s="2">
        <v>735</v>
      </c>
      <c r="G355" s="3">
        <v>43287</v>
      </c>
      <c r="H355" s="4">
        <v>4.1678240740740002E-2</v>
      </c>
      <c r="I355" s="3">
        <v>43287</v>
      </c>
      <c r="J355" s="4">
        <v>0.11372685185185</v>
      </c>
      <c r="K355" s="2">
        <v>0</v>
      </c>
      <c r="L355" t="s">
        <v>5856</v>
      </c>
      <c r="M355" t="s">
        <v>7366</v>
      </c>
      <c r="N355" s="3">
        <v>43290</v>
      </c>
      <c r="O355" s="3">
        <v>43289</v>
      </c>
      <c r="P355" t="s">
        <v>6974</v>
      </c>
      <c r="Q355" t="s">
        <v>6038</v>
      </c>
      <c r="R355" t="s">
        <v>6039</v>
      </c>
      <c r="S355" s="3"/>
      <c r="T355" t="s">
        <v>9938</v>
      </c>
      <c r="U355" t="s">
        <v>6052</v>
      </c>
      <c r="V355" t="s">
        <v>7367</v>
      </c>
      <c r="W355" t="s">
        <v>6038</v>
      </c>
      <c r="X355" s="2">
        <v>425</v>
      </c>
      <c r="Y355" t="s">
        <v>5858</v>
      </c>
      <c r="Z355" t="s">
        <v>6037</v>
      </c>
      <c r="AA355" s="2">
        <v>0</v>
      </c>
      <c r="AB355" t="s">
        <v>5859</v>
      </c>
      <c r="AC355" t="s">
        <v>9974</v>
      </c>
      <c r="AD355" s="32">
        <v>43270</v>
      </c>
      <c r="AJ355" t="s">
        <v>9958</v>
      </c>
      <c r="AL355" t="s">
        <v>10680</v>
      </c>
    </row>
    <row r="356" spans="1:38">
      <c r="A356" t="s">
        <v>7301</v>
      </c>
      <c r="B356" t="s">
        <v>11794</v>
      </c>
      <c r="C356" t="s">
        <v>6078</v>
      </c>
      <c r="D356" t="s">
        <v>5975</v>
      </c>
      <c r="E356" s="2">
        <v>250</v>
      </c>
      <c r="F356" s="2">
        <v>5250</v>
      </c>
      <c r="G356" s="3">
        <v>43287</v>
      </c>
      <c r="H356" s="4">
        <v>0.36127314814814998</v>
      </c>
      <c r="I356" s="3">
        <v>43287</v>
      </c>
      <c r="J356" s="4">
        <v>0.87598379629629997</v>
      </c>
      <c r="K356" s="2">
        <v>20</v>
      </c>
      <c r="L356" t="s">
        <v>5856</v>
      </c>
      <c r="M356" t="s">
        <v>7316</v>
      </c>
      <c r="N356" s="3">
        <v>43290</v>
      </c>
      <c r="O356" s="3">
        <v>43289</v>
      </c>
      <c r="P356" t="s">
        <v>7368</v>
      </c>
      <c r="Q356" t="s">
        <v>6038</v>
      </c>
      <c r="R356" t="s">
        <v>6039</v>
      </c>
      <c r="S356" s="3"/>
      <c r="T356" t="s">
        <v>9938</v>
      </c>
      <c r="U356" t="s">
        <v>5935</v>
      </c>
      <c r="V356" t="s">
        <v>5976</v>
      </c>
      <c r="W356" t="s">
        <v>5857</v>
      </c>
      <c r="X356" s="2">
        <v>425</v>
      </c>
      <c r="Y356" t="s">
        <v>5858</v>
      </c>
      <c r="Z356" t="s">
        <v>6037</v>
      </c>
      <c r="AA356" s="2">
        <v>0</v>
      </c>
      <c r="AB356" t="s">
        <v>5859</v>
      </c>
      <c r="AC356" t="s">
        <v>9974</v>
      </c>
      <c r="AD356" s="32">
        <v>43249</v>
      </c>
      <c r="AI356" t="s">
        <v>9943</v>
      </c>
      <c r="AJ356" t="s">
        <v>9959</v>
      </c>
      <c r="AL356" t="s">
        <v>10681</v>
      </c>
    </row>
    <row r="357" spans="1:38">
      <c r="A357" t="s">
        <v>7301</v>
      </c>
      <c r="B357" t="s">
        <v>11807</v>
      </c>
      <c r="C357" t="s">
        <v>6072</v>
      </c>
      <c r="D357" t="s">
        <v>5946</v>
      </c>
      <c r="E357" s="2">
        <v>1000</v>
      </c>
      <c r="F357" s="2">
        <v>1000</v>
      </c>
      <c r="G357" s="3">
        <v>43287</v>
      </c>
      <c r="H357" s="4">
        <v>0.50366898148147998</v>
      </c>
      <c r="I357" s="3">
        <v>43287</v>
      </c>
      <c r="J357" s="4">
        <v>0.60171296296295995</v>
      </c>
      <c r="K357" s="2">
        <v>0</v>
      </c>
      <c r="L357" t="s">
        <v>5856</v>
      </c>
      <c r="M357" t="s">
        <v>6634</v>
      </c>
      <c r="N357" s="3">
        <v>43294</v>
      </c>
      <c r="O357" s="3">
        <v>43289</v>
      </c>
      <c r="P357" t="s">
        <v>5921</v>
      </c>
      <c r="Q357" t="s">
        <v>7429</v>
      </c>
      <c r="R357" t="s">
        <v>6036</v>
      </c>
      <c r="S357" s="3">
        <v>43294</v>
      </c>
      <c r="T357" t="s">
        <v>9938</v>
      </c>
      <c r="U357" t="s">
        <v>5947</v>
      </c>
      <c r="V357" t="s">
        <v>5948</v>
      </c>
      <c r="W357" t="s">
        <v>5857</v>
      </c>
      <c r="X357" s="2">
        <v>425</v>
      </c>
      <c r="Y357" t="s">
        <v>5858</v>
      </c>
      <c r="Z357" t="s">
        <v>6037</v>
      </c>
      <c r="AA357" s="2">
        <v>1000</v>
      </c>
      <c r="AB357" t="s">
        <v>5863</v>
      </c>
      <c r="AC357" t="s">
        <v>9976</v>
      </c>
      <c r="AD357" s="32">
        <v>43273</v>
      </c>
      <c r="AJ357" t="s">
        <v>9959</v>
      </c>
      <c r="AL357" t="s">
        <v>10690</v>
      </c>
    </row>
    <row r="358" spans="1:38">
      <c r="A358" t="s">
        <v>7301</v>
      </c>
      <c r="B358" t="s">
        <v>12992</v>
      </c>
      <c r="C358" t="s">
        <v>12993</v>
      </c>
      <c r="D358" t="s">
        <v>12994</v>
      </c>
      <c r="E358" s="2">
        <v>2520</v>
      </c>
      <c r="F358" s="2">
        <v>2520</v>
      </c>
      <c r="G358" s="3">
        <v>43287</v>
      </c>
      <c r="H358" s="4">
        <v>0.91921296296295996</v>
      </c>
      <c r="I358" s="3">
        <v>43288</v>
      </c>
      <c r="J358" s="4">
        <v>0.16627314814815</v>
      </c>
      <c r="K358" s="2">
        <v>10</v>
      </c>
      <c r="L358" t="s">
        <v>5856</v>
      </c>
      <c r="M358" t="s">
        <v>12995</v>
      </c>
      <c r="N358" s="3">
        <v>43290</v>
      </c>
      <c r="O358" s="3">
        <v>43290</v>
      </c>
      <c r="P358" t="s">
        <v>5951</v>
      </c>
      <c r="Q358" t="s">
        <v>12996</v>
      </c>
      <c r="R358" t="s">
        <v>6036</v>
      </c>
      <c r="S358" s="3">
        <v>43290</v>
      </c>
      <c r="T358" t="s">
        <v>9938</v>
      </c>
      <c r="U358" t="s">
        <v>6052</v>
      </c>
      <c r="V358" t="s">
        <v>12997</v>
      </c>
      <c r="W358" t="s">
        <v>5857</v>
      </c>
      <c r="X358" s="2">
        <v>425</v>
      </c>
      <c r="Y358" t="s">
        <v>5858</v>
      </c>
      <c r="Z358" t="s">
        <v>6037</v>
      </c>
      <c r="AA358" s="2">
        <v>2400</v>
      </c>
      <c r="AB358" t="s">
        <v>5863</v>
      </c>
      <c r="AC358" t="s">
        <v>9974</v>
      </c>
      <c r="AD358" s="32">
        <v>43280</v>
      </c>
      <c r="AJ358" t="s">
        <v>9958</v>
      </c>
      <c r="AL358" t="s">
        <v>13906</v>
      </c>
    </row>
    <row r="359" spans="1:38">
      <c r="A359" t="s">
        <v>7301</v>
      </c>
      <c r="B359" t="s">
        <v>11795</v>
      </c>
      <c r="C359" t="s">
        <v>7369</v>
      </c>
      <c r="D359" t="s">
        <v>7370</v>
      </c>
      <c r="E359" s="2">
        <v>1050</v>
      </c>
      <c r="F359" s="2">
        <v>1050</v>
      </c>
      <c r="G359" s="3">
        <v>43288</v>
      </c>
      <c r="H359" s="4">
        <v>2.0833333333330002E-2</v>
      </c>
      <c r="I359" s="3">
        <v>43288</v>
      </c>
      <c r="J359" s="4">
        <v>0.12378472222222001</v>
      </c>
      <c r="K359" s="2">
        <v>0</v>
      </c>
      <c r="L359" t="s">
        <v>5856</v>
      </c>
      <c r="M359" t="s">
        <v>7348</v>
      </c>
      <c r="N359" s="3"/>
      <c r="O359" s="3">
        <v>43290</v>
      </c>
      <c r="P359" t="s">
        <v>5978</v>
      </c>
      <c r="Q359" t="s">
        <v>7371</v>
      </c>
      <c r="R359" t="s">
        <v>6036</v>
      </c>
      <c r="S359" s="3">
        <v>43292</v>
      </c>
      <c r="T359" t="s">
        <v>9938</v>
      </c>
      <c r="U359" t="s">
        <v>5874</v>
      </c>
      <c r="V359" t="s">
        <v>7372</v>
      </c>
      <c r="W359" t="s">
        <v>5857</v>
      </c>
      <c r="X359" s="2">
        <v>425</v>
      </c>
      <c r="Y359" t="s">
        <v>5858</v>
      </c>
      <c r="Z359" t="s">
        <v>6037</v>
      </c>
      <c r="AA359" s="2">
        <v>1000</v>
      </c>
      <c r="AB359" t="s">
        <v>5859</v>
      </c>
      <c r="AC359" t="s">
        <v>9978</v>
      </c>
      <c r="AD359" s="32">
        <v>43264</v>
      </c>
      <c r="AI359" t="s">
        <v>9943</v>
      </c>
      <c r="AJ359" t="s">
        <v>9958</v>
      </c>
      <c r="AL359" t="s">
        <v>10682</v>
      </c>
    </row>
    <row r="360" spans="1:38">
      <c r="A360" t="s">
        <v>7301</v>
      </c>
      <c r="B360" t="s">
        <v>11796</v>
      </c>
      <c r="C360" t="s">
        <v>7373</v>
      </c>
      <c r="D360" t="s">
        <v>7374</v>
      </c>
      <c r="E360" s="5">
        <v>866.25</v>
      </c>
      <c r="F360" s="5">
        <v>866.25</v>
      </c>
      <c r="G360" s="3">
        <v>43289</v>
      </c>
      <c r="H360" s="4">
        <v>2.0833333333330002E-2</v>
      </c>
      <c r="I360" s="3">
        <v>43289</v>
      </c>
      <c r="J360" s="4">
        <v>0.10575231481481</v>
      </c>
      <c r="K360" s="2">
        <v>20</v>
      </c>
      <c r="L360" t="s">
        <v>5856</v>
      </c>
      <c r="M360" t="s">
        <v>7375</v>
      </c>
      <c r="N360" s="3">
        <v>43292</v>
      </c>
      <c r="O360" s="3">
        <v>43291</v>
      </c>
      <c r="P360" t="s">
        <v>5978</v>
      </c>
      <c r="Q360" t="s">
        <v>7376</v>
      </c>
      <c r="R360" t="s">
        <v>6036</v>
      </c>
      <c r="S360" s="3">
        <v>43292</v>
      </c>
      <c r="T360" t="s">
        <v>9938</v>
      </c>
      <c r="U360" t="s">
        <v>5987</v>
      </c>
      <c r="V360" t="s">
        <v>7377</v>
      </c>
      <c r="W360" t="s">
        <v>5857</v>
      </c>
      <c r="X360" s="2">
        <v>425</v>
      </c>
      <c r="Y360" t="s">
        <v>5858</v>
      </c>
      <c r="Z360" t="s">
        <v>6037</v>
      </c>
      <c r="AA360" s="2">
        <v>825</v>
      </c>
      <c r="AB360" t="s">
        <v>5859</v>
      </c>
      <c r="AC360" t="s">
        <v>9978</v>
      </c>
      <c r="AD360" s="32">
        <v>43264</v>
      </c>
      <c r="AI360" t="s">
        <v>9943</v>
      </c>
      <c r="AJ360" t="s">
        <v>9958</v>
      </c>
      <c r="AL360" t="s">
        <v>10683</v>
      </c>
    </row>
    <row r="361" spans="1:38">
      <c r="A361" t="s">
        <v>7301</v>
      </c>
      <c r="B361" t="s">
        <v>12998</v>
      </c>
      <c r="C361" t="s">
        <v>7384</v>
      </c>
      <c r="D361" t="s">
        <v>7385</v>
      </c>
      <c r="E361" s="2">
        <v>1725</v>
      </c>
      <c r="F361" s="2">
        <v>1725</v>
      </c>
      <c r="G361" s="3">
        <v>43289</v>
      </c>
      <c r="H361" s="4">
        <v>0.83086805555555998</v>
      </c>
      <c r="I361" s="3">
        <v>43289</v>
      </c>
      <c r="J361" s="4">
        <v>0.99998842592592996</v>
      </c>
      <c r="K361" s="2">
        <v>0</v>
      </c>
      <c r="L361" t="s">
        <v>5856</v>
      </c>
      <c r="M361" t="s">
        <v>7386</v>
      </c>
      <c r="N361" s="3">
        <v>43291</v>
      </c>
      <c r="O361" s="3">
        <v>43291</v>
      </c>
      <c r="P361" t="s">
        <v>5889</v>
      </c>
      <c r="Q361" t="s">
        <v>7387</v>
      </c>
      <c r="R361" t="s">
        <v>6036</v>
      </c>
      <c r="S361" s="3">
        <v>43301</v>
      </c>
      <c r="T361" t="s">
        <v>9938</v>
      </c>
      <c r="U361" t="s">
        <v>7041</v>
      </c>
      <c r="V361" t="s">
        <v>7388</v>
      </c>
      <c r="W361" t="s">
        <v>5857</v>
      </c>
      <c r="X361" s="2">
        <v>425</v>
      </c>
      <c r="Y361" t="s">
        <v>5858</v>
      </c>
      <c r="Z361" t="s">
        <v>6037</v>
      </c>
      <c r="AA361" s="2">
        <v>1725</v>
      </c>
      <c r="AB361" t="s">
        <v>5863</v>
      </c>
      <c r="AC361" t="s">
        <v>9978</v>
      </c>
      <c r="AD361" s="32">
        <v>43280</v>
      </c>
      <c r="AJ361" t="s">
        <v>9958</v>
      </c>
      <c r="AL361" t="s">
        <v>13907</v>
      </c>
    </row>
    <row r="362" spans="1:38">
      <c r="A362" t="s">
        <v>7301</v>
      </c>
      <c r="B362" t="s">
        <v>11803</v>
      </c>
      <c r="C362" t="s">
        <v>7409</v>
      </c>
      <c r="D362" t="s">
        <v>7410</v>
      </c>
      <c r="E362" s="2">
        <v>1575</v>
      </c>
      <c r="F362" s="2">
        <v>1575</v>
      </c>
      <c r="G362" s="3">
        <v>43290</v>
      </c>
      <c r="H362" s="4">
        <v>2.0833333333330002E-2</v>
      </c>
      <c r="I362" s="3">
        <v>43290</v>
      </c>
      <c r="J362" s="4">
        <v>0.17524305555556</v>
      </c>
      <c r="K362" s="2">
        <v>0</v>
      </c>
      <c r="L362" t="s">
        <v>5856</v>
      </c>
      <c r="M362" t="s">
        <v>7434</v>
      </c>
      <c r="N362" s="3">
        <v>43293</v>
      </c>
      <c r="O362" s="3">
        <v>43292</v>
      </c>
      <c r="P362" t="s">
        <v>6924</v>
      </c>
      <c r="Q362" t="s">
        <v>7412</v>
      </c>
      <c r="R362" t="s">
        <v>6036</v>
      </c>
      <c r="S362" s="3">
        <v>43293</v>
      </c>
      <c r="T362" t="s">
        <v>9938</v>
      </c>
      <c r="U362" t="s">
        <v>7413</v>
      </c>
      <c r="V362" t="s">
        <v>7414</v>
      </c>
      <c r="W362" t="s">
        <v>6038</v>
      </c>
      <c r="X362" s="2">
        <v>425</v>
      </c>
      <c r="Y362" t="s">
        <v>5858</v>
      </c>
      <c r="Z362" t="s">
        <v>6037</v>
      </c>
      <c r="AA362" s="2">
        <v>1500</v>
      </c>
      <c r="AB362" t="s">
        <v>5859</v>
      </c>
      <c r="AC362" t="s">
        <v>9976</v>
      </c>
      <c r="AD362" s="32">
        <v>43270</v>
      </c>
      <c r="AJ362" t="s">
        <v>9958</v>
      </c>
      <c r="AL362" t="s">
        <v>13908</v>
      </c>
    </row>
    <row r="363" spans="1:38">
      <c r="A363" t="s">
        <v>7301</v>
      </c>
      <c r="B363" t="s">
        <v>11798</v>
      </c>
      <c r="C363" t="s">
        <v>7389</v>
      </c>
      <c r="D363" t="s">
        <v>7390</v>
      </c>
      <c r="E363" s="2">
        <v>3675</v>
      </c>
      <c r="F363" s="2">
        <v>3675</v>
      </c>
      <c r="G363" s="3">
        <v>43290</v>
      </c>
      <c r="H363" s="4">
        <v>0.19607638888889001</v>
      </c>
      <c r="I363" s="3">
        <v>43290</v>
      </c>
      <c r="J363" s="4">
        <v>0.55636574074073997</v>
      </c>
      <c r="K363" s="2">
        <v>20</v>
      </c>
      <c r="L363" t="s">
        <v>5856</v>
      </c>
      <c r="M363" t="s">
        <v>6624</v>
      </c>
      <c r="N363" s="3">
        <v>43292</v>
      </c>
      <c r="O363" s="3">
        <v>43292</v>
      </c>
      <c r="P363" t="s">
        <v>5862</v>
      </c>
      <c r="Q363" t="s">
        <v>7391</v>
      </c>
      <c r="R363" t="s">
        <v>6036</v>
      </c>
      <c r="S363" s="3">
        <v>43292</v>
      </c>
      <c r="T363" t="s">
        <v>9938</v>
      </c>
      <c r="U363" t="s">
        <v>5894</v>
      </c>
      <c r="V363" t="s">
        <v>7392</v>
      </c>
      <c r="W363" t="s">
        <v>5857</v>
      </c>
      <c r="X363" s="2">
        <v>425</v>
      </c>
      <c r="Y363" t="s">
        <v>5858</v>
      </c>
      <c r="Z363" t="s">
        <v>6037</v>
      </c>
      <c r="AA363" s="2">
        <v>3500</v>
      </c>
      <c r="AB363" t="s">
        <v>5859</v>
      </c>
      <c r="AC363" t="s">
        <v>9978</v>
      </c>
      <c r="AD363" s="32">
        <v>43257</v>
      </c>
      <c r="AJ363" t="s">
        <v>9958</v>
      </c>
      <c r="AL363" t="s">
        <v>10684</v>
      </c>
    </row>
    <row r="364" spans="1:38">
      <c r="A364" t="s">
        <v>7301</v>
      </c>
      <c r="B364" t="s">
        <v>11801</v>
      </c>
      <c r="C364" t="s">
        <v>7400</v>
      </c>
      <c r="D364" t="s">
        <v>7401</v>
      </c>
      <c r="E364" s="2">
        <v>50</v>
      </c>
      <c r="F364" s="2">
        <v>1050</v>
      </c>
      <c r="G364" s="3">
        <v>43290</v>
      </c>
      <c r="H364" s="4">
        <v>0.26674768518518999</v>
      </c>
      <c r="I364" s="3">
        <v>43290</v>
      </c>
      <c r="J364" s="4">
        <v>0.36969907407406999</v>
      </c>
      <c r="K364" s="2">
        <v>0</v>
      </c>
      <c r="L364" t="s">
        <v>5856</v>
      </c>
      <c r="M364" t="s">
        <v>7348</v>
      </c>
      <c r="N364" s="3">
        <v>43293</v>
      </c>
      <c r="O364" s="3">
        <v>43292</v>
      </c>
      <c r="P364" t="s">
        <v>7090</v>
      </c>
      <c r="Q364" t="s">
        <v>6038</v>
      </c>
      <c r="R364" t="s">
        <v>6039</v>
      </c>
      <c r="S364" s="3"/>
      <c r="T364" t="s">
        <v>9938</v>
      </c>
      <c r="U364" t="s">
        <v>6054</v>
      </c>
      <c r="V364" t="s">
        <v>7402</v>
      </c>
      <c r="W364" t="s">
        <v>5857</v>
      </c>
      <c r="X364" s="2">
        <v>425</v>
      </c>
      <c r="Y364" t="s">
        <v>5858</v>
      </c>
      <c r="Z364" t="s">
        <v>6037</v>
      </c>
      <c r="AA364" s="2">
        <v>0</v>
      </c>
      <c r="AB364" t="s">
        <v>5859</v>
      </c>
      <c r="AC364" t="s">
        <v>9974</v>
      </c>
      <c r="AD364" s="32">
        <v>43249</v>
      </c>
      <c r="AI364" t="s">
        <v>9949</v>
      </c>
      <c r="AJ364" t="s">
        <v>9958</v>
      </c>
      <c r="AL364" t="s">
        <v>10686</v>
      </c>
    </row>
    <row r="365" spans="1:38">
      <c r="A365" t="s">
        <v>7301</v>
      </c>
      <c r="B365" t="s">
        <v>11799</v>
      </c>
      <c r="C365" t="s">
        <v>7145</v>
      </c>
      <c r="D365" t="s">
        <v>7146</v>
      </c>
      <c r="E365" s="5">
        <v>3281.25</v>
      </c>
      <c r="F365" s="5">
        <v>3281.25</v>
      </c>
      <c r="G365" s="3">
        <v>43290</v>
      </c>
      <c r="H365" s="4">
        <v>0.57719907407407001</v>
      </c>
      <c r="I365" s="3">
        <v>43290</v>
      </c>
      <c r="J365" s="4">
        <v>0.89890046296296</v>
      </c>
      <c r="K365" s="2">
        <v>20</v>
      </c>
      <c r="L365" t="s">
        <v>5856</v>
      </c>
      <c r="M365" t="s">
        <v>7393</v>
      </c>
      <c r="N365" s="3">
        <v>43292</v>
      </c>
      <c r="O365" s="3">
        <v>43292</v>
      </c>
      <c r="P365" t="s">
        <v>5862</v>
      </c>
      <c r="Q365" t="s">
        <v>7394</v>
      </c>
      <c r="R365" t="s">
        <v>6036</v>
      </c>
      <c r="S365" s="3">
        <v>43292</v>
      </c>
      <c r="T365" t="s">
        <v>9938</v>
      </c>
      <c r="U365" t="s">
        <v>5894</v>
      </c>
      <c r="V365" t="s">
        <v>7148</v>
      </c>
      <c r="W365" t="s">
        <v>5857</v>
      </c>
      <c r="X365" s="2">
        <v>425</v>
      </c>
      <c r="Y365" t="s">
        <v>5858</v>
      </c>
      <c r="Z365" t="s">
        <v>6037</v>
      </c>
      <c r="AA365" s="2">
        <v>3125</v>
      </c>
      <c r="AB365" t="s">
        <v>5859</v>
      </c>
      <c r="AC365" t="s">
        <v>9978</v>
      </c>
      <c r="AD365" s="32">
        <v>43257</v>
      </c>
      <c r="AJ365" t="s">
        <v>9958</v>
      </c>
      <c r="AL365" t="s">
        <v>10685</v>
      </c>
    </row>
    <row r="366" spans="1:38">
      <c r="A366" t="s">
        <v>7301</v>
      </c>
      <c r="B366" t="s">
        <v>11706</v>
      </c>
      <c r="C366" t="s">
        <v>7043</v>
      </c>
      <c r="D366" t="s">
        <v>7044</v>
      </c>
      <c r="E366" s="2">
        <v>525</v>
      </c>
      <c r="F366" s="2">
        <v>525</v>
      </c>
      <c r="G366" s="3">
        <v>43290</v>
      </c>
      <c r="H366" s="4">
        <v>0.91973379629630003</v>
      </c>
      <c r="I366" s="3">
        <v>43290</v>
      </c>
      <c r="J366" s="4">
        <v>0.97120370370370002</v>
      </c>
      <c r="K366" s="2">
        <v>0</v>
      </c>
      <c r="L366" t="s">
        <v>5856</v>
      </c>
      <c r="M366" t="s">
        <v>7332</v>
      </c>
      <c r="N366" s="3">
        <v>43298</v>
      </c>
      <c r="O366" s="3">
        <v>43292</v>
      </c>
      <c r="P366" t="s">
        <v>5921</v>
      </c>
      <c r="Q366" t="s">
        <v>7045</v>
      </c>
      <c r="R366" t="s">
        <v>6036</v>
      </c>
      <c r="S366" s="3">
        <v>43298</v>
      </c>
      <c r="T366" t="s">
        <v>9938</v>
      </c>
      <c r="U366" t="s">
        <v>7046</v>
      </c>
      <c r="V366" t="s">
        <v>5948</v>
      </c>
      <c r="W366" t="s">
        <v>5857</v>
      </c>
      <c r="X366" s="2">
        <v>425</v>
      </c>
      <c r="Y366" t="s">
        <v>5858</v>
      </c>
      <c r="Z366" t="s">
        <v>6037</v>
      </c>
      <c r="AA366" s="2">
        <v>500</v>
      </c>
      <c r="AB366" t="s">
        <v>5863</v>
      </c>
      <c r="AC366" t="s">
        <v>9976</v>
      </c>
      <c r="AD366" s="32">
        <v>43277</v>
      </c>
      <c r="AJ366" t="s">
        <v>9958</v>
      </c>
      <c r="AL366" t="s">
        <v>13909</v>
      </c>
    </row>
    <row r="367" spans="1:38">
      <c r="A367" t="s">
        <v>7301</v>
      </c>
      <c r="B367" t="s">
        <v>11806</v>
      </c>
      <c r="C367" t="s">
        <v>7425</v>
      </c>
      <c r="D367" t="s">
        <v>7426</v>
      </c>
      <c r="E367" s="2">
        <v>5250</v>
      </c>
      <c r="F367" s="2">
        <v>5250</v>
      </c>
      <c r="G367" s="3">
        <v>43295</v>
      </c>
      <c r="H367" s="4">
        <v>2.0833333333330002E-2</v>
      </c>
      <c r="I367" s="3">
        <v>43295</v>
      </c>
      <c r="J367" s="4">
        <v>0.53554398148147997</v>
      </c>
      <c r="K367" s="2">
        <v>20</v>
      </c>
      <c r="L367" t="s">
        <v>5856</v>
      </c>
      <c r="M367" t="s">
        <v>7316</v>
      </c>
      <c r="N367" s="3">
        <v>43298</v>
      </c>
      <c r="O367" s="3">
        <v>43297</v>
      </c>
      <c r="P367" t="s">
        <v>5930</v>
      </c>
      <c r="Q367" t="s">
        <v>7427</v>
      </c>
      <c r="R367" t="s">
        <v>6036</v>
      </c>
      <c r="S367" s="3">
        <v>43298</v>
      </c>
      <c r="T367" t="s">
        <v>9938</v>
      </c>
      <c r="U367" t="s">
        <v>5903</v>
      </c>
      <c r="V367" t="s">
        <v>7428</v>
      </c>
      <c r="W367" t="s">
        <v>5857</v>
      </c>
      <c r="X367" s="2">
        <v>425</v>
      </c>
      <c r="Y367" t="s">
        <v>5858</v>
      </c>
      <c r="Z367" t="s">
        <v>6037</v>
      </c>
      <c r="AA367" s="2">
        <v>5000</v>
      </c>
      <c r="AB367" t="s">
        <v>5859</v>
      </c>
      <c r="AC367" t="s">
        <v>9974</v>
      </c>
      <c r="AD367" s="32">
        <v>43227</v>
      </c>
      <c r="AI367" t="s">
        <v>9943</v>
      </c>
      <c r="AJ367" t="s">
        <v>9959</v>
      </c>
      <c r="AL367" t="s">
        <v>13910</v>
      </c>
    </row>
    <row r="368" spans="1:38">
      <c r="A368" t="s">
        <v>7301</v>
      </c>
      <c r="B368" t="s">
        <v>11802</v>
      </c>
      <c r="C368" t="s">
        <v>7403</v>
      </c>
      <c r="D368" t="s">
        <v>7404</v>
      </c>
      <c r="E368" s="2">
        <v>1050</v>
      </c>
      <c r="F368" s="2">
        <v>1050</v>
      </c>
      <c r="G368" s="3">
        <v>43296</v>
      </c>
      <c r="H368" s="4">
        <v>6.7407407407409997E-2</v>
      </c>
      <c r="I368" s="3">
        <v>43296</v>
      </c>
      <c r="J368" s="4">
        <v>0.17034722222222001</v>
      </c>
      <c r="K368" s="2">
        <v>0</v>
      </c>
      <c r="L368" t="s">
        <v>5856</v>
      </c>
      <c r="M368" t="s">
        <v>7405</v>
      </c>
      <c r="N368" s="3">
        <v>43298</v>
      </c>
      <c r="O368" s="3">
        <v>43298</v>
      </c>
      <c r="P368" t="s">
        <v>6868</v>
      </c>
      <c r="Q368" t="s">
        <v>7406</v>
      </c>
      <c r="R368" t="s">
        <v>6036</v>
      </c>
      <c r="S368" s="3">
        <v>43298</v>
      </c>
      <c r="T368" t="s">
        <v>9938</v>
      </c>
      <c r="U368" t="s">
        <v>7407</v>
      </c>
      <c r="V368" t="s">
        <v>7408</v>
      </c>
      <c r="W368" t="s">
        <v>5857</v>
      </c>
      <c r="X368" s="2">
        <v>425</v>
      </c>
      <c r="Y368" t="s">
        <v>5858</v>
      </c>
      <c r="Z368" t="s">
        <v>6037</v>
      </c>
      <c r="AA368" s="2">
        <v>1000</v>
      </c>
      <c r="AB368" t="s">
        <v>5863</v>
      </c>
      <c r="AC368" t="s">
        <v>9976</v>
      </c>
      <c r="AD368" s="32">
        <v>43277</v>
      </c>
      <c r="AJ368" t="s">
        <v>9958</v>
      </c>
      <c r="AL368" t="s">
        <v>10687</v>
      </c>
    </row>
    <row r="369" spans="1:38">
      <c r="A369" t="s">
        <v>7301</v>
      </c>
      <c r="B369" t="s">
        <v>11804</v>
      </c>
      <c r="C369" t="s">
        <v>7415</v>
      </c>
      <c r="D369" t="s">
        <v>7416</v>
      </c>
      <c r="E369" s="2">
        <v>210</v>
      </c>
      <c r="F369" s="2">
        <v>210</v>
      </c>
      <c r="G369" s="3">
        <v>43296</v>
      </c>
      <c r="H369" s="4">
        <v>0.19118055555555999</v>
      </c>
      <c r="I369" s="3">
        <v>43296</v>
      </c>
      <c r="J369" s="4">
        <v>0.21177083333332999</v>
      </c>
      <c r="K369" s="2">
        <v>0</v>
      </c>
      <c r="L369" t="s">
        <v>5856</v>
      </c>
      <c r="M369" t="s">
        <v>7417</v>
      </c>
      <c r="N369" s="3">
        <v>43298</v>
      </c>
      <c r="O369" s="3">
        <v>43298</v>
      </c>
      <c r="P369" t="s">
        <v>5862</v>
      </c>
      <c r="Q369" t="s">
        <v>7418</v>
      </c>
      <c r="R369" t="s">
        <v>6036</v>
      </c>
      <c r="S369" s="3">
        <v>43298</v>
      </c>
      <c r="T369" t="s">
        <v>9938</v>
      </c>
      <c r="U369" t="s">
        <v>7419</v>
      </c>
      <c r="V369" t="s">
        <v>5948</v>
      </c>
      <c r="W369" t="s">
        <v>5857</v>
      </c>
      <c r="X369" s="2">
        <v>425</v>
      </c>
      <c r="Y369" t="s">
        <v>5858</v>
      </c>
      <c r="Z369" t="s">
        <v>6037</v>
      </c>
      <c r="AA369" s="2">
        <v>200</v>
      </c>
      <c r="AB369" t="s">
        <v>5863</v>
      </c>
      <c r="AC369" t="s">
        <v>9976</v>
      </c>
      <c r="AD369" s="32">
        <v>43277</v>
      </c>
      <c r="AJ369" t="s">
        <v>9958</v>
      </c>
      <c r="AL369" t="s">
        <v>10688</v>
      </c>
    </row>
    <row r="370" spans="1:38">
      <c r="A370" t="s">
        <v>7301</v>
      </c>
      <c r="B370" t="s">
        <v>11805</v>
      </c>
      <c r="C370" t="s">
        <v>7420</v>
      </c>
      <c r="D370" t="s">
        <v>7421</v>
      </c>
      <c r="E370" s="2">
        <v>1050</v>
      </c>
      <c r="F370" s="2">
        <v>1050</v>
      </c>
      <c r="G370" s="3">
        <v>43296</v>
      </c>
      <c r="H370" s="4">
        <v>0.23260416666667</v>
      </c>
      <c r="I370" s="3">
        <v>43296</v>
      </c>
      <c r="J370" s="4">
        <v>0.33554398148148001</v>
      </c>
      <c r="K370" s="2">
        <v>0</v>
      </c>
      <c r="L370" t="s">
        <v>5856</v>
      </c>
      <c r="M370" t="s">
        <v>7405</v>
      </c>
      <c r="N370" s="3">
        <v>43305</v>
      </c>
      <c r="O370" s="3">
        <v>43303</v>
      </c>
      <c r="P370" t="s">
        <v>6849</v>
      </c>
      <c r="Q370" t="s">
        <v>7422</v>
      </c>
      <c r="R370" t="s">
        <v>6036</v>
      </c>
      <c r="S370" s="3">
        <v>43305</v>
      </c>
      <c r="T370" t="s">
        <v>9938</v>
      </c>
      <c r="U370" t="s">
        <v>7423</v>
      </c>
      <c r="V370" t="s">
        <v>7424</v>
      </c>
      <c r="W370" t="s">
        <v>6038</v>
      </c>
      <c r="X370" s="2">
        <v>425</v>
      </c>
      <c r="Y370" t="s">
        <v>5858</v>
      </c>
      <c r="Z370" t="s">
        <v>6037</v>
      </c>
      <c r="AA370" s="2">
        <v>1000</v>
      </c>
      <c r="AB370" t="s">
        <v>5863</v>
      </c>
      <c r="AC370" t="s">
        <v>9976</v>
      </c>
      <c r="AD370" s="32">
        <v>43277</v>
      </c>
      <c r="AJ370" t="s">
        <v>9959</v>
      </c>
      <c r="AL370" t="s">
        <v>10689</v>
      </c>
    </row>
    <row r="371" spans="1:38">
      <c r="A371" t="s">
        <v>7301</v>
      </c>
      <c r="B371" t="s">
        <v>12999</v>
      </c>
      <c r="C371" t="s">
        <v>13000</v>
      </c>
      <c r="D371" t="s">
        <v>13001</v>
      </c>
      <c r="E371" s="2">
        <v>2625</v>
      </c>
      <c r="F371" s="2">
        <v>2625</v>
      </c>
      <c r="G371" s="3">
        <v>43297</v>
      </c>
      <c r="H371" s="4">
        <v>0.23297453703703999</v>
      </c>
      <c r="I371" s="3">
        <v>43297</v>
      </c>
      <c r="J371" s="4">
        <v>0.49032407407407003</v>
      </c>
      <c r="K371" s="2">
        <v>20</v>
      </c>
      <c r="L371" t="s">
        <v>5856</v>
      </c>
      <c r="M371" t="s">
        <v>13002</v>
      </c>
      <c r="N371" s="3">
        <v>43306</v>
      </c>
      <c r="O371" s="3">
        <v>43299</v>
      </c>
      <c r="P371" t="s">
        <v>13003</v>
      </c>
      <c r="Q371" t="s">
        <v>13004</v>
      </c>
      <c r="R371" t="s">
        <v>6036</v>
      </c>
      <c r="S371" s="3">
        <v>43306</v>
      </c>
      <c r="T371" t="s">
        <v>9938</v>
      </c>
      <c r="U371" t="s">
        <v>5917</v>
      </c>
      <c r="V371" t="s">
        <v>13005</v>
      </c>
      <c r="W371" t="s">
        <v>6038</v>
      </c>
      <c r="X371" s="2">
        <v>425</v>
      </c>
      <c r="Y371" t="s">
        <v>5858</v>
      </c>
      <c r="Z371" t="s">
        <v>6037</v>
      </c>
      <c r="AA371" s="2">
        <v>2500</v>
      </c>
      <c r="AB371" t="s">
        <v>5863</v>
      </c>
      <c r="AC371" t="s">
        <v>9976</v>
      </c>
      <c r="AD371" s="32">
        <v>43280</v>
      </c>
      <c r="AJ371" t="s">
        <v>9958</v>
      </c>
      <c r="AL371" t="s">
        <v>13911</v>
      </c>
    </row>
    <row r="372" spans="1:38">
      <c r="A372" t="s">
        <v>7301</v>
      </c>
      <c r="B372" t="s">
        <v>13006</v>
      </c>
      <c r="C372" t="s">
        <v>8949</v>
      </c>
      <c r="D372" t="s">
        <v>8950</v>
      </c>
      <c r="E372" s="2">
        <v>3500</v>
      </c>
      <c r="F372" s="2">
        <v>3500</v>
      </c>
      <c r="G372" s="3">
        <v>43297</v>
      </c>
      <c r="H372" s="4">
        <v>0.51115740740741</v>
      </c>
      <c r="I372" s="3">
        <v>43297</v>
      </c>
      <c r="J372" s="4">
        <v>0.85429398148147995</v>
      </c>
      <c r="K372" s="2">
        <v>0</v>
      </c>
      <c r="L372" t="s">
        <v>5856</v>
      </c>
      <c r="M372" t="s">
        <v>13007</v>
      </c>
      <c r="N372" s="3">
        <v>43300</v>
      </c>
      <c r="O372" s="3">
        <v>43299</v>
      </c>
      <c r="P372" t="s">
        <v>5862</v>
      </c>
      <c r="Q372" t="s">
        <v>13008</v>
      </c>
      <c r="R372" t="s">
        <v>6036</v>
      </c>
      <c r="S372" s="3">
        <v>43300</v>
      </c>
      <c r="T372" t="s">
        <v>9938</v>
      </c>
      <c r="U372" t="s">
        <v>8953</v>
      </c>
      <c r="V372" t="s">
        <v>8954</v>
      </c>
      <c r="W372" t="s">
        <v>5857</v>
      </c>
      <c r="X372" s="2">
        <v>425</v>
      </c>
      <c r="Y372" t="s">
        <v>5858</v>
      </c>
      <c r="Z372" t="s">
        <v>6037</v>
      </c>
      <c r="AA372" s="2">
        <v>3500</v>
      </c>
      <c r="AB372" t="s">
        <v>5863</v>
      </c>
      <c r="AC372" t="s">
        <v>9982</v>
      </c>
      <c r="AD372" s="32">
        <v>43280</v>
      </c>
      <c r="AJ372" t="s">
        <v>9958</v>
      </c>
      <c r="AL372" t="s">
        <v>13912</v>
      </c>
    </row>
    <row r="373" spans="1:38">
      <c r="A373" t="s">
        <v>7301</v>
      </c>
      <c r="B373" t="s">
        <v>13009</v>
      </c>
      <c r="C373" t="s">
        <v>7071</v>
      </c>
      <c r="D373" t="s">
        <v>7072</v>
      </c>
      <c r="E373" s="2">
        <v>300</v>
      </c>
      <c r="F373" s="2">
        <v>300</v>
      </c>
      <c r="G373" s="3">
        <v>43297</v>
      </c>
      <c r="H373" s="4">
        <v>0.87512731481480999</v>
      </c>
      <c r="I373" s="3">
        <v>43297</v>
      </c>
      <c r="J373" s="4">
        <v>0.90453703703704003</v>
      </c>
      <c r="K373" s="2">
        <v>0</v>
      </c>
      <c r="L373" t="s">
        <v>5856</v>
      </c>
      <c r="M373" t="s">
        <v>13010</v>
      </c>
      <c r="N373" s="3">
        <v>43300</v>
      </c>
      <c r="O373" s="3">
        <v>43299</v>
      </c>
      <c r="P373" t="s">
        <v>6868</v>
      </c>
      <c r="Q373" t="s">
        <v>13011</v>
      </c>
      <c r="R373" t="s">
        <v>6036</v>
      </c>
      <c r="S373" s="3">
        <v>43300</v>
      </c>
      <c r="T373" t="s">
        <v>9938</v>
      </c>
      <c r="U373" t="s">
        <v>5917</v>
      </c>
      <c r="V373" t="s">
        <v>7074</v>
      </c>
      <c r="W373" t="s">
        <v>6038</v>
      </c>
      <c r="X373" s="2">
        <v>425</v>
      </c>
      <c r="Y373" t="s">
        <v>5858</v>
      </c>
      <c r="Z373" t="s">
        <v>6037</v>
      </c>
      <c r="AA373" s="2">
        <v>300</v>
      </c>
      <c r="AB373" t="s">
        <v>5863</v>
      </c>
      <c r="AC373" t="s">
        <v>9976</v>
      </c>
      <c r="AD373" s="32">
        <v>43279</v>
      </c>
      <c r="AJ373" t="s">
        <v>9958</v>
      </c>
      <c r="AL373" t="s">
        <v>13913</v>
      </c>
    </row>
    <row r="374" spans="1:38">
      <c r="A374" t="s">
        <v>7301</v>
      </c>
      <c r="B374" t="s">
        <v>13012</v>
      </c>
      <c r="C374" t="s">
        <v>7123</v>
      </c>
      <c r="D374" t="s">
        <v>7124</v>
      </c>
      <c r="E374" s="5">
        <v>761.25</v>
      </c>
      <c r="F374" s="5">
        <v>761.25</v>
      </c>
      <c r="G374" s="3">
        <v>43297</v>
      </c>
      <c r="H374" s="4">
        <v>0.92537037037036995</v>
      </c>
      <c r="I374" s="3">
        <v>43298</v>
      </c>
      <c r="J374" s="4">
        <v>0</v>
      </c>
      <c r="K374" s="2">
        <v>20</v>
      </c>
      <c r="L374" t="s">
        <v>5856</v>
      </c>
      <c r="M374" t="s">
        <v>13013</v>
      </c>
      <c r="N374" s="3">
        <v>43300</v>
      </c>
      <c r="O374" s="3">
        <v>43299</v>
      </c>
      <c r="P374" t="s">
        <v>5929</v>
      </c>
      <c r="Q374" t="s">
        <v>13014</v>
      </c>
      <c r="R374" t="s">
        <v>6036</v>
      </c>
      <c r="S374" s="3">
        <v>43300</v>
      </c>
      <c r="T374" t="s">
        <v>9938</v>
      </c>
      <c r="U374" t="s">
        <v>7127</v>
      </c>
      <c r="V374" t="s">
        <v>7128</v>
      </c>
      <c r="W374" t="s">
        <v>6038</v>
      </c>
      <c r="X374" s="2">
        <v>425</v>
      </c>
      <c r="Y374" t="s">
        <v>5858</v>
      </c>
      <c r="Z374" t="s">
        <v>6037</v>
      </c>
      <c r="AA374" s="2">
        <v>725</v>
      </c>
      <c r="AB374" t="s">
        <v>5863</v>
      </c>
      <c r="AC374" t="s">
        <v>9976</v>
      </c>
      <c r="AD374" s="32">
        <v>43279</v>
      </c>
      <c r="AJ374" t="s">
        <v>9958</v>
      </c>
      <c r="AL374" t="s">
        <v>13914</v>
      </c>
    </row>
    <row r="375" spans="1:38">
      <c r="A375" t="s">
        <v>7301</v>
      </c>
      <c r="B375" t="s">
        <v>13015</v>
      </c>
      <c r="C375" t="s">
        <v>12988</v>
      </c>
      <c r="D375" t="s">
        <v>12989</v>
      </c>
      <c r="E375" s="2">
        <v>1050</v>
      </c>
      <c r="F375" s="2">
        <v>1050</v>
      </c>
      <c r="G375" s="3">
        <v>43298</v>
      </c>
      <c r="H375" s="4">
        <v>9.6331018518519995E-2</v>
      </c>
      <c r="I375" s="3">
        <v>43298</v>
      </c>
      <c r="J375" s="4">
        <v>0.19927083333333001</v>
      </c>
      <c r="K375" s="2">
        <v>20</v>
      </c>
      <c r="L375" t="s">
        <v>5856</v>
      </c>
      <c r="M375" t="s">
        <v>7405</v>
      </c>
      <c r="N375" s="3">
        <v>43306</v>
      </c>
      <c r="O375" s="3">
        <v>43305</v>
      </c>
      <c r="P375" t="s">
        <v>6974</v>
      </c>
      <c r="Q375" t="s">
        <v>13016</v>
      </c>
      <c r="R375" t="s">
        <v>6036</v>
      </c>
      <c r="S375" s="3">
        <v>43306</v>
      </c>
      <c r="T375" t="s">
        <v>9938</v>
      </c>
      <c r="U375" t="s">
        <v>6093</v>
      </c>
      <c r="V375" t="s">
        <v>12991</v>
      </c>
      <c r="W375" t="s">
        <v>6038</v>
      </c>
      <c r="X375" s="2">
        <v>425</v>
      </c>
      <c r="Y375" t="s">
        <v>5858</v>
      </c>
      <c r="Z375" t="s">
        <v>6037</v>
      </c>
      <c r="AA375" s="2">
        <v>1000</v>
      </c>
      <c r="AB375" t="s">
        <v>5863</v>
      </c>
      <c r="AC375" t="s">
        <v>9989</v>
      </c>
      <c r="AD375" s="32">
        <v>43280</v>
      </c>
      <c r="AJ375" t="s">
        <v>9959</v>
      </c>
      <c r="AL375" t="s">
        <v>13915</v>
      </c>
    </row>
    <row r="376" spans="1:38">
      <c r="A376" t="s">
        <v>7301</v>
      </c>
      <c r="B376" t="s">
        <v>13017</v>
      </c>
      <c r="C376" t="s">
        <v>13018</v>
      </c>
      <c r="D376" t="s">
        <v>13019</v>
      </c>
      <c r="E376" s="2">
        <v>1500</v>
      </c>
      <c r="F376" s="2">
        <v>1500</v>
      </c>
      <c r="G376" s="3">
        <v>43298</v>
      </c>
      <c r="H376" s="4">
        <v>0.22010416666666999</v>
      </c>
      <c r="I376" s="3">
        <v>43298</v>
      </c>
      <c r="J376" s="4">
        <v>0.36716435185184998</v>
      </c>
      <c r="K376" s="2">
        <v>0</v>
      </c>
      <c r="L376" t="s">
        <v>5856</v>
      </c>
      <c r="M376" t="s">
        <v>7411</v>
      </c>
      <c r="N376" s="3">
        <v>43304</v>
      </c>
      <c r="O376" s="3">
        <v>43300</v>
      </c>
      <c r="P376" t="s">
        <v>6868</v>
      </c>
      <c r="Q376" t="s">
        <v>13020</v>
      </c>
      <c r="R376" t="s">
        <v>6036</v>
      </c>
      <c r="S376" s="3">
        <v>43304</v>
      </c>
      <c r="T376" t="s">
        <v>9938</v>
      </c>
      <c r="U376" t="s">
        <v>6582</v>
      </c>
      <c r="V376" t="s">
        <v>13021</v>
      </c>
      <c r="W376" t="s">
        <v>6038</v>
      </c>
      <c r="X376" s="2">
        <v>425</v>
      </c>
      <c r="Y376" t="s">
        <v>5858</v>
      </c>
      <c r="Z376" t="s">
        <v>6037</v>
      </c>
      <c r="AA376" s="2">
        <v>1500</v>
      </c>
      <c r="AB376" t="s">
        <v>5863</v>
      </c>
      <c r="AC376" t="s">
        <v>9976</v>
      </c>
      <c r="AD376" s="32">
        <v>43279</v>
      </c>
      <c r="AJ376" t="s">
        <v>9958</v>
      </c>
      <c r="AL376" t="s">
        <v>13916</v>
      </c>
    </row>
    <row r="377" spans="1:38">
      <c r="A377" t="s">
        <v>7301</v>
      </c>
      <c r="B377" t="s">
        <v>11809</v>
      </c>
      <c r="C377" t="s">
        <v>6937</v>
      </c>
      <c r="D377" t="s">
        <v>6938</v>
      </c>
      <c r="E377" s="2">
        <v>1575</v>
      </c>
      <c r="F377" s="2">
        <v>1575</v>
      </c>
      <c r="G377" s="3">
        <v>43298</v>
      </c>
      <c r="H377" s="4">
        <v>0.38799768518519001</v>
      </c>
      <c r="I377" s="3">
        <v>43298</v>
      </c>
      <c r="J377" s="4">
        <v>0.54240740740741</v>
      </c>
      <c r="K377" s="2">
        <v>20</v>
      </c>
      <c r="L377" t="s">
        <v>5856</v>
      </c>
      <c r="M377" t="s">
        <v>7434</v>
      </c>
      <c r="N377" s="3">
        <v>43300</v>
      </c>
      <c r="O377" s="3">
        <v>43300</v>
      </c>
      <c r="P377" t="s">
        <v>6939</v>
      </c>
      <c r="Q377" t="s">
        <v>7435</v>
      </c>
      <c r="R377" t="s">
        <v>6036</v>
      </c>
      <c r="S377" s="3">
        <v>43300</v>
      </c>
      <c r="T377" t="s">
        <v>9938</v>
      </c>
      <c r="U377" t="s">
        <v>5987</v>
      </c>
      <c r="V377" t="s">
        <v>6940</v>
      </c>
      <c r="W377" t="s">
        <v>5857</v>
      </c>
      <c r="X377" s="2">
        <v>425</v>
      </c>
      <c r="Y377" t="s">
        <v>5858</v>
      </c>
      <c r="Z377" t="s">
        <v>6037</v>
      </c>
      <c r="AA377" s="2">
        <v>1500</v>
      </c>
      <c r="AB377" t="s">
        <v>5863</v>
      </c>
      <c r="AC377" t="s">
        <v>9978</v>
      </c>
      <c r="AD377" s="32">
        <v>43278</v>
      </c>
      <c r="AJ377" t="s">
        <v>9958</v>
      </c>
      <c r="AL377" t="s">
        <v>10692</v>
      </c>
    </row>
    <row r="378" spans="1:38">
      <c r="A378" t="s">
        <v>7301</v>
      </c>
      <c r="B378" t="s">
        <v>11810</v>
      </c>
      <c r="C378" t="s">
        <v>7436</v>
      </c>
      <c r="D378" t="s">
        <v>7437</v>
      </c>
      <c r="E378" s="5">
        <v>1417.5</v>
      </c>
      <c r="F378" s="5">
        <v>1417.5</v>
      </c>
      <c r="G378" s="3">
        <v>43298</v>
      </c>
      <c r="H378" s="4">
        <v>0.56324074074074004</v>
      </c>
      <c r="I378" s="3">
        <v>43298</v>
      </c>
      <c r="J378" s="4">
        <v>0.70221064814815004</v>
      </c>
      <c r="K378" s="2">
        <v>0</v>
      </c>
      <c r="L378" t="s">
        <v>5856</v>
      </c>
      <c r="M378" t="s">
        <v>7438</v>
      </c>
      <c r="N378" s="3">
        <v>43301</v>
      </c>
      <c r="O378" s="3">
        <v>43300</v>
      </c>
      <c r="P378" t="s">
        <v>5951</v>
      </c>
      <c r="Q378" t="s">
        <v>7439</v>
      </c>
      <c r="R378" t="s">
        <v>6036</v>
      </c>
      <c r="S378" s="3">
        <v>43301</v>
      </c>
      <c r="T378" t="s">
        <v>9938</v>
      </c>
      <c r="U378" t="s">
        <v>6093</v>
      </c>
      <c r="V378" t="s">
        <v>7440</v>
      </c>
      <c r="W378" t="s">
        <v>5857</v>
      </c>
      <c r="X378" s="2">
        <v>425</v>
      </c>
      <c r="Y378" t="s">
        <v>5858</v>
      </c>
      <c r="Z378" t="s">
        <v>6037</v>
      </c>
      <c r="AA378" s="2">
        <v>1350</v>
      </c>
      <c r="AB378" t="s">
        <v>5863</v>
      </c>
      <c r="AC378" t="s">
        <v>9974</v>
      </c>
      <c r="AD378" s="32">
        <v>43278</v>
      </c>
      <c r="AJ378" t="s">
        <v>9959</v>
      </c>
      <c r="AL378" t="s">
        <v>10693</v>
      </c>
    </row>
    <row r="379" spans="1:38">
      <c r="A379" t="s">
        <v>7301</v>
      </c>
      <c r="B379" t="s">
        <v>11811</v>
      </c>
      <c r="C379" t="s">
        <v>7441</v>
      </c>
      <c r="D379" t="s">
        <v>7442</v>
      </c>
      <c r="E379" s="2">
        <v>1000</v>
      </c>
      <c r="F379" s="2">
        <v>1000</v>
      </c>
      <c r="G379" s="3">
        <v>43298</v>
      </c>
      <c r="H379" s="4">
        <v>0.72304398148147997</v>
      </c>
      <c r="I379" s="3">
        <v>43298</v>
      </c>
      <c r="J379" s="4">
        <v>0.82108796296296005</v>
      </c>
      <c r="K379" s="2">
        <v>0</v>
      </c>
      <c r="L379" t="s">
        <v>5856</v>
      </c>
      <c r="M379" t="s">
        <v>6634</v>
      </c>
      <c r="N379" s="3">
        <v>43299</v>
      </c>
      <c r="O379" s="3">
        <v>43300</v>
      </c>
      <c r="P379" t="s">
        <v>5921</v>
      </c>
      <c r="Q379" t="s">
        <v>7443</v>
      </c>
      <c r="R379" t="s">
        <v>6036</v>
      </c>
      <c r="S379" s="3">
        <v>43299</v>
      </c>
      <c r="T379" t="s">
        <v>9938</v>
      </c>
      <c r="U379" t="s">
        <v>7324</v>
      </c>
      <c r="V379" t="s">
        <v>7444</v>
      </c>
      <c r="W379" t="s">
        <v>5857</v>
      </c>
      <c r="X379" s="2">
        <v>425</v>
      </c>
      <c r="Y379" t="s">
        <v>5858</v>
      </c>
      <c r="Z379" t="s">
        <v>6037</v>
      </c>
      <c r="AA379" s="2">
        <v>1000</v>
      </c>
      <c r="AB379" t="s">
        <v>5863</v>
      </c>
      <c r="AC379" t="s">
        <v>9974</v>
      </c>
      <c r="AD379" s="32">
        <v>43271</v>
      </c>
      <c r="AJ379" t="s">
        <v>9959</v>
      </c>
      <c r="AL379" t="s">
        <v>10694</v>
      </c>
    </row>
    <row r="380" spans="1:38">
      <c r="A380" t="s">
        <v>7301</v>
      </c>
      <c r="B380" t="s">
        <v>11812</v>
      </c>
      <c r="C380" t="s">
        <v>7445</v>
      </c>
      <c r="D380" t="s">
        <v>7446</v>
      </c>
      <c r="E380" s="2">
        <v>1000</v>
      </c>
      <c r="F380" s="2">
        <v>1000</v>
      </c>
      <c r="G380" s="3">
        <v>43298</v>
      </c>
      <c r="H380" s="4">
        <v>0.84192129629629997</v>
      </c>
      <c r="I380" s="3">
        <v>43298</v>
      </c>
      <c r="J380" s="4">
        <v>0.93996527777778005</v>
      </c>
      <c r="K380" s="2">
        <v>0</v>
      </c>
      <c r="L380" t="s">
        <v>5856</v>
      </c>
      <c r="M380" t="s">
        <v>6634</v>
      </c>
      <c r="N380" s="3">
        <v>43339</v>
      </c>
      <c r="O380" s="3">
        <v>43300</v>
      </c>
      <c r="P380" t="s">
        <v>5978</v>
      </c>
      <c r="Q380" t="s">
        <v>7447</v>
      </c>
      <c r="R380" t="s">
        <v>6036</v>
      </c>
      <c r="S380" s="3">
        <v>43339</v>
      </c>
      <c r="T380" t="s">
        <v>9938</v>
      </c>
      <c r="U380" t="s">
        <v>5874</v>
      </c>
      <c r="V380" t="s">
        <v>7448</v>
      </c>
      <c r="W380" t="s">
        <v>5857</v>
      </c>
      <c r="X380" s="2">
        <v>425</v>
      </c>
      <c r="Y380" t="s">
        <v>5858</v>
      </c>
      <c r="Z380" t="s">
        <v>6037</v>
      </c>
      <c r="AA380" s="2">
        <v>1000</v>
      </c>
      <c r="AB380" t="s">
        <v>5863</v>
      </c>
      <c r="AC380" t="s">
        <v>9978</v>
      </c>
      <c r="AD380" s="32">
        <v>43229</v>
      </c>
      <c r="AJ380" t="s">
        <v>9958</v>
      </c>
      <c r="AL380" t="s">
        <v>10695</v>
      </c>
    </row>
    <row r="381" spans="1:38">
      <c r="A381" t="s">
        <v>7301</v>
      </c>
      <c r="B381" t="s">
        <v>11813</v>
      </c>
      <c r="C381" t="s">
        <v>7449</v>
      </c>
      <c r="D381" t="s">
        <v>7450</v>
      </c>
      <c r="E381" s="2">
        <v>5000</v>
      </c>
      <c r="F381" s="2">
        <v>5000</v>
      </c>
      <c r="G381" s="3">
        <v>43298</v>
      </c>
      <c r="H381" s="4">
        <v>0.96079861111110998</v>
      </c>
      <c r="I381" s="3">
        <v>43299</v>
      </c>
      <c r="J381" s="4">
        <v>0.45099537037037002</v>
      </c>
      <c r="K381" s="2">
        <v>0</v>
      </c>
      <c r="L381" t="s">
        <v>5856</v>
      </c>
      <c r="M381" t="s">
        <v>6727</v>
      </c>
      <c r="N381" s="3">
        <v>43300</v>
      </c>
      <c r="O381" s="3">
        <v>43301</v>
      </c>
      <c r="P381" t="s">
        <v>6026</v>
      </c>
      <c r="Q381" t="s">
        <v>7451</v>
      </c>
      <c r="R381" t="s">
        <v>6036</v>
      </c>
      <c r="S381" s="3">
        <v>43300</v>
      </c>
      <c r="T381" t="s">
        <v>9938</v>
      </c>
      <c r="U381" t="s">
        <v>6582</v>
      </c>
      <c r="V381" t="s">
        <v>7452</v>
      </c>
      <c r="W381" t="s">
        <v>5857</v>
      </c>
      <c r="X381" s="2">
        <v>425</v>
      </c>
      <c r="Y381" t="s">
        <v>5858</v>
      </c>
      <c r="Z381" t="s">
        <v>6037</v>
      </c>
      <c r="AA381" s="2">
        <v>5000</v>
      </c>
      <c r="AB381" t="s">
        <v>5863</v>
      </c>
      <c r="AC381" t="s">
        <v>9976</v>
      </c>
      <c r="AD381" s="32">
        <v>43264</v>
      </c>
      <c r="AJ381" t="s">
        <v>9958</v>
      </c>
      <c r="AL381" t="s">
        <v>10696</v>
      </c>
    </row>
    <row r="382" spans="1:38">
      <c r="A382" t="s">
        <v>7301</v>
      </c>
      <c r="B382" t="s">
        <v>11814</v>
      </c>
      <c r="C382" t="s">
        <v>7453</v>
      </c>
      <c r="D382" t="s">
        <v>7454</v>
      </c>
      <c r="E382" s="2">
        <v>2000</v>
      </c>
      <c r="F382" s="2">
        <v>2000</v>
      </c>
      <c r="G382" s="3">
        <v>43299</v>
      </c>
      <c r="H382" s="4">
        <v>0.4718287037037</v>
      </c>
      <c r="I382" s="3">
        <v>43299</v>
      </c>
      <c r="J382" s="4">
        <v>0.66790509259259001</v>
      </c>
      <c r="K382" s="2">
        <v>20</v>
      </c>
      <c r="L382" t="s">
        <v>5856</v>
      </c>
      <c r="M382" t="s">
        <v>6598</v>
      </c>
      <c r="N382" s="3">
        <v>43300</v>
      </c>
      <c r="O382" s="3">
        <v>43301</v>
      </c>
      <c r="P382" t="s">
        <v>7382</v>
      </c>
      <c r="Q382" t="s">
        <v>7455</v>
      </c>
      <c r="R382" t="s">
        <v>6036</v>
      </c>
      <c r="S382" s="3">
        <v>43300</v>
      </c>
      <c r="T382" t="s">
        <v>9938</v>
      </c>
      <c r="U382" t="s">
        <v>5879</v>
      </c>
      <c r="V382" t="s">
        <v>7456</v>
      </c>
      <c r="W382" t="s">
        <v>5857</v>
      </c>
      <c r="X382" s="2">
        <v>425</v>
      </c>
      <c r="Y382" t="s">
        <v>5858</v>
      </c>
      <c r="Z382" t="s">
        <v>6037</v>
      </c>
      <c r="AA382" s="2">
        <v>2000</v>
      </c>
      <c r="AB382" t="s">
        <v>5863</v>
      </c>
      <c r="AC382" t="s">
        <v>9974</v>
      </c>
      <c r="AD382" s="32">
        <v>43248</v>
      </c>
      <c r="AJ382" t="s">
        <v>9959</v>
      </c>
      <c r="AL382" t="s">
        <v>10697</v>
      </c>
    </row>
    <row r="383" spans="1:38">
      <c r="A383" t="s">
        <v>7301</v>
      </c>
      <c r="B383" t="s">
        <v>11815</v>
      </c>
      <c r="C383" t="s">
        <v>7339</v>
      </c>
      <c r="D383" t="s">
        <v>7340</v>
      </c>
      <c r="E383" s="2">
        <v>1000</v>
      </c>
      <c r="F383" s="2">
        <v>1000</v>
      </c>
      <c r="G383" s="3">
        <v>43299</v>
      </c>
      <c r="H383" s="4">
        <v>0.68873842592593004</v>
      </c>
      <c r="I383" s="3">
        <v>43299</v>
      </c>
      <c r="J383" s="4">
        <v>0.78678240740741001</v>
      </c>
      <c r="K383" s="2">
        <v>0</v>
      </c>
      <c r="L383" t="s">
        <v>5856</v>
      </c>
      <c r="M383" t="s">
        <v>6634</v>
      </c>
      <c r="N383" s="3">
        <v>43300</v>
      </c>
      <c r="O383" s="3">
        <v>43301</v>
      </c>
      <c r="P383" t="s">
        <v>7323</v>
      </c>
      <c r="Q383" t="s">
        <v>7457</v>
      </c>
      <c r="R383" t="s">
        <v>6036</v>
      </c>
      <c r="S383" s="3">
        <v>43300</v>
      </c>
      <c r="T383" t="s">
        <v>9938</v>
      </c>
      <c r="U383" t="s">
        <v>5867</v>
      </c>
      <c r="V383" t="s">
        <v>7343</v>
      </c>
      <c r="W383" t="s">
        <v>5857</v>
      </c>
      <c r="X383" s="2">
        <v>425</v>
      </c>
      <c r="Y383" t="s">
        <v>5858</v>
      </c>
      <c r="Z383" t="s">
        <v>6037</v>
      </c>
      <c r="AA383" s="2">
        <v>1000</v>
      </c>
      <c r="AB383" t="s">
        <v>5863</v>
      </c>
      <c r="AC383" t="s">
        <v>9974</v>
      </c>
      <c r="AD383" s="32">
        <v>43237</v>
      </c>
      <c r="AJ383" t="s">
        <v>9959</v>
      </c>
      <c r="AL383" t="s">
        <v>10698</v>
      </c>
    </row>
    <row r="384" spans="1:38">
      <c r="A384" t="s">
        <v>7301</v>
      </c>
      <c r="B384" t="s">
        <v>11816</v>
      </c>
      <c r="C384" t="s">
        <v>7458</v>
      </c>
      <c r="D384" t="s">
        <v>7459</v>
      </c>
      <c r="E384" s="2">
        <v>2000</v>
      </c>
      <c r="F384" s="2">
        <v>2000</v>
      </c>
      <c r="G384" s="3">
        <v>43299</v>
      </c>
      <c r="H384" s="4">
        <v>0.80761574074074005</v>
      </c>
      <c r="I384" s="3">
        <v>43300</v>
      </c>
      <c r="J384" s="4">
        <v>3.6921296296300002E-3</v>
      </c>
      <c r="K384" s="2">
        <v>0</v>
      </c>
      <c r="L384" t="s">
        <v>5856</v>
      </c>
      <c r="M384" t="s">
        <v>6598</v>
      </c>
      <c r="N384" s="3">
        <v>43301</v>
      </c>
      <c r="O384" s="3">
        <v>43302</v>
      </c>
      <c r="P384" t="s">
        <v>7349</v>
      </c>
      <c r="Q384" t="s">
        <v>7460</v>
      </c>
      <c r="R384" t="s">
        <v>6036</v>
      </c>
      <c r="S384" s="3">
        <v>43301</v>
      </c>
      <c r="T384" t="s">
        <v>9938</v>
      </c>
      <c r="U384" t="s">
        <v>5923</v>
      </c>
      <c r="V384" t="s">
        <v>7461</v>
      </c>
      <c r="W384" t="s">
        <v>5857</v>
      </c>
      <c r="X384" s="2">
        <v>425</v>
      </c>
      <c r="Y384" t="s">
        <v>5858</v>
      </c>
      <c r="Z384" t="s">
        <v>6037</v>
      </c>
      <c r="AA384" s="2">
        <v>2000</v>
      </c>
      <c r="AB384" t="s">
        <v>5863</v>
      </c>
      <c r="AC384" t="s">
        <v>9974</v>
      </c>
      <c r="AD384" s="32">
        <v>43257</v>
      </c>
      <c r="AJ384" t="s">
        <v>9959</v>
      </c>
      <c r="AL384" t="s">
        <v>10699</v>
      </c>
    </row>
    <row r="385" spans="1:38">
      <c r="A385" t="s">
        <v>7301</v>
      </c>
      <c r="B385" t="s">
        <v>11817</v>
      </c>
      <c r="C385" t="s">
        <v>7462</v>
      </c>
      <c r="D385" t="s">
        <v>7463</v>
      </c>
      <c r="E385" s="2">
        <v>5000</v>
      </c>
      <c r="F385" s="2">
        <v>5000</v>
      </c>
      <c r="G385" s="3">
        <v>43300</v>
      </c>
      <c r="H385" s="4">
        <v>2.4525462962960001E-2</v>
      </c>
      <c r="I385" s="3">
        <v>43300</v>
      </c>
      <c r="J385" s="4">
        <v>0.51472222222221997</v>
      </c>
      <c r="K385" s="2">
        <v>20</v>
      </c>
      <c r="L385" t="s">
        <v>5856</v>
      </c>
      <c r="M385" t="s">
        <v>6727</v>
      </c>
      <c r="N385" s="3">
        <v>43301</v>
      </c>
      <c r="O385" s="3">
        <v>43302</v>
      </c>
      <c r="P385" t="s">
        <v>6638</v>
      </c>
      <c r="Q385" t="s">
        <v>7464</v>
      </c>
      <c r="R385" t="s">
        <v>6036</v>
      </c>
      <c r="S385" s="3">
        <v>43301</v>
      </c>
      <c r="T385" t="s">
        <v>9938</v>
      </c>
      <c r="U385" t="s">
        <v>5963</v>
      </c>
      <c r="V385" t="s">
        <v>7465</v>
      </c>
      <c r="W385" t="s">
        <v>5857</v>
      </c>
      <c r="X385" s="2">
        <v>425</v>
      </c>
      <c r="Y385" t="s">
        <v>5858</v>
      </c>
      <c r="Z385" t="s">
        <v>6037</v>
      </c>
      <c r="AA385" s="2">
        <v>5000</v>
      </c>
      <c r="AB385" t="s">
        <v>5863</v>
      </c>
      <c r="AC385" t="s">
        <v>9978</v>
      </c>
      <c r="AD385" s="32">
        <v>43234</v>
      </c>
      <c r="AI385" t="s">
        <v>9949</v>
      </c>
      <c r="AJ385" t="s">
        <v>9958</v>
      </c>
      <c r="AL385" t="s">
        <v>10700</v>
      </c>
    </row>
    <row r="386" spans="1:38">
      <c r="A386" t="s">
        <v>7301</v>
      </c>
      <c r="B386" t="s">
        <v>11818</v>
      </c>
      <c r="C386" t="s">
        <v>7466</v>
      </c>
      <c r="D386" t="s">
        <v>7467</v>
      </c>
      <c r="E386" s="2">
        <v>2000</v>
      </c>
      <c r="F386" s="2">
        <v>2000</v>
      </c>
      <c r="G386" s="3">
        <v>43300</v>
      </c>
      <c r="H386" s="4">
        <v>0.53555555555556</v>
      </c>
      <c r="I386" s="3">
        <v>43300</v>
      </c>
      <c r="J386" s="4">
        <v>0.73163194444444002</v>
      </c>
      <c r="K386" s="2">
        <v>0</v>
      </c>
      <c r="L386" t="s">
        <v>5856</v>
      </c>
      <c r="M386" t="s">
        <v>6598</v>
      </c>
      <c r="N386" s="3">
        <v>43301</v>
      </c>
      <c r="O386" s="3">
        <v>43302</v>
      </c>
      <c r="P386" t="s">
        <v>5951</v>
      </c>
      <c r="Q386" t="s">
        <v>7468</v>
      </c>
      <c r="R386" t="s">
        <v>6036</v>
      </c>
      <c r="S386" s="3">
        <v>43301</v>
      </c>
      <c r="T386" t="s">
        <v>9938</v>
      </c>
      <c r="U386" t="s">
        <v>6052</v>
      </c>
      <c r="V386" t="s">
        <v>7469</v>
      </c>
      <c r="W386" t="s">
        <v>5857</v>
      </c>
      <c r="X386" s="2">
        <v>425</v>
      </c>
      <c r="Y386" t="s">
        <v>5858</v>
      </c>
      <c r="Z386" t="s">
        <v>6037</v>
      </c>
      <c r="AA386" s="2">
        <v>2000</v>
      </c>
      <c r="AB386" t="s">
        <v>5863</v>
      </c>
      <c r="AC386" t="s">
        <v>9974</v>
      </c>
      <c r="AD386" s="32">
        <v>43257</v>
      </c>
      <c r="AJ386" t="s">
        <v>9958</v>
      </c>
      <c r="AL386" t="s">
        <v>10701</v>
      </c>
    </row>
    <row r="387" spans="1:38">
      <c r="A387" t="s">
        <v>7301</v>
      </c>
      <c r="B387" t="s">
        <v>11819</v>
      </c>
      <c r="C387" t="s">
        <v>7470</v>
      </c>
      <c r="D387" t="s">
        <v>7471</v>
      </c>
      <c r="E387" s="2">
        <v>5000</v>
      </c>
      <c r="F387" s="2">
        <v>5000</v>
      </c>
      <c r="G387" s="3">
        <v>43300</v>
      </c>
      <c r="H387" s="4">
        <v>0.75246527777778005</v>
      </c>
      <c r="I387" s="3">
        <v>43301</v>
      </c>
      <c r="J387" s="4">
        <v>0.24266203703704001</v>
      </c>
      <c r="K387" s="2">
        <v>20</v>
      </c>
      <c r="L387" t="s">
        <v>5856</v>
      </c>
      <c r="M387" t="s">
        <v>6727</v>
      </c>
      <c r="N387" s="3">
        <v>43301</v>
      </c>
      <c r="O387" s="3">
        <v>43303</v>
      </c>
      <c r="P387" t="s">
        <v>7472</v>
      </c>
      <c r="Q387" t="s">
        <v>7473</v>
      </c>
      <c r="R387" t="s">
        <v>6036</v>
      </c>
      <c r="S387" s="3">
        <v>43301</v>
      </c>
      <c r="T387" t="s">
        <v>9938</v>
      </c>
      <c r="U387" t="s">
        <v>6582</v>
      </c>
      <c r="V387" t="s">
        <v>7474</v>
      </c>
      <c r="W387" t="s">
        <v>5857</v>
      </c>
      <c r="X387" s="2">
        <v>425</v>
      </c>
      <c r="Y387" t="s">
        <v>5858</v>
      </c>
      <c r="Z387" t="s">
        <v>6037</v>
      </c>
      <c r="AA387" s="2">
        <v>5000</v>
      </c>
      <c r="AB387" t="s">
        <v>5863</v>
      </c>
      <c r="AC387" t="s">
        <v>9976</v>
      </c>
      <c r="AD387" s="32">
        <v>43262</v>
      </c>
      <c r="AJ387" t="s">
        <v>9958</v>
      </c>
      <c r="AL387" t="s">
        <v>10702</v>
      </c>
    </row>
    <row r="388" spans="1:38">
      <c r="A388" t="s">
        <v>7301</v>
      </c>
      <c r="B388" t="s">
        <v>11820</v>
      </c>
      <c r="C388" t="s">
        <v>6070</v>
      </c>
      <c r="D388" t="s">
        <v>5942</v>
      </c>
      <c r="E388" s="2">
        <v>2100</v>
      </c>
      <c r="F388" s="2">
        <v>2100</v>
      </c>
      <c r="G388" s="3">
        <v>43301</v>
      </c>
      <c r="H388" s="4">
        <v>6.0381944444439999E-2</v>
      </c>
      <c r="I388" s="3">
        <v>43301</v>
      </c>
      <c r="J388" s="4">
        <v>0.26626157407406997</v>
      </c>
      <c r="K388" s="2">
        <v>0</v>
      </c>
      <c r="L388" t="s">
        <v>5856</v>
      </c>
      <c r="M388" t="s">
        <v>7322</v>
      </c>
      <c r="N388" s="3">
        <v>43297</v>
      </c>
      <c r="O388" s="3">
        <v>43303</v>
      </c>
      <c r="P388" t="s">
        <v>5921</v>
      </c>
      <c r="Q388" t="s">
        <v>7475</v>
      </c>
      <c r="R388" t="s">
        <v>6036</v>
      </c>
      <c r="S388" s="3">
        <v>43297</v>
      </c>
      <c r="T388" t="s">
        <v>9938</v>
      </c>
      <c r="U388" t="s">
        <v>5867</v>
      </c>
      <c r="V388" t="s">
        <v>5943</v>
      </c>
      <c r="W388" t="s">
        <v>5857</v>
      </c>
      <c r="X388" s="2">
        <v>425</v>
      </c>
      <c r="Y388" t="s">
        <v>5858</v>
      </c>
      <c r="Z388" t="s">
        <v>6037</v>
      </c>
      <c r="AA388" s="2">
        <v>2000</v>
      </c>
      <c r="AB388" t="s">
        <v>5863</v>
      </c>
      <c r="AC388" t="s">
        <v>9974</v>
      </c>
      <c r="AD388" s="32">
        <v>43257</v>
      </c>
      <c r="AI388" t="s">
        <v>9953</v>
      </c>
      <c r="AJ388" t="s">
        <v>9959</v>
      </c>
      <c r="AL388" t="s">
        <v>10703</v>
      </c>
    </row>
    <row r="389" spans="1:38">
      <c r="A389" t="s">
        <v>7301</v>
      </c>
      <c r="B389" t="s">
        <v>11821</v>
      </c>
      <c r="C389" t="s">
        <v>7476</v>
      </c>
      <c r="D389" t="s">
        <v>7477</v>
      </c>
      <c r="E389" s="2">
        <v>2000</v>
      </c>
      <c r="F389" s="2">
        <v>2000</v>
      </c>
      <c r="G389" s="3">
        <v>43301</v>
      </c>
      <c r="H389" s="4">
        <v>0.26349537037037002</v>
      </c>
      <c r="I389" s="3">
        <v>43301</v>
      </c>
      <c r="J389" s="4">
        <v>0.45957175925926003</v>
      </c>
      <c r="K389" s="2">
        <v>0</v>
      </c>
      <c r="L389" t="s">
        <v>5856</v>
      </c>
      <c r="M389" t="s">
        <v>6598</v>
      </c>
      <c r="N389" s="3">
        <v>43301</v>
      </c>
      <c r="O389" s="3">
        <v>43303</v>
      </c>
      <c r="P389" t="s">
        <v>5869</v>
      </c>
      <c r="Q389" t="s">
        <v>7478</v>
      </c>
      <c r="R389" t="s">
        <v>6036</v>
      </c>
      <c r="S389" s="3">
        <v>43301</v>
      </c>
      <c r="T389" t="s">
        <v>9938</v>
      </c>
      <c r="U389" t="s">
        <v>6705</v>
      </c>
      <c r="V389" t="s">
        <v>7479</v>
      </c>
      <c r="W389" t="s">
        <v>5857</v>
      </c>
      <c r="X389" s="2">
        <v>425</v>
      </c>
      <c r="Y389" t="s">
        <v>5858</v>
      </c>
      <c r="Z389" t="s">
        <v>6037</v>
      </c>
      <c r="AA389" s="2">
        <v>2000</v>
      </c>
      <c r="AB389" t="s">
        <v>5863</v>
      </c>
      <c r="AC389" t="s">
        <v>9976</v>
      </c>
      <c r="AD389" s="32">
        <v>43250</v>
      </c>
      <c r="AI389" t="s">
        <v>9946</v>
      </c>
      <c r="AJ389" t="s">
        <v>9958</v>
      </c>
      <c r="AL389" t="s">
        <v>10704</v>
      </c>
    </row>
    <row r="390" spans="1:38">
      <c r="A390" t="s">
        <v>7301</v>
      </c>
      <c r="B390" t="s">
        <v>11822</v>
      </c>
      <c r="C390" t="s">
        <v>7480</v>
      </c>
      <c r="D390" t="s">
        <v>7481</v>
      </c>
      <c r="E390" s="2">
        <v>5250</v>
      </c>
      <c r="F390" s="2">
        <v>5250</v>
      </c>
      <c r="G390" s="3">
        <v>43301</v>
      </c>
      <c r="H390" s="4">
        <v>0.48040509259259001</v>
      </c>
      <c r="I390" s="3">
        <v>43301</v>
      </c>
      <c r="J390" s="4">
        <v>0.99511574074074005</v>
      </c>
      <c r="K390" s="2">
        <v>0</v>
      </c>
      <c r="L390" t="s">
        <v>5856</v>
      </c>
      <c r="M390" t="s">
        <v>7316</v>
      </c>
      <c r="N390" s="3">
        <v>43304</v>
      </c>
      <c r="O390" s="3">
        <v>43303</v>
      </c>
      <c r="P390" t="s">
        <v>5889</v>
      </c>
      <c r="Q390" t="s">
        <v>7482</v>
      </c>
      <c r="R390" t="s">
        <v>6036</v>
      </c>
      <c r="S390" s="3">
        <v>43304</v>
      </c>
      <c r="T390" t="s">
        <v>9938</v>
      </c>
      <c r="U390" t="s">
        <v>7483</v>
      </c>
      <c r="V390" t="s">
        <v>7484</v>
      </c>
      <c r="W390" t="s">
        <v>5857</v>
      </c>
      <c r="X390" s="2">
        <v>425</v>
      </c>
      <c r="Y390" t="s">
        <v>5858</v>
      </c>
      <c r="Z390" t="s">
        <v>6037</v>
      </c>
      <c r="AA390" s="2">
        <v>5000</v>
      </c>
      <c r="AB390" t="s">
        <v>5863</v>
      </c>
      <c r="AC390" t="s">
        <v>9978</v>
      </c>
      <c r="AD390" s="32">
        <v>43276</v>
      </c>
      <c r="AJ390" t="s">
        <v>9958</v>
      </c>
      <c r="AL390" t="s">
        <v>10705</v>
      </c>
    </row>
    <row r="391" spans="1:38">
      <c r="A391" t="s">
        <v>7301</v>
      </c>
      <c r="B391" t="s">
        <v>11823</v>
      </c>
      <c r="C391" t="s">
        <v>7485</v>
      </c>
      <c r="D391" t="s">
        <v>7486</v>
      </c>
      <c r="E391" s="2">
        <v>10000</v>
      </c>
      <c r="F391" s="2">
        <v>10000</v>
      </c>
      <c r="G391" s="3">
        <v>43302</v>
      </c>
      <c r="H391" s="4">
        <v>1.5949074074070001E-2</v>
      </c>
      <c r="I391" s="3">
        <v>43302</v>
      </c>
      <c r="J391" s="4">
        <v>0.99634259259258995</v>
      </c>
      <c r="K391" s="2">
        <v>20</v>
      </c>
      <c r="L391" t="s">
        <v>5856</v>
      </c>
      <c r="M391" t="s">
        <v>7487</v>
      </c>
      <c r="N391" s="3">
        <v>43305</v>
      </c>
      <c r="O391" s="3">
        <v>43304</v>
      </c>
      <c r="P391" t="s">
        <v>7488</v>
      </c>
      <c r="Q391" t="s">
        <v>7489</v>
      </c>
      <c r="R391" t="s">
        <v>6036</v>
      </c>
      <c r="S391" s="3">
        <v>43305</v>
      </c>
      <c r="T391" t="s">
        <v>9938</v>
      </c>
      <c r="U391" t="s">
        <v>7490</v>
      </c>
      <c r="V391" t="s">
        <v>7491</v>
      </c>
      <c r="W391" t="s">
        <v>5857</v>
      </c>
      <c r="X391" s="2">
        <v>425</v>
      </c>
      <c r="Y391" t="s">
        <v>5858</v>
      </c>
      <c r="Z391" t="s">
        <v>6037</v>
      </c>
      <c r="AA391" s="2">
        <v>10000</v>
      </c>
      <c r="AB391" t="s">
        <v>5863</v>
      </c>
      <c r="AC391" t="s">
        <v>9976</v>
      </c>
      <c r="AD391" s="32">
        <v>43231</v>
      </c>
      <c r="AI391" t="s">
        <v>9939</v>
      </c>
      <c r="AJ391" t="s">
        <v>9957</v>
      </c>
      <c r="AL391" t="s">
        <v>10706</v>
      </c>
    </row>
    <row r="392" spans="1:38">
      <c r="A392" t="s">
        <v>7301</v>
      </c>
      <c r="B392" t="s">
        <v>11824</v>
      </c>
      <c r="C392" t="s">
        <v>7492</v>
      </c>
      <c r="D392" t="s">
        <v>7493</v>
      </c>
      <c r="E392" s="2">
        <v>500</v>
      </c>
      <c r="F392" s="2">
        <v>500</v>
      </c>
      <c r="G392" s="3">
        <v>43303</v>
      </c>
      <c r="H392" s="4">
        <v>1.7175925925930001E-2</v>
      </c>
      <c r="I392" s="3">
        <v>43303</v>
      </c>
      <c r="J392" s="4">
        <v>6.6192129629630003E-2</v>
      </c>
      <c r="K392" s="2">
        <v>20</v>
      </c>
      <c r="L392" t="s">
        <v>5856</v>
      </c>
      <c r="M392" t="s">
        <v>7494</v>
      </c>
      <c r="N392" s="3">
        <v>43305</v>
      </c>
      <c r="O392" s="3">
        <v>43305</v>
      </c>
      <c r="P392" t="s">
        <v>7495</v>
      </c>
      <c r="Q392" t="s">
        <v>7496</v>
      </c>
      <c r="R392" t="s">
        <v>6036</v>
      </c>
      <c r="S392" s="3">
        <v>43305</v>
      </c>
      <c r="T392" t="s">
        <v>9938</v>
      </c>
      <c r="U392" t="s">
        <v>6999</v>
      </c>
      <c r="V392" t="s">
        <v>7497</v>
      </c>
      <c r="W392" t="s">
        <v>5857</v>
      </c>
      <c r="X392" s="2">
        <v>425</v>
      </c>
      <c r="Y392" t="s">
        <v>5858</v>
      </c>
      <c r="Z392" t="s">
        <v>6037</v>
      </c>
      <c r="AA392" s="2">
        <v>500</v>
      </c>
      <c r="AB392" t="s">
        <v>5863</v>
      </c>
      <c r="AC392" t="s">
        <v>9976</v>
      </c>
      <c r="AD392" s="32">
        <v>43265</v>
      </c>
      <c r="AJ392" t="s">
        <v>9959</v>
      </c>
      <c r="AL392" t="s">
        <v>10707</v>
      </c>
    </row>
    <row r="393" spans="1:38">
      <c r="A393" t="s">
        <v>7301</v>
      </c>
      <c r="B393" t="s">
        <v>11825</v>
      </c>
      <c r="C393" t="s">
        <v>7498</v>
      </c>
      <c r="D393" t="s">
        <v>7499</v>
      </c>
      <c r="E393" s="5">
        <v>2021.25</v>
      </c>
      <c r="F393" s="5">
        <v>2021.25</v>
      </c>
      <c r="G393" s="3">
        <v>43303</v>
      </c>
      <c r="H393" s="4">
        <v>0.10944444444444</v>
      </c>
      <c r="I393" s="3">
        <v>43303</v>
      </c>
      <c r="J393" s="4">
        <v>0.30760416666667001</v>
      </c>
      <c r="K393" s="2">
        <v>0</v>
      </c>
      <c r="L393" t="s">
        <v>5856</v>
      </c>
      <c r="M393" t="s">
        <v>7500</v>
      </c>
      <c r="N393" s="3">
        <v>43306</v>
      </c>
      <c r="O393" s="3">
        <v>43305</v>
      </c>
      <c r="P393" t="s">
        <v>5862</v>
      </c>
      <c r="Q393" t="s">
        <v>7501</v>
      </c>
      <c r="R393" t="s">
        <v>6036</v>
      </c>
      <c r="S393" s="3">
        <v>43306</v>
      </c>
      <c r="T393" t="s">
        <v>9938</v>
      </c>
      <c r="U393" t="s">
        <v>5894</v>
      </c>
      <c r="V393" t="s">
        <v>7502</v>
      </c>
      <c r="W393" t="s">
        <v>5857</v>
      </c>
      <c r="X393" s="2">
        <v>425</v>
      </c>
      <c r="Y393" t="s">
        <v>5858</v>
      </c>
      <c r="Z393" t="s">
        <v>6037</v>
      </c>
      <c r="AA393" s="2">
        <v>1925</v>
      </c>
      <c r="AB393" t="s">
        <v>5863</v>
      </c>
      <c r="AC393" t="s">
        <v>9978</v>
      </c>
      <c r="AD393" s="32">
        <v>43278</v>
      </c>
      <c r="AJ393" t="s">
        <v>9958</v>
      </c>
      <c r="AL393" t="s">
        <v>10708</v>
      </c>
    </row>
    <row r="394" spans="1:38">
      <c r="A394" t="s">
        <v>7301</v>
      </c>
      <c r="B394" t="s">
        <v>11826</v>
      </c>
      <c r="C394" t="s">
        <v>7503</v>
      </c>
      <c r="D394" t="s">
        <v>7504</v>
      </c>
      <c r="E394" s="2">
        <v>3150</v>
      </c>
      <c r="F394" s="2">
        <v>3150</v>
      </c>
      <c r="G394" s="3">
        <v>43303</v>
      </c>
      <c r="H394" s="4">
        <v>0.32843749999999999</v>
      </c>
      <c r="I394" s="3">
        <v>43303</v>
      </c>
      <c r="J394" s="4">
        <v>0.63725694444444003</v>
      </c>
      <c r="K394" s="2">
        <v>20</v>
      </c>
      <c r="L394" t="s">
        <v>5856</v>
      </c>
      <c r="M394" t="s">
        <v>7344</v>
      </c>
      <c r="N394" s="3">
        <v>43306</v>
      </c>
      <c r="O394" s="3">
        <v>43305</v>
      </c>
      <c r="P394" t="s">
        <v>5889</v>
      </c>
      <c r="Q394" t="s">
        <v>7505</v>
      </c>
      <c r="R394" t="s">
        <v>6036</v>
      </c>
      <c r="S394" s="3">
        <v>43306</v>
      </c>
      <c r="T394" t="s">
        <v>9938</v>
      </c>
      <c r="U394" t="s">
        <v>7506</v>
      </c>
      <c r="V394" t="s">
        <v>5860</v>
      </c>
      <c r="W394" t="s">
        <v>5857</v>
      </c>
      <c r="X394" s="2">
        <v>425</v>
      </c>
      <c r="Y394" t="s">
        <v>5858</v>
      </c>
      <c r="Z394" t="s">
        <v>6037</v>
      </c>
      <c r="AA394" s="2">
        <v>3000</v>
      </c>
      <c r="AB394" t="s">
        <v>5863</v>
      </c>
      <c r="AC394" t="s">
        <v>9978</v>
      </c>
      <c r="AD394" s="32">
        <v>43276</v>
      </c>
      <c r="AJ394" t="s">
        <v>9958</v>
      </c>
      <c r="AL394" t="s">
        <v>10709</v>
      </c>
    </row>
    <row r="395" spans="1:38">
      <c r="A395" t="s">
        <v>7301</v>
      </c>
      <c r="B395" t="s">
        <v>11827</v>
      </c>
      <c r="C395" t="s">
        <v>6049</v>
      </c>
      <c r="D395" t="s">
        <v>5884</v>
      </c>
      <c r="E395" s="2">
        <v>1500</v>
      </c>
      <c r="F395" s="2">
        <v>1500</v>
      </c>
      <c r="G395" s="3">
        <v>43303</v>
      </c>
      <c r="H395" s="4">
        <v>0.65809027777777995</v>
      </c>
      <c r="I395" s="3">
        <v>43303</v>
      </c>
      <c r="J395" s="4">
        <v>0.80515046296296</v>
      </c>
      <c r="K395" s="2">
        <v>0</v>
      </c>
      <c r="L395" t="s">
        <v>5856</v>
      </c>
      <c r="M395" t="s">
        <v>7411</v>
      </c>
      <c r="N395" s="3">
        <v>43307</v>
      </c>
      <c r="O395" s="3">
        <v>43305</v>
      </c>
      <c r="P395" t="s">
        <v>5885</v>
      </c>
      <c r="Q395" t="s">
        <v>7507</v>
      </c>
      <c r="R395" t="s">
        <v>6036</v>
      </c>
      <c r="S395" s="3">
        <v>43307</v>
      </c>
      <c r="T395" t="s">
        <v>9938</v>
      </c>
      <c r="U395" t="s">
        <v>5886</v>
      </c>
      <c r="V395" t="s">
        <v>5887</v>
      </c>
      <c r="W395" t="s">
        <v>5857</v>
      </c>
      <c r="X395" s="2">
        <v>425</v>
      </c>
      <c r="Y395" t="s">
        <v>5858</v>
      </c>
      <c r="Z395" t="s">
        <v>6037</v>
      </c>
      <c r="AA395" s="2">
        <v>1500</v>
      </c>
      <c r="AB395" t="s">
        <v>5863</v>
      </c>
      <c r="AC395" t="s">
        <v>9978</v>
      </c>
      <c r="AD395" s="32">
        <v>43270</v>
      </c>
      <c r="AJ395" t="s">
        <v>9958</v>
      </c>
      <c r="AL395" t="s">
        <v>10710</v>
      </c>
    </row>
    <row r="396" spans="1:38">
      <c r="A396" t="s">
        <v>7301</v>
      </c>
      <c r="B396" t="s">
        <v>13022</v>
      </c>
      <c r="C396" t="s">
        <v>7449</v>
      </c>
      <c r="D396" t="s">
        <v>7450</v>
      </c>
      <c r="E396" s="2">
        <v>525</v>
      </c>
      <c r="F396" s="2">
        <v>525</v>
      </c>
      <c r="G396" s="3">
        <v>43303</v>
      </c>
      <c r="H396" s="4">
        <v>0.92646990740740998</v>
      </c>
      <c r="I396" s="3">
        <v>43303</v>
      </c>
      <c r="J396" s="4">
        <v>0.97793981481480996</v>
      </c>
      <c r="K396" s="2">
        <v>0</v>
      </c>
      <c r="L396" t="s">
        <v>5856</v>
      </c>
      <c r="M396" t="s">
        <v>7332</v>
      </c>
      <c r="N396" s="3">
        <v>43307</v>
      </c>
      <c r="O396" s="3">
        <v>43305</v>
      </c>
      <c r="P396" t="s">
        <v>6026</v>
      </c>
      <c r="Q396" t="s">
        <v>13023</v>
      </c>
      <c r="R396" t="s">
        <v>6036</v>
      </c>
      <c r="S396" s="3">
        <v>43307</v>
      </c>
      <c r="T396" t="s">
        <v>9938</v>
      </c>
      <c r="U396" t="s">
        <v>6582</v>
      </c>
      <c r="V396" t="s">
        <v>7452</v>
      </c>
      <c r="W396" t="s">
        <v>5857</v>
      </c>
      <c r="X396" s="2">
        <v>425</v>
      </c>
      <c r="Y396" t="s">
        <v>5858</v>
      </c>
      <c r="Z396" t="s">
        <v>6037</v>
      </c>
      <c r="AA396" s="2">
        <v>500</v>
      </c>
      <c r="AB396" t="s">
        <v>5863</v>
      </c>
      <c r="AC396" t="s">
        <v>9976</v>
      </c>
      <c r="AD396" s="32">
        <v>43280</v>
      </c>
      <c r="AJ396" t="s">
        <v>9958</v>
      </c>
      <c r="AL396" t="s">
        <v>13917</v>
      </c>
    </row>
    <row r="397" spans="1:38">
      <c r="A397" t="s">
        <v>7301</v>
      </c>
      <c r="B397" t="s">
        <v>11828</v>
      </c>
      <c r="C397" t="s">
        <v>7508</v>
      </c>
      <c r="D397" t="s">
        <v>7509</v>
      </c>
      <c r="E397" s="2">
        <v>5000</v>
      </c>
      <c r="F397" s="2">
        <v>5000</v>
      </c>
      <c r="G397" s="3">
        <v>43303</v>
      </c>
      <c r="H397" s="4">
        <v>0.99877314814814999</v>
      </c>
      <c r="I397" s="3">
        <v>43304</v>
      </c>
      <c r="J397" s="4">
        <v>0.48896990740740998</v>
      </c>
      <c r="K397" s="2">
        <v>20</v>
      </c>
      <c r="L397" t="s">
        <v>5856</v>
      </c>
      <c r="M397" t="s">
        <v>6727</v>
      </c>
      <c r="N397" s="3">
        <v>43307</v>
      </c>
      <c r="O397" s="3">
        <v>43306</v>
      </c>
      <c r="P397" t="s">
        <v>5862</v>
      </c>
      <c r="Q397" t="s">
        <v>7510</v>
      </c>
      <c r="R397" t="s">
        <v>6036</v>
      </c>
      <c r="S397" s="3">
        <v>43307</v>
      </c>
      <c r="T397" t="s">
        <v>9938</v>
      </c>
      <c r="U397" t="s">
        <v>7511</v>
      </c>
      <c r="V397" t="s">
        <v>7512</v>
      </c>
      <c r="W397" t="s">
        <v>5914</v>
      </c>
      <c r="X397" s="2">
        <v>425</v>
      </c>
      <c r="Y397" t="s">
        <v>5858</v>
      </c>
      <c r="Z397" t="s">
        <v>6037</v>
      </c>
      <c r="AA397" s="2">
        <v>5000</v>
      </c>
      <c r="AB397" t="s">
        <v>5863</v>
      </c>
      <c r="AC397" t="s">
        <v>9981</v>
      </c>
      <c r="AD397" s="32">
        <v>43273</v>
      </c>
      <c r="AJ397" t="s">
        <v>9961</v>
      </c>
      <c r="AL397" t="s">
        <v>10711</v>
      </c>
    </row>
    <row r="398" spans="1:38">
      <c r="A398" t="s">
        <v>7301</v>
      </c>
      <c r="B398" t="s">
        <v>11829</v>
      </c>
      <c r="C398" t="s">
        <v>7513</v>
      </c>
      <c r="D398" t="s">
        <v>7514</v>
      </c>
      <c r="E398" s="2">
        <v>5000</v>
      </c>
      <c r="F398" s="2">
        <v>5000</v>
      </c>
      <c r="G398" s="3">
        <v>43304</v>
      </c>
      <c r="H398" s="4">
        <v>0.50980324074074002</v>
      </c>
      <c r="I398" s="3">
        <v>43305</v>
      </c>
      <c r="J398" s="4">
        <v>0</v>
      </c>
      <c r="K398" s="2">
        <v>0</v>
      </c>
      <c r="L398" t="s">
        <v>5856</v>
      </c>
      <c r="M398" t="s">
        <v>6727</v>
      </c>
      <c r="N398" s="3">
        <v>43307</v>
      </c>
      <c r="O398" s="3">
        <v>43306</v>
      </c>
      <c r="P398" t="s">
        <v>7515</v>
      </c>
      <c r="Q398" t="s">
        <v>7516</v>
      </c>
      <c r="R398" t="s">
        <v>6036</v>
      </c>
      <c r="S398" s="3">
        <v>43307</v>
      </c>
      <c r="T398" t="s">
        <v>9938</v>
      </c>
      <c r="U398" t="s">
        <v>5879</v>
      </c>
      <c r="V398" t="s">
        <v>7517</v>
      </c>
      <c r="W398" t="s">
        <v>5857</v>
      </c>
      <c r="X398" s="2">
        <v>425</v>
      </c>
      <c r="Y398" t="s">
        <v>5858</v>
      </c>
      <c r="Z398" t="s">
        <v>6037</v>
      </c>
      <c r="AA398" s="2">
        <v>5000</v>
      </c>
      <c r="AB398" t="s">
        <v>5863</v>
      </c>
      <c r="AC398" t="s">
        <v>9974</v>
      </c>
      <c r="AD398" s="32">
        <v>43259</v>
      </c>
      <c r="AI398" t="s">
        <v>9943</v>
      </c>
      <c r="AJ398" t="s">
        <v>9959</v>
      </c>
      <c r="AL398" t="s">
        <v>10712</v>
      </c>
    </row>
    <row r="399" spans="1:38">
      <c r="A399" t="s">
        <v>7301</v>
      </c>
      <c r="B399" t="s">
        <v>11830</v>
      </c>
      <c r="C399" t="s">
        <v>7326</v>
      </c>
      <c r="D399" t="s">
        <v>7327</v>
      </c>
      <c r="E399" s="2">
        <v>2000</v>
      </c>
      <c r="F399" s="2">
        <v>2000</v>
      </c>
      <c r="G399" s="3">
        <v>43304</v>
      </c>
      <c r="H399" s="4">
        <v>0.54861111111111005</v>
      </c>
      <c r="I399" s="3">
        <v>43304</v>
      </c>
      <c r="J399" s="4">
        <v>0.74468749999999995</v>
      </c>
      <c r="K399" s="2">
        <v>20</v>
      </c>
      <c r="L399" t="s">
        <v>5856</v>
      </c>
      <c r="M399" t="s">
        <v>6598</v>
      </c>
      <c r="N399" s="3">
        <v>43307</v>
      </c>
      <c r="O399" s="3">
        <v>43306</v>
      </c>
      <c r="P399" t="s">
        <v>5921</v>
      </c>
      <c r="Q399" t="s">
        <v>7518</v>
      </c>
      <c r="R399" t="s">
        <v>6036</v>
      </c>
      <c r="S399" s="3">
        <v>43307</v>
      </c>
      <c r="T399" t="s">
        <v>9938</v>
      </c>
      <c r="U399" t="s">
        <v>7329</v>
      </c>
      <c r="V399" t="s">
        <v>5948</v>
      </c>
      <c r="W399" t="s">
        <v>5857</v>
      </c>
      <c r="X399" s="2">
        <v>425</v>
      </c>
      <c r="Y399" t="s">
        <v>5858</v>
      </c>
      <c r="Z399" t="s">
        <v>6037</v>
      </c>
      <c r="AA399" s="2">
        <v>2000</v>
      </c>
      <c r="AB399" t="s">
        <v>5863</v>
      </c>
      <c r="AC399" t="s">
        <v>9974</v>
      </c>
      <c r="AD399" s="32">
        <v>43263</v>
      </c>
      <c r="AJ399" t="s">
        <v>9959</v>
      </c>
      <c r="AL399" t="s">
        <v>10713</v>
      </c>
    </row>
    <row r="400" spans="1:38">
      <c r="A400" t="s">
        <v>7301</v>
      </c>
      <c r="B400" t="s">
        <v>13024</v>
      </c>
      <c r="C400" t="s">
        <v>13025</v>
      </c>
      <c r="D400" t="s">
        <v>13026</v>
      </c>
      <c r="E400" s="2">
        <v>525</v>
      </c>
      <c r="F400" s="2">
        <v>525</v>
      </c>
      <c r="G400" s="3">
        <v>43305</v>
      </c>
      <c r="H400" s="4">
        <v>0.35293981481481002</v>
      </c>
      <c r="I400" s="3">
        <v>43305</v>
      </c>
      <c r="J400" s="4">
        <v>0.40440972222221999</v>
      </c>
      <c r="K400" s="2">
        <v>0</v>
      </c>
      <c r="L400" t="s">
        <v>5856</v>
      </c>
      <c r="M400" t="s">
        <v>7332</v>
      </c>
      <c r="N400" s="3">
        <v>43308</v>
      </c>
      <c r="O400" s="3">
        <v>43307</v>
      </c>
      <c r="P400" t="s">
        <v>5971</v>
      </c>
      <c r="Q400" t="s">
        <v>13027</v>
      </c>
      <c r="R400" t="s">
        <v>6036</v>
      </c>
      <c r="S400" s="3">
        <v>43308</v>
      </c>
      <c r="T400" t="s">
        <v>9938</v>
      </c>
      <c r="U400" t="s">
        <v>8154</v>
      </c>
      <c r="V400" t="s">
        <v>6041</v>
      </c>
      <c r="W400" t="s">
        <v>5857</v>
      </c>
      <c r="X400" s="2">
        <v>425</v>
      </c>
      <c r="Y400" t="s">
        <v>5858</v>
      </c>
      <c r="Z400" t="s">
        <v>6037</v>
      </c>
      <c r="AA400" s="2">
        <v>500</v>
      </c>
      <c r="AB400" t="s">
        <v>5863</v>
      </c>
      <c r="AC400" t="s">
        <v>9974</v>
      </c>
      <c r="AD400" s="32">
        <v>43280</v>
      </c>
      <c r="AI400" t="s">
        <v>9939</v>
      </c>
      <c r="AJ400" t="s">
        <v>9958</v>
      </c>
      <c r="AL400" t="s">
        <v>13918</v>
      </c>
    </row>
    <row r="401" spans="1:38">
      <c r="A401" t="s">
        <v>7301</v>
      </c>
      <c r="B401" t="s">
        <v>13028</v>
      </c>
      <c r="C401" t="s">
        <v>13029</v>
      </c>
      <c r="D401" t="s">
        <v>13030</v>
      </c>
      <c r="E401" s="2">
        <v>400</v>
      </c>
      <c r="F401" s="2">
        <v>400</v>
      </c>
      <c r="G401" s="3">
        <v>43305</v>
      </c>
      <c r="H401" s="4">
        <v>0.42524305555556002</v>
      </c>
      <c r="I401" s="3">
        <v>43305</v>
      </c>
      <c r="J401" s="4">
        <v>0.46445601851851998</v>
      </c>
      <c r="K401" s="2">
        <v>20</v>
      </c>
      <c r="L401" t="s">
        <v>5856</v>
      </c>
      <c r="M401" t="s">
        <v>13031</v>
      </c>
      <c r="N401" s="3">
        <v>43308</v>
      </c>
      <c r="O401" s="3">
        <v>43307</v>
      </c>
      <c r="P401" t="s">
        <v>5889</v>
      </c>
      <c r="Q401" t="s">
        <v>13032</v>
      </c>
      <c r="R401" t="s">
        <v>6036</v>
      </c>
      <c r="S401" s="3">
        <v>43308</v>
      </c>
      <c r="T401" t="s">
        <v>9938</v>
      </c>
      <c r="U401" t="s">
        <v>5894</v>
      </c>
      <c r="V401" t="s">
        <v>13033</v>
      </c>
      <c r="W401" t="s">
        <v>5857</v>
      </c>
      <c r="X401" s="2">
        <v>425</v>
      </c>
      <c r="Y401" t="s">
        <v>5858</v>
      </c>
      <c r="Z401" t="s">
        <v>6037</v>
      </c>
      <c r="AA401" s="2">
        <v>400</v>
      </c>
      <c r="AB401" t="s">
        <v>5863</v>
      </c>
      <c r="AC401" t="s">
        <v>9978</v>
      </c>
      <c r="AD401" s="32">
        <v>43280</v>
      </c>
      <c r="AJ401" t="s">
        <v>9958</v>
      </c>
      <c r="AL401" t="s">
        <v>13919</v>
      </c>
    </row>
    <row r="402" spans="1:38">
      <c r="A402" t="s">
        <v>7301</v>
      </c>
      <c r="B402" t="s">
        <v>13034</v>
      </c>
      <c r="C402" t="s">
        <v>13035</v>
      </c>
      <c r="D402" t="s">
        <v>13036</v>
      </c>
      <c r="E402" s="2">
        <v>5250</v>
      </c>
      <c r="F402" s="2">
        <v>5250</v>
      </c>
      <c r="G402" s="3">
        <v>43305</v>
      </c>
      <c r="H402" s="4">
        <v>0.48528935185185001</v>
      </c>
      <c r="I402" s="3">
        <v>43306</v>
      </c>
      <c r="J402" s="4">
        <v>0</v>
      </c>
      <c r="K402" s="2">
        <v>20</v>
      </c>
      <c r="L402" t="s">
        <v>5856</v>
      </c>
      <c r="M402" t="s">
        <v>7316</v>
      </c>
      <c r="N402" s="3">
        <v>43308</v>
      </c>
      <c r="O402" s="3">
        <v>43307</v>
      </c>
      <c r="P402" t="s">
        <v>5971</v>
      </c>
      <c r="Q402" t="s">
        <v>13037</v>
      </c>
      <c r="R402" t="s">
        <v>6036</v>
      </c>
      <c r="S402" s="3">
        <v>43308</v>
      </c>
      <c r="T402" t="s">
        <v>9938</v>
      </c>
      <c r="U402" t="s">
        <v>6054</v>
      </c>
      <c r="V402" t="s">
        <v>13038</v>
      </c>
      <c r="W402" t="s">
        <v>5857</v>
      </c>
      <c r="X402" s="2">
        <v>425</v>
      </c>
      <c r="Y402" t="s">
        <v>5858</v>
      </c>
      <c r="Z402" t="s">
        <v>6037</v>
      </c>
      <c r="AA402" s="2">
        <v>5000</v>
      </c>
      <c r="AB402" t="s">
        <v>5863</v>
      </c>
      <c r="AC402" t="s">
        <v>9974</v>
      </c>
      <c r="AD402" s="32">
        <v>43279</v>
      </c>
      <c r="AI402" t="s">
        <v>9939</v>
      </c>
      <c r="AJ402" t="s">
        <v>9958</v>
      </c>
      <c r="AL402" t="s">
        <v>13920</v>
      </c>
    </row>
    <row r="403" spans="1:38">
      <c r="A403" t="s">
        <v>7301</v>
      </c>
      <c r="B403" t="s">
        <v>13039</v>
      </c>
      <c r="C403" t="s">
        <v>13040</v>
      </c>
      <c r="D403" t="s">
        <v>13041</v>
      </c>
      <c r="E403" s="2">
        <v>1050</v>
      </c>
      <c r="F403" s="2">
        <v>1050</v>
      </c>
      <c r="G403" s="3">
        <v>43308</v>
      </c>
      <c r="H403" s="4">
        <v>0.89706018518519004</v>
      </c>
      <c r="I403" s="3">
        <v>43309</v>
      </c>
      <c r="J403" s="4">
        <v>0</v>
      </c>
      <c r="K403" s="2">
        <v>0</v>
      </c>
      <c r="L403" t="s">
        <v>5856</v>
      </c>
      <c r="M403" t="s">
        <v>7405</v>
      </c>
      <c r="N403" s="3">
        <v>43311</v>
      </c>
      <c r="O403" s="3">
        <v>43310</v>
      </c>
      <c r="P403" t="s">
        <v>13042</v>
      </c>
      <c r="Q403" t="s">
        <v>13043</v>
      </c>
      <c r="R403" t="s">
        <v>6036</v>
      </c>
      <c r="S403" s="3">
        <v>43311</v>
      </c>
      <c r="T403" t="s">
        <v>9938</v>
      </c>
      <c r="U403" t="s">
        <v>6593</v>
      </c>
      <c r="V403" t="s">
        <v>13044</v>
      </c>
      <c r="W403" t="s">
        <v>5857</v>
      </c>
      <c r="X403" s="2">
        <v>425</v>
      </c>
      <c r="Y403" t="s">
        <v>5858</v>
      </c>
      <c r="Z403" t="s">
        <v>6037</v>
      </c>
      <c r="AA403" s="2">
        <v>1000</v>
      </c>
      <c r="AB403" t="s">
        <v>5863</v>
      </c>
      <c r="AC403" t="s">
        <v>9974</v>
      </c>
      <c r="AD403" s="32">
        <v>43279</v>
      </c>
      <c r="AJ403" t="s">
        <v>9958</v>
      </c>
      <c r="AL403" t="s">
        <v>13921</v>
      </c>
    </row>
    <row r="404" spans="1:38">
      <c r="A404" t="s">
        <v>7301</v>
      </c>
      <c r="B404" t="s">
        <v>13045</v>
      </c>
      <c r="C404" t="s">
        <v>13046</v>
      </c>
      <c r="D404" t="s">
        <v>13047</v>
      </c>
      <c r="E404" s="2">
        <v>1575</v>
      </c>
      <c r="F404" s="2">
        <v>1575</v>
      </c>
      <c r="G404" s="3">
        <v>43309</v>
      </c>
      <c r="H404" s="4">
        <v>0.33456018518518998</v>
      </c>
      <c r="I404" s="3">
        <v>43309</v>
      </c>
      <c r="J404" s="4">
        <v>0.48896990740740998</v>
      </c>
      <c r="K404" s="2">
        <v>20</v>
      </c>
      <c r="L404" t="s">
        <v>5856</v>
      </c>
      <c r="M404" t="s">
        <v>7434</v>
      </c>
      <c r="N404" s="3">
        <v>43312</v>
      </c>
      <c r="O404" s="3">
        <v>43311</v>
      </c>
      <c r="P404" t="s">
        <v>6615</v>
      </c>
      <c r="Q404" t="s">
        <v>13048</v>
      </c>
      <c r="R404" t="s">
        <v>6036</v>
      </c>
      <c r="S404" s="3">
        <v>43312</v>
      </c>
      <c r="T404" t="s">
        <v>9938</v>
      </c>
      <c r="U404" t="s">
        <v>7029</v>
      </c>
      <c r="V404" t="s">
        <v>13049</v>
      </c>
      <c r="W404" t="s">
        <v>5857</v>
      </c>
      <c r="X404" s="2">
        <v>425</v>
      </c>
      <c r="Y404" t="s">
        <v>5858</v>
      </c>
      <c r="Z404" t="s">
        <v>6037</v>
      </c>
      <c r="AA404" s="2">
        <v>1500</v>
      </c>
      <c r="AB404" t="s">
        <v>5863</v>
      </c>
      <c r="AC404" t="s">
        <v>9974</v>
      </c>
      <c r="AD404" s="32">
        <v>43280</v>
      </c>
      <c r="AJ404" t="s">
        <v>9958</v>
      </c>
      <c r="AL404" t="s">
        <v>13922</v>
      </c>
    </row>
    <row r="405" spans="1:38">
      <c r="A405" t="s">
        <v>7301</v>
      </c>
      <c r="B405" t="s">
        <v>11831</v>
      </c>
      <c r="C405" t="s">
        <v>7425</v>
      </c>
      <c r="D405" t="s">
        <v>7426</v>
      </c>
      <c r="E405" s="2">
        <v>5000</v>
      </c>
      <c r="F405" s="2">
        <v>5000</v>
      </c>
      <c r="G405" s="3">
        <v>43309</v>
      </c>
      <c r="H405" s="4">
        <v>0.50980324074074002</v>
      </c>
      <c r="I405" s="3">
        <v>43310</v>
      </c>
      <c r="J405" s="4">
        <v>0</v>
      </c>
      <c r="K405" s="2">
        <v>20</v>
      </c>
      <c r="L405" t="s">
        <v>5856</v>
      </c>
      <c r="M405" t="s">
        <v>6727</v>
      </c>
      <c r="N405" s="3">
        <v>43312</v>
      </c>
      <c r="O405" s="3">
        <v>43311</v>
      </c>
      <c r="P405" t="s">
        <v>5930</v>
      </c>
      <c r="Q405" t="s">
        <v>7519</v>
      </c>
      <c r="R405" t="s">
        <v>6036</v>
      </c>
      <c r="S405" s="3">
        <v>43312</v>
      </c>
      <c r="T405" t="s">
        <v>9938</v>
      </c>
      <c r="U405" t="s">
        <v>5903</v>
      </c>
      <c r="V405" t="s">
        <v>7428</v>
      </c>
      <c r="W405" t="s">
        <v>5857</v>
      </c>
      <c r="X405" s="2">
        <v>425</v>
      </c>
      <c r="Y405" t="s">
        <v>5858</v>
      </c>
      <c r="Z405" t="s">
        <v>6037</v>
      </c>
      <c r="AA405" s="2">
        <v>5000</v>
      </c>
      <c r="AB405" t="s">
        <v>5863</v>
      </c>
      <c r="AC405" t="s">
        <v>9974</v>
      </c>
      <c r="AD405" s="32">
        <v>43270</v>
      </c>
      <c r="AI405" t="s">
        <v>9943</v>
      </c>
      <c r="AJ405" t="s">
        <v>9959</v>
      </c>
      <c r="AL405" t="s">
        <v>10714</v>
      </c>
    </row>
    <row r="406" spans="1:38">
      <c r="A406" t="s">
        <v>7301</v>
      </c>
      <c r="B406" t="s">
        <v>13050</v>
      </c>
      <c r="C406" t="s">
        <v>7145</v>
      </c>
      <c r="D406" t="s">
        <v>7146</v>
      </c>
      <c r="E406" s="5">
        <v>5591.25</v>
      </c>
      <c r="F406" s="5">
        <v>5591.25</v>
      </c>
      <c r="G406" s="3">
        <v>43311</v>
      </c>
      <c r="H406" s="4">
        <v>0.45184027777778002</v>
      </c>
      <c r="I406" s="3">
        <v>43312</v>
      </c>
      <c r="J406" s="4">
        <v>0</v>
      </c>
      <c r="K406" s="2">
        <v>20</v>
      </c>
      <c r="L406" t="s">
        <v>5856</v>
      </c>
      <c r="M406" t="s">
        <v>13051</v>
      </c>
      <c r="N406" s="3">
        <v>43314</v>
      </c>
      <c r="O406" s="3">
        <v>43313</v>
      </c>
      <c r="P406" t="s">
        <v>5862</v>
      </c>
      <c r="Q406" t="s">
        <v>13052</v>
      </c>
      <c r="R406" t="s">
        <v>6036</v>
      </c>
      <c r="S406" s="3">
        <v>43314</v>
      </c>
      <c r="T406" t="s">
        <v>9938</v>
      </c>
      <c r="U406" t="s">
        <v>5894</v>
      </c>
      <c r="V406" t="s">
        <v>7148</v>
      </c>
      <c r="W406" t="s">
        <v>5857</v>
      </c>
      <c r="X406" s="2">
        <v>425</v>
      </c>
      <c r="Y406" t="s">
        <v>5858</v>
      </c>
      <c r="Z406" t="s">
        <v>6037</v>
      </c>
      <c r="AA406" s="2">
        <v>5325</v>
      </c>
      <c r="AB406" t="s">
        <v>5863</v>
      </c>
      <c r="AC406" t="s">
        <v>9978</v>
      </c>
      <c r="AD406" s="32">
        <v>43280</v>
      </c>
      <c r="AJ406" t="s">
        <v>9958</v>
      </c>
      <c r="AL406" t="s">
        <v>13923</v>
      </c>
    </row>
    <row r="407" spans="1:38">
      <c r="A407" t="s">
        <v>7301</v>
      </c>
      <c r="B407" t="s">
        <v>11832</v>
      </c>
      <c r="C407" t="s">
        <v>7520</v>
      </c>
      <c r="D407" t="s">
        <v>7521</v>
      </c>
      <c r="E407" s="2">
        <v>500</v>
      </c>
      <c r="F407" s="2">
        <v>500</v>
      </c>
      <c r="G407" s="3">
        <v>43318</v>
      </c>
      <c r="H407" s="4">
        <v>0.95098379629630003</v>
      </c>
      <c r="I407" s="3">
        <v>43319</v>
      </c>
      <c r="J407" s="4">
        <v>0</v>
      </c>
      <c r="K407" s="2">
        <v>20</v>
      </c>
      <c r="L407" t="s">
        <v>5856</v>
      </c>
      <c r="M407" t="s">
        <v>7494</v>
      </c>
      <c r="N407" s="3">
        <v>43321</v>
      </c>
      <c r="O407" s="3">
        <v>43320</v>
      </c>
      <c r="P407" t="s">
        <v>6924</v>
      </c>
      <c r="Q407" t="s">
        <v>7522</v>
      </c>
      <c r="R407" t="s">
        <v>6036</v>
      </c>
      <c r="S407" s="3">
        <v>43321</v>
      </c>
      <c r="T407" t="s">
        <v>9938</v>
      </c>
      <c r="U407" t="s">
        <v>6582</v>
      </c>
      <c r="V407" t="s">
        <v>7523</v>
      </c>
      <c r="W407" t="s">
        <v>5857</v>
      </c>
      <c r="X407" s="2">
        <v>425</v>
      </c>
      <c r="Y407" t="s">
        <v>5858</v>
      </c>
      <c r="Z407" t="s">
        <v>6037</v>
      </c>
      <c r="AA407" s="2">
        <v>500</v>
      </c>
      <c r="AB407" t="s">
        <v>5863</v>
      </c>
      <c r="AC407" t="s">
        <v>9976</v>
      </c>
      <c r="AD407" s="32">
        <v>43272</v>
      </c>
      <c r="AJ407" t="s">
        <v>9958</v>
      </c>
      <c r="AL407" t="s">
        <v>13924</v>
      </c>
    </row>
    <row r="408" spans="1:38">
      <c r="A408" t="s">
        <v>7301</v>
      </c>
      <c r="B408" t="s">
        <v>13053</v>
      </c>
      <c r="C408" t="s">
        <v>13054</v>
      </c>
      <c r="D408" t="s">
        <v>13055</v>
      </c>
      <c r="E408" s="2">
        <v>2100</v>
      </c>
      <c r="F408" s="2">
        <v>2100</v>
      </c>
      <c r="G408" s="3">
        <v>43319</v>
      </c>
      <c r="H408" s="4">
        <v>0.79412037037036998</v>
      </c>
      <c r="I408" s="3">
        <v>43320</v>
      </c>
      <c r="J408" s="4">
        <v>0</v>
      </c>
      <c r="K408" s="2">
        <v>20</v>
      </c>
      <c r="L408" t="s">
        <v>5856</v>
      </c>
      <c r="M408" t="s">
        <v>7322</v>
      </c>
      <c r="N408" s="3">
        <v>43322</v>
      </c>
      <c r="O408" s="3">
        <v>43321</v>
      </c>
      <c r="P408" t="s">
        <v>8875</v>
      </c>
      <c r="Q408" t="s">
        <v>13056</v>
      </c>
      <c r="R408" t="s">
        <v>6036</v>
      </c>
      <c r="S408" s="3">
        <v>43322</v>
      </c>
      <c r="T408" t="s">
        <v>9938</v>
      </c>
      <c r="U408" t="s">
        <v>5878</v>
      </c>
      <c r="V408" t="s">
        <v>13057</v>
      </c>
      <c r="W408" t="s">
        <v>5857</v>
      </c>
      <c r="X408" s="2">
        <v>425</v>
      </c>
      <c r="Y408" t="s">
        <v>5858</v>
      </c>
      <c r="Z408" t="s">
        <v>6037</v>
      </c>
      <c r="AA408" s="2">
        <v>2000</v>
      </c>
      <c r="AB408" t="s">
        <v>5863</v>
      </c>
      <c r="AC408" t="s">
        <v>9974</v>
      </c>
      <c r="AD408" s="32">
        <v>43280</v>
      </c>
      <c r="AJ408" t="s">
        <v>9959</v>
      </c>
      <c r="AL408" t="s">
        <v>13925</v>
      </c>
    </row>
    <row r="409" spans="1:38">
      <c r="A409" t="s">
        <v>7301</v>
      </c>
      <c r="B409" t="s">
        <v>11833</v>
      </c>
      <c r="C409" t="s">
        <v>7524</v>
      </c>
      <c r="D409" t="s">
        <v>7525</v>
      </c>
      <c r="E409" s="2">
        <v>1000</v>
      </c>
      <c r="F409" s="2">
        <v>1000</v>
      </c>
      <c r="G409" s="3">
        <v>43321</v>
      </c>
      <c r="H409" s="4">
        <v>0.90194444444444</v>
      </c>
      <c r="I409" s="3">
        <v>43321</v>
      </c>
      <c r="J409" s="4">
        <v>0.99998842592592996</v>
      </c>
      <c r="K409" s="2">
        <v>0</v>
      </c>
      <c r="L409" t="s">
        <v>5856</v>
      </c>
      <c r="M409" t="s">
        <v>6634</v>
      </c>
      <c r="N409" s="3"/>
      <c r="O409" s="3">
        <v>43323</v>
      </c>
      <c r="P409" t="s">
        <v>6026</v>
      </c>
      <c r="Q409" t="s">
        <v>7526</v>
      </c>
      <c r="R409" t="s">
        <v>6036</v>
      </c>
      <c r="S409" s="3">
        <v>43325</v>
      </c>
      <c r="T409" t="s">
        <v>9938</v>
      </c>
      <c r="U409" t="s">
        <v>7070</v>
      </c>
      <c r="V409" t="s">
        <v>6864</v>
      </c>
      <c r="W409" t="s">
        <v>5857</v>
      </c>
      <c r="X409" s="2">
        <v>0</v>
      </c>
      <c r="Y409" t="s">
        <v>5858</v>
      </c>
      <c r="Z409" t="s">
        <v>6037</v>
      </c>
      <c r="AA409" s="2">
        <v>1000</v>
      </c>
      <c r="AB409" t="s">
        <v>5861</v>
      </c>
      <c r="AC409" t="s">
        <v>9976</v>
      </c>
      <c r="AD409" s="32"/>
      <c r="AJ409" t="s">
        <v>9958</v>
      </c>
      <c r="AL409" t="s">
        <v>13926</v>
      </c>
    </row>
    <row r="410" spans="1:38">
      <c r="A410" t="s">
        <v>7301</v>
      </c>
      <c r="B410" t="s">
        <v>11834</v>
      </c>
      <c r="C410" t="s">
        <v>7527</v>
      </c>
      <c r="D410" t="s">
        <v>7528</v>
      </c>
      <c r="E410" s="2">
        <v>1000</v>
      </c>
      <c r="F410" s="2">
        <v>1000</v>
      </c>
      <c r="G410" s="3">
        <v>43323</v>
      </c>
      <c r="H410" s="4">
        <v>0.91150462962962997</v>
      </c>
      <c r="I410" s="3">
        <v>43324</v>
      </c>
      <c r="J410" s="4">
        <v>9.5486111111099999E-3</v>
      </c>
      <c r="K410" s="2">
        <v>20</v>
      </c>
      <c r="L410" t="s">
        <v>5856</v>
      </c>
      <c r="M410" t="s">
        <v>6634</v>
      </c>
      <c r="N410" s="3">
        <v>43326</v>
      </c>
      <c r="O410" s="3">
        <v>43326</v>
      </c>
      <c r="P410" t="s">
        <v>7529</v>
      </c>
      <c r="Q410" t="s">
        <v>7530</v>
      </c>
      <c r="R410" t="s">
        <v>6036</v>
      </c>
      <c r="S410" s="3">
        <v>43326</v>
      </c>
      <c r="T410" t="s">
        <v>9938</v>
      </c>
      <c r="U410" t="s">
        <v>5867</v>
      </c>
      <c r="V410" t="s">
        <v>7531</v>
      </c>
      <c r="W410" t="s">
        <v>5857</v>
      </c>
      <c r="X410" s="2">
        <v>425</v>
      </c>
      <c r="Y410" t="s">
        <v>5858</v>
      </c>
      <c r="Z410" t="s">
        <v>6037</v>
      </c>
      <c r="AA410" s="2">
        <v>1000</v>
      </c>
      <c r="AB410" t="s">
        <v>5863</v>
      </c>
      <c r="AD410" s="32"/>
      <c r="AJ410" t="s">
        <v>9959</v>
      </c>
      <c r="AL410" t="s">
        <v>10717</v>
      </c>
    </row>
    <row r="411" spans="1:38">
      <c r="A411" t="s">
        <v>7301</v>
      </c>
      <c r="B411" t="s">
        <v>11835</v>
      </c>
      <c r="C411" t="s">
        <v>7326</v>
      </c>
      <c r="D411" t="s">
        <v>7327</v>
      </c>
      <c r="E411" s="2">
        <v>1000</v>
      </c>
      <c r="F411" s="2">
        <v>1000</v>
      </c>
      <c r="G411" s="3">
        <v>43324</v>
      </c>
      <c r="H411" s="4">
        <v>0.90195601851852003</v>
      </c>
      <c r="I411" s="3">
        <v>43325</v>
      </c>
      <c r="J411" s="4">
        <v>0</v>
      </c>
      <c r="K411" s="2">
        <v>20</v>
      </c>
      <c r="L411" t="s">
        <v>5856</v>
      </c>
      <c r="M411" t="s">
        <v>6634</v>
      </c>
      <c r="N411" s="3">
        <v>43293</v>
      </c>
      <c r="O411" s="3">
        <v>43326</v>
      </c>
      <c r="P411" t="s">
        <v>5921</v>
      </c>
      <c r="Q411" t="s">
        <v>7532</v>
      </c>
      <c r="R411" t="s">
        <v>6036</v>
      </c>
      <c r="S411" s="3">
        <v>43293</v>
      </c>
      <c r="T411" t="s">
        <v>9938</v>
      </c>
      <c r="U411" t="s">
        <v>7329</v>
      </c>
      <c r="V411" t="s">
        <v>5948</v>
      </c>
      <c r="W411" t="s">
        <v>5857</v>
      </c>
      <c r="X411" s="2">
        <v>425</v>
      </c>
      <c r="Y411" t="s">
        <v>5858</v>
      </c>
      <c r="Z411" t="s">
        <v>6037</v>
      </c>
      <c r="AA411" s="2">
        <v>1000</v>
      </c>
      <c r="AB411" t="s">
        <v>5863</v>
      </c>
      <c r="AC411" t="s">
        <v>9974</v>
      </c>
      <c r="AD411" s="32"/>
      <c r="AJ411" t="s">
        <v>9959</v>
      </c>
      <c r="AL411" t="s">
        <v>10718</v>
      </c>
    </row>
    <row r="412" spans="1:38">
      <c r="A412" t="s">
        <v>7301</v>
      </c>
      <c r="B412" t="s">
        <v>11836</v>
      </c>
      <c r="C412" t="s">
        <v>7373</v>
      </c>
      <c r="D412" t="s">
        <v>7374</v>
      </c>
      <c r="E412" s="2">
        <v>1050</v>
      </c>
      <c r="F412" s="2">
        <v>1050</v>
      </c>
      <c r="G412" s="3">
        <v>43325</v>
      </c>
      <c r="H412" s="4">
        <v>0.89706018518519004</v>
      </c>
      <c r="I412" s="3">
        <v>43326</v>
      </c>
      <c r="J412" s="4">
        <v>0</v>
      </c>
      <c r="K412" s="2">
        <v>20</v>
      </c>
      <c r="L412" t="s">
        <v>5856</v>
      </c>
      <c r="M412" t="s">
        <v>7405</v>
      </c>
      <c r="N412" s="3">
        <v>43328</v>
      </c>
      <c r="O412" s="3">
        <v>43327</v>
      </c>
      <c r="P412" t="s">
        <v>5978</v>
      </c>
      <c r="Q412" t="s">
        <v>7533</v>
      </c>
      <c r="R412" t="s">
        <v>6036</v>
      </c>
      <c r="S412" s="3">
        <v>43328</v>
      </c>
      <c r="T412" t="s">
        <v>9938</v>
      </c>
      <c r="U412" t="s">
        <v>5987</v>
      </c>
      <c r="V412" t="s">
        <v>7377</v>
      </c>
      <c r="W412" t="s">
        <v>5857</v>
      </c>
      <c r="X412" s="2">
        <v>425</v>
      </c>
      <c r="Y412" t="s">
        <v>5858</v>
      </c>
      <c r="Z412" t="s">
        <v>6037</v>
      </c>
      <c r="AA412" s="2">
        <v>1000</v>
      </c>
      <c r="AB412" t="s">
        <v>5863</v>
      </c>
      <c r="AC412" t="s">
        <v>9978</v>
      </c>
      <c r="AD412" s="32"/>
      <c r="AI412" t="s">
        <v>9943</v>
      </c>
      <c r="AJ412" t="s">
        <v>9958</v>
      </c>
      <c r="AL412" t="s">
        <v>10719</v>
      </c>
    </row>
    <row r="413" spans="1:38">
      <c r="A413" t="s">
        <v>7301</v>
      </c>
      <c r="B413" t="s">
        <v>11837</v>
      </c>
      <c r="C413" t="s">
        <v>7534</v>
      </c>
      <c r="D413" t="s">
        <v>7535</v>
      </c>
      <c r="E413" s="2">
        <v>10000</v>
      </c>
      <c r="F413" s="2">
        <v>10000</v>
      </c>
      <c r="G413" s="3">
        <v>43327</v>
      </c>
      <c r="H413" s="4">
        <v>1.960648148148E-2</v>
      </c>
      <c r="I413" s="3">
        <v>43328</v>
      </c>
      <c r="J413" s="4">
        <v>0</v>
      </c>
      <c r="K413" s="2">
        <v>20</v>
      </c>
      <c r="L413" t="s">
        <v>5856</v>
      </c>
      <c r="M413" t="s">
        <v>7487</v>
      </c>
      <c r="N413" s="3">
        <v>43332</v>
      </c>
      <c r="O413" s="3">
        <v>43329</v>
      </c>
      <c r="P413" t="s">
        <v>6018</v>
      </c>
      <c r="Q413" t="s">
        <v>7536</v>
      </c>
      <c r="R413" t="s">
        <v>6036</v>
      </c>
      <c r="S413" s="3">
        <v>43331</v>
      </c>
      <c r="T413" t="s">
        <v>9938</v>
      </c>
      <c r="U413" t="s">
        <v>7537</v>
      </c>
      <c r="V413" t="s">
        <v>6041</v>
      </c>
      <c r="W413" t="s">
        <v>5857</v>
      </c>
      <c r="X413" s="2">
        <v>425</v>
      </c>
      <c r="Y413" t="s">
        <v>5858</v>
      </c>
      <c r="Z413" t="s">
        <v>6037</v>
      </c>
      <c r="AA413" s="2">
        <v>10000</v>
      </c>
      <c r="AB413" t="s">
        <v>5863</v>
      </c>
      <c r="AC413" t="s">
        <v>9978</v>
      </c>
      <c r="AD413" s="32"/>
      <c r="AJ413" t="s">
        <v>9958</v>
      </c>
      <c r="AL413" t="s">
        <v>13927</v>
      </c>
    </row>
    <row r="414" spans="1:38">
      <c r="A414" t="s">
        <v>7301</v>
      </c>
      <c r="B414" t="s">
        <v>11838</v>
      </c>
      <c r="C414" t="s">
        <v>7476</v>
      </c>
      <c r="D414" t="s">
        <v>7477</v>
      </c>
      <c r="E414" s="2">
        <v>2100</v>
      </c>
      <c r="F414" s="2">
        <v>2100</v>
      </c>
      <c r="G414" s="3">
        <v>43331</v>
      </c>
      <c r="H414" s="4">
        <v>0.38848379629629998</v>
      </c>
      <c r="I414" s="3">
        <v>43331</v>
      </c>
      <c r="J414" s="4">
        <v>0.59436342592592994</v>
      </c>
      <c r="K414" s="2">
        <v>0</v>
      </c>
      <c r="L414" t="s">
        <v>5856</v>
      </c>
      <c r="M414" t="s">
        <v>7322</v>
      </c>
      <c r="N414" s="3">
        <v>43334</v>
      </c>
      <c r="O414" s="3">
        <v>43333</v>
      </c>
      <c r="P414" t="s">
        <v>5869</v>
      </c>
      <c r="Q414" t="s">
        <v>7538</v>
      </c>
      <c r="R414" t="s">
        <v>6036</v>
      </c>
      <c r="S414" s="3">
        <v>43334</v>
      </c>
      <c r="T414" t="s">
        <v>9938</v>
      </c>
      <c r="U414" t="s">
        <v>6705</v>
      </c>
      <c r="V414" t="s">
        <v>7479</v>
      </c>
      <c r="W414" t="s">
        <v>5857</v>
      </c>
      <c r="X414" s="2">
        <v>425</v>
      </c>
      <c r="Y414" t="s">
        <v>5858</v>
      </c>
      <c r="Z414" t="s">
        <v>6037</v>
      </c>
      <c r="AA414" s="2">
        <v>2000</v>
      </c>
      <c r="AB414" t="s">
        <v>5863</v>
      </c>
      <c r="AC414" t="s">
        <v>9976</v>
      </c>
      <c r="AD414" s="32"/>
      <c r="AI414" t="s">
        <v>9946</v>
      </c>
      <c r="AJ414" t="s">
        <v>9958</v>
      </c>
      <c r="AL414" t="s">
        <v>10721</v>
      </c>
    </row>
    <row r="415" spans="1:38">
      <c r="A415" t="s">
        <v>7301</v>
      </c>
      <c r="B415" t="s">
        <v>11839</v>
      </c>
      <c r="C415" t="s">
        <v>7330</v>
      </c>
      <c r="D415" t="s">
        <v>7331</v>
      </c>
      <c r="E415" s="2">
        <v>500</v>
      </c>
      <c r="F415" s="2">
        <v>500</v>
      </c>
      <c r="G415" s="3">
        <v>43331</v>
      </c>
      <c r="H415" s="4">
        <v>0.61519675925925998</v>
      </c>
      <c r="I415" s="3">
        <v>43331</v>
      </c>
      <c r="J415" s="4">
        <v>0.66421296296295995</v>
      </c>
      <c r="K415" s="2">
        <v>0</v>
      </c>
      <c r="L415" t="s">
        <v>5856</v>
      </c>
      <c r="M415" t="s">
        <v>7494</v>
      </c>
      <c r="N415" s="3">
        <v>43334</v>
      </c>
      <c r="O415" s="3">
        <v>43333</v>
      </c>
      <c r="P415" t="s">
        <v>7333</v>
      </c>
      <c r="Q415" t="s">
        <v>7539</v>
      </c>
      <c r="R415" t="s">
        <v>6036</v>
      </c>
      <c r="S415" s="3">
        <v>43334</v>
      </c>
      <c r="T415" t="s">
        <v>9938</v>
      </c>
      <c r="U415" t="s">
        <v>7004</v>
      </c>
      <c r="V415" t="s">
        <v>7334</v>
      </c>
      <c r="W415" t="s">
        <v>5857</v>
      </c>
      <c r="X415" s="2">
        <v>425</v>
      </c>
      <c r="Y415" t="s">
        <v>5858</v>
      </c>
      <c r="Z415" t="s">
        <v>6037</v>
      </c>
      <c r="AA415" s="2">
        <v>500</v>
      </c>
      <c r="AB415" t="s">
        <v>5863</v>
      </c>
      <c r="AC415" t="s">
        <v>9974</v>
      </c>
      <c r="AD415" s="32"/>
      <c r="AJ415" t="s">
        <v>9957</v>
      </c>
      <c r="AL415" t="s">
        <v>10722</v>
      </c>
    </row>
    <row r="416" spans="1:38">
      <c r="A416" t="s">
        <v>7301</v>
      </c>
      <c r="B416" t="s">
        <v>11840</v>
      </c>
      <c r="C416" t="s">
        <v>6058</v>
      </c>
      <c r="D416" t="s">
        <v>5901</v>
      </c>
      <c r="E416" s="2">
        <v>2000</v>
      </c>
      <c r="F416" s="2">
        <v>2000</v>
      </c>
      <c r="G416" s="3">
        <v>43331</v>
      </c>
      <c r="H416" s="4">
        <v>0.68504629629629998</v>
      </c>
      <c r="I416" s="3">
        <v>43331</v>
      </c>
      <c r="J416" s="4">
        <v>0.88112268518518999</v>
      </c>
      <c r="K416" s="2">
        <v>20</v>
      </c>
      <c r="L416" t="s">
        <v>5856</v>
      </c>
      <c r="M416" t="s">
        <v>6598</v>
      </c>
      <c r="N416" s="3">
        <v>43334</v>
      </c>
      <c r="O416" s="3">
        <v>43333</v>
      </c>
      <c r="P416" t="s">
        <v>5902</v>
      </c>
      <c r="Q416" t="s">
        <v>7540</v>
      </c>
      <c r="R416" t="s">
        <v>6036</v>
      </c>
      <c r="S416" s="3">
        <v>43334</v>
      </c>
      <c r="T416" t="s">
        <v>9938</v>
      </c>
      <c r="U416" t="s">
        <v>5903</v>
      </c>
      <c r="V416" t="s">
        <v>6059</v>
      </c>
      <c r="W416" t="s">
        <v>5857</v>
      </c>
      <c r="X416" s="2">
        <v>425</v>
      </c>
      <c r="Y416" t="s">
        <v>5858</v>
      </c>
      <c r="Z416" t="s">
        <v>6037</v>
      </c>
      <c r="AA416" s="2">
        <v>2000</v>
      </c>
      <c r="AB416" t="s">
        <v>5863</v>
      </c>
      <c r="AC416" t="s">
        <v>9974</v>
      </c>
      <c r="AD416" s="32"/>
      <c r="AI416" t="s">
        <v>9952</v>
      </c>
      <c r="AJ416" t="s">
        <v>9959</v>
      </c>
      <c r="AL416" t="s">
        <v>10723</v>
      </c>
    </row>
    <row r="417" spans="1:38">
      <c r="A417" t="s">
        <v>7301</v>
      </c>
      <c r="B417" t="s">
        <v>11841</v>
      </c>
      <c r="C417" t="s">
        <v>7541</v>
      </c>
      <c r="D417" t="s">
        <v>7542</v>
      </c>
      <c r="E417" s="2">
        <v>1000</v>
      </c>
      <c r="F417" s="2">
        <v>1000</v>
      </c>
      <c r="G417" s="3">
        <v>43331</v>
      </c>
      <c r="H417" s="4">
        <v>0.90195601851852003</v>
      </c>
      <c r="I417" s="3">
        <v>43332</v>
      </c>
      <c r="J417" s="4">
        <v>0</v>
      </c>
      <c r="K417" s="2">
        <v>20</v>
      </c>
      <c r="L417" t="s">
        <v>5856</v>
      </c>
      <c r="M417" t="s">
        <v>6634</v>
      </c>
      <c r="N417" s="3">
        <v>43334</v>
      </c>
      <c r="O417" s="3">
        <v>43333</v>
      </c>
      <c r="P417" t="s">
        <v>5862</v>
      </c>
      <c r="Q417" t="s">
        <v>7543</v>
      </c>
      <c r="R417" t="s">
        <v>6036</v>
      </c>
      <c r="S417" s="3">
        <v>43334</v>
      </c>
      <c r="T417" t="s">
        <v>9938</v>
      </c>
      <c r="U417" t="s">
        <v>5893</v>
      </c>
      <c r="V417" t="s">
        <v>7544</v>
      </c>
      <c r="W417" t="s">
        <v>5857</v>
      </c>
      <c r="X417" s="2">
        <v>425</v>
      </c>
      <c r="Y417" t="s">
        <v>5858</v>
      </c>
      <c r="Z417" t="s">
        <v>6037</v>
      </c>
      <c r="AA417" s="2">
        <v>1000</v>
      </c>
      <c r="AB417" t="s">
        <v>5863</v>
      </c>
      <c r="AD417" s="32"/>
      <c r="AJ417" t="s">
        <v>9958</v>
      </c>
      <c r="AL417" t="s">
        <v>10724</v>
      </c>
    </row>
    <row r="418" spans="1:38">
      <c r="A418" t="s">
        <v>7301</v>
      </c>
      <c r="B418" t="s">
        <v>11842</v>
      </c>
      <c r="C418" t="s">
        <v>7545</v>
      </c>
      <c r="D418" t="s">
        <v>7546</v>
      </c>
      <c r="E418" s="2">
        <v>2100</v>
      </c>
      <c r="F418" s="2">
        <v>2100</v>
      </c>
      <c r="G418" s="3">
        <v>43339</v>
      </c>
      <c r="H418" s="4">
        <v>0.75368055555556002</v>
      </c>
      <c r="I418" s="3">
        <v>43339</v>
      </c>
      <c r="J418" s="4">
        <v>0.95956018518519004</v>
      </c>
      <c r="K418" s="2">
        <v>20</v>
      </c>
      <c r="L418" t="s">
        <v>5856</v>
      </c>
      <c r="M418" t="s">
        <v>7322</v>
      </c>
      <c r="N418" s="3">
        <v>43342</v>
      </c>
      <c r="O418" s="3">
        <v>43341</v>
      </c>
      <c r="P418" t="s">
        <v>6724</v>
      </c>
      <c r="Q418" t="s">
        <v>7547</v>
      </c>
      <c r="R418" t="s">
        <v>6036</v>
      </c>
      <c r="S418" s="3">
        <v>43342</v>
      </c>
      <c r="T418" t="s">
        <v>9938</v>
      </c>
      <c r="U418" t="s">
        <v>7398</v>
      </c>
      <c r="V418" t="s">
        <v>7548</v>
      </c>
      <c r="W418" t="s">
        <v>6038</v>
      </c>
      <c r="X418" s="2">
        <v>425</v>
      </c>
      <c r="Y418" t="s">
        <v>5858</v>
      </c>
      <c r="Z418" t="s">
        <v>6037</v>
      </c>
      <c r="AA418" s="2">
        <v>2000</v>
      </c>
      <c r="AB418" t="s">
        <v>5863</v>
      </c>
      <c r="AD418" s="32"/>
      <c r="AJ418" t="s">
        <v>9960</v>
      </c>
      <c r="AL418" t="s">
        <v>10725</v>
      </c>
    </row>
    <row r="419" spans="1:38">
      <c r="A419" t="s">
        <v>7301</v>
      </c>
      <c r="B419" t="s">
        <v>11844</v>
      </c>
      <c r="C419" t="s">
        <v>7373</v>
      </c>
      <c r="D419" t="s">
        <v>7374</v>
      </c>
      <c r="E419" s="2">
        <v>200</v>
      </c>
      <c r="F419" s="2">
        <v>200</v>
      </c>
      <c r="G419" s="3">
        <v>43339</v>
      </c>
      <c r="H419" s="4">
        <v>0.98039351851851997</v>
      </c>
      <c r="I419" s="3">
        <v>43340</v>
      </c>
      <c r="J419" s="4">
        <v>0</v>
      </c>
      <c r="K419" s="2">
        <v>0</v>
      </c>
      <c r="L419" t="s">
        <v>5856</v>
      </c>
      <c r="M419" t="s">
        <v>7550</v>
      </c>
      <c r="N419" s="3">
        <v>43342</v>
      </c>
      <c r="O419" s="3">
        <v>43341</v>
      </c>
      <c r="P419" t="s">
        <v>5978</v>
      </c>
      <c r="Q419" t="s">
        <v>7551</v>
      </c>
      <c r="R419" t="s">
        <v>6036</v>
      </c>
      <c r="S419" s="3">
        <v>43342</v>
      </c>
      <c r="T419" t="s">
        <v>9938</v>
      </c>
      <c r="U419" t="s">
        <v>5987</v>
      </c>
      <c r="V419" t="s">
        <v>7377</v>
      </c>
      <c r="W419" t="s">
        <v>5857</v>
      </c>
      <c r="X419" s="2">
        <v>425</v>
      </c>
      <c r="Y419" t="s">
        <v>5858</v>
      </c>
      <c r="Z419" t="s">
        <v>6037</v>
      </c>
      <c r="AA419" s="2">
        <v>200</v>
      </c>
      <c r="AB419" t="s">
        <v>5863</v>
      </c>
      <c r="AC419" t="s">
        <v>9978</v>
      </c>
      <c r="AD419" s="32"/>
      <c r="AI419" t="s">
        <v>9943</v>
      </c>
      <c r="AJ419" t="s">
        <v>9958</v>
      </c>
      <c r="AL419" t="s">
        <v>10727</v>
      </c>
    </row>
    <row r="420" spans="1:38">
      <c r="A420" t="s">
        <v>7301</v>
      </c>
      <c r="B420" t="s">
        <v>13058</v>
      </c>
      <c r="C420" t="s">
        <v>13059</v>
      </c>
      <c r="D420" t="s">
        <v>13060</v>
      </c>
      <c r="E420" s="2">
        <v>2100</v>
      </c>
      <c r="F420" s="2">
        <v>2100</v>
      </c>
      <c r="G420" s="3">
        <v>43359</v>
      </c>
      <c r="H420" s="4">
        <v>0.79412037037036998</v>
      </c>
      <c r="I420" s="3">
        <v>43360</v>
      </c>
      <c r="J420" s="4">
        <v>0</v>
      </c>
      <c r="K420" s="2">
        <v>0</v>
      </c>
      <c r="L420" t="s">
        <v>5856</v>
      </c>
      <c r="M420" t="s">
        <v>7322</v>
      </c>
      <c r="N420" s="3">
        <v>43362</v>
      </c>
      <c r="O420" s="3">
        <v>43361</v>
      </c>
      <c r="P420" t="s">
        <v>5862</v>
      </c>
      <c r="Q420" t="s">
        <v>13061</v>
      </c>
      <c r="R420" t="s">
        <v>6036</v>
      </c>
      <c r="S420" s="3">
        <v>43362</v>
      </c>
      <c r="T420" t="s">
        <v>9938</v>
      </c>
      <c r="U420" t="s">
        <v>13062</v>
      </c>
      <c r="V420" t="s">
        <v>13063</v>
      </c>
      <c r="W420" t="s">
        <v>5857</v>
      </c>
      <c r="X420" s="2">
        <v>425</v>
      </c>
      <c r="Y420" t="s">
        <v>5858</v>
      </c>
      <c r="Z420" t="s">
        <v>6037</v>
      </c>
      <c r="AA420" s="2">
        <v>2000</v>
      </c>
      <c r="AB420" t="s">
        <v>5863</v>
      </c>
      <c r="AD420" s="32"/>
      <c r="AJ420" t="s">
        <v>9958</v>
      </c>
      <c r="AL420" t="s">
        <v>13928</v>
      </c>
    </row>
    <row r="421" spans="1:38">
      <c r="A421" t="s">
        <v>7552</v>
      </c>
      <c r="B421" t="s">
        <v>11845</v>
      </c>
      <c r="C421" t="s">
        <v>7559</v>
      </c>
      <c r="D421" t="s">
        <v>7560</v>
      </c>
      <c r="E421" s="2">
        <v>150</v>
      </c>
      <c r="F421" s="2">
        <v>3150</v>
      </c>
      <c r="G421" s="3">
        <v>43284</v>
      </c>
      <c r="H421" s="4">
        <v>2.0833333333330002E-2</v>
      </c>
      <c r="I421" s="3">
        <v>43284</v>
      </c>
      <c r="J421" s="4">
        <v>0.32966435185185</v>
      </c>
      <c r="K421" s="2">
        <v>20</v>
      </c>
      <c r="L421" t="s">
        <v>5856</v>
      </c>
      <c r="M421" t="s">
        <v>7341</v>
      </c>
      <c r="N421" s="3">
        <v>43286</v>
      </c>
      <c r="O421" s="3">
        <v>43286</v>
      </c>
      <c r="P421" t="s">
        <v>5911</v>
      </c>
      <c r="Q421" t="s">
        <v>6038</v>
      </c>
      <c r="R421" t="s">
        <v>6039</v>
      </c>
      <c r="S421" s="3"/>
      <c r="T421" t="s">
        <v>9938</v>
      </c>
      <c r="U421" t="s">
        <v>6052</v>
      </c>
      <c r="V421" t="s">
        <v>7562</v>
      </c>
      <c r="W421" t="s">
        <v>5857</v>
      </c>
      <c r="X421" s="2">
        <v>425</v>
      </c>
      <c r="Y421" t="s">
        <v>5858</v>
      </c>
      <c r="Z421" t="s">
        <v>6037</v>
      </c>
      <c r="AA421" s="2">
        <v>0</v>
      </c>
      <c r="AB421" t="s">
        <v>5859</v>
      </c>
      <c r="AC421" t="s">
        <v>9974</v>
      </c>
      <c r="AD421" s="32">
        <v>43278</v>
      </c>
      <c r="AJ421" t="s">
        <v>9958</v>
      </c>
      <c r="AL421" t="s">
        <v>10728</v>
      </c>
    </row>
    <row r="422" spans="1:38">
      <c r="A422" t="s">
        <v>7552</v>
      </c>
      <c r="B422" t="s">
        <v>11846</v>
      </c>
      <c r="C422" t="s">
        <v>7563</v>
      </c>
      <c r="D422" t="s">
        <v>7564</v>
      </c>
      <c r="E422" s="2">
        <v>325</v>
      </c>
      <c r="F422" s="2">
        <v>325</v>
      </c>
      <c r="G422" s="3">
        <v>43284</v>
      </c>
      <c r="H422" s="4">
        <v>0.57721064814815004</v>
      </c>
      <c r="I422" s="3">
        <v>43284</v>
      </c>
      <c r="J422" s="4">
        <v>0.60907407407406999</v>
      </c>
      <c r="K422" s="2">
        <v>4</v>
      </c>
      <c r="L422" t="s">
        <v>5856</v>
      </c>
      <c r="M422" t="s">
        <v>7565</v>
      </c>
      <c r="N422" s="3">
        <v>43277</v>
      </c>
      <c r="O422" s="3">
        <v>43286</v>
      </c>
      <c r="P422" t="s">
        <v>7136</v>
      </c>
      <c r="Q422" t="s">
        <v>6038</v>
      </c>
      <c r="R422" t="s">
        <v>6039</v>
      </c>
      <c r="S422" s="3"/>
      <c r="T422" t="s">
        <v>9938</v>
      </c>
      <c r="U422" t="s">
        <v>6052</v>
      </c>
      <c r="V422" t="s">
        <v>7566</v>
      </c>
      <c r="W422" t="s">
        <v>5857</v>
      </c>
      <c r="X422" s="2">
        <v>425</v>
      </c>
      <c r="Y422" t="s">
        <v>5858</v>
      </c>
      <c r="Z422" t="s">
        <v>6037</v>
      </c>
      <c r="AA422" s="2">
        <v>325</v>
      </c>
      <c r="AB422" t="s">
        <v>5863</v>
      </c>
      <c r="AC422" t="s">
        <v>9974</v>
      </c>
      <c r="AD422" s="32">
        <v>43272</v>
      </c>
      <c r="AJ422" t="s">
        <v>9958</v>
      </c>
      <c r="AL422" t="s">
        <v>10729</v>
      </c>
    </row>
    <row r="423" spans="1:38">
      <c r="A423" t="s">
        <v>7552</v>
      </c>
      <c r="B423" t="s">
        <v>11847</v>
      </c>
      <c r="C423" t="s">
        <v>6500</v>
      </c>
      <c r="D423" t="s">
        <v>6501</v>
      </c>
      <c r="E423" s="2">
        <v>100</v>
      </c>
      <c r="F423" s="2">
        <v>2100</v>
      </c>
      <c r="G423" s="3">
        <v>43285</v>
      </c>
      <c r="H423" s="4">
        <v>2.0833333333330002E-2</v>
      </c>
      <c r="I423" s="3">
        <v>43285</v>
      </c>
      <c r="J423" s="4">
        <v>0.22671296296296001</v>
      </c>
      <c r="K423" s="2">
        <v>20</v>
      </c>
      <c r="L423" t="s">
        <v>5856</v>
      </c>
      <c r="M423" t="s">
        <v>7322</v>
      </c>
      <c r="N423" s="3">
        <v>43290</v>
      </c>
      <c r="O423" s="3">
        <v>43287</v>
      </c>
      <c r="P423" t="s">
        <v>5911</v>
      </c>
      <c r="Q423" t="s">
        <v>6038</v>
      </c>
      <c r="R423" t="s">
        <v>6039</v>
      </c>
      <c r="S423" s="3"/>
      <c r="T423" t="s">
        <v>9938</v>
      </c>
      <c r="U423" t="s">
        <v>5923</v>
      </c>
      <c r="V423" t="s">
        <v>6503</v>
      </c>
      <c r="W423" t="s">
        <v>5857</v>
      </c>
      <c r="X423" s="2">
        <v>425</v>
      </c>
      <c r="Y423" t="s">
        <v>5858</v>
      </c>
      <c r="Z423" t="s">
        <v>6037</v>
      </c>
      <c r="AA423" s="2">
        <v>0</v>
      </c>
      <c r="AB423" t="s">
        <v>5859</v>
      </c>
      <c r="AC423" t="s">
        <v>9974</v>
      </c>
      <c r="AD423" s="32">
        <v>43199</v>
      </c>
      <c r="AI423" t="s">
        <v>9943</v>
      </c>
      <c r="AJ423" t="s">
        <v>9959</v>
      </c>
      <c r="AL423" t="s">
        <v>10730</v>
      </c>
    </row>
    <row r="424" spans="1:38">
      <c r="A424" t="s">
        <v>7552</v>
      </c>
      <c r="B424" t="s">
        <v>11848</v>
      </c>
      <c r="C424" t="s">
        <v>7568</v>
      </c>
      <c r="D424" t="s">
        <v>7569</v>
      </c>
      <c r="E424" s="2">
        <v>225</v>
      </c>
      <c r="F424" s="2">
        <v>225</v>
      </c>
      <c r="G424" s="3">
        <v>43285</v>
      </c>
      <c r="H424" s="4">
        <v>0.39217592592592998</v>
      </c>
      <c r="I424" s="3">
        <v>43285</v>
      </c>
      <c r="J424" s="4">
        <v>0.41423611111110997</v>
      </c>
      <c r="K424" s="2">
        <v>4</v>
      </c>
      <c r="L424" t="s">
        <v>5856</v>
      </c>
      <c r="M424" t="s">
        <v>7570</v>
      </c>
      <c r="N424" s="3">
        <v>43276</v>
      </c>
      <c r="O424" s="3">
        <v>43287</v>
      </c>
      <c r="P424" t="s">
        <v>5862</v>
      </c>
      <c r="Q424" t="s">
        <v>6038</v>
      </c>
      <c r="R424" t="s">
        <v>6039</v>
      </c>
      <c r="S424" s="3"/>
      <c r="T424" t="s">
        <v>9938</v>
      </c>
      <c r="U424" t="s">
        <v>7571</v>
      </c>
      <c r="V424" t="s">
        <v>7572</v>
      </c>
      <c r="W424" t="s">
        <v>5857</v>
      </c>
      <c r="X424" s="2">
        <v>425</v>
      </c>
      <c r="Y424" t="s">
        <v>5858</v>
      </c>
      <c r="Z424" t="s">
        <v>6037</v>
      </c>
      <c r="AA424" s="2">
        <v>225</v>
      </c>
      <c r="AB424" t="s">
        <v>5863</v>
      </c>
      <c r="AC424" t="s">
        <v>9976</v>
      </c>
      <c r="AD424" s="32">
        <v>43273</v>
      </c>
      <c r="AJ424" t="s">
        <v>9958</v>
      </c>
      <c r="AL424" t="s">
        <v>10731</v>
      </c>
    </row>
    <row r="425" spans="1:38">
      <c r="A425" t="s">
        <v>7552</v>
      </c>
      <c r="B425" t="s">
        <v>11744</v>
      </c>
      <c r="C425" t="s">
        <v>7180</v>
      </c>
      <c r="D425" t="s">
        <v>7181</v>
      </c>
      <c r="E425" s="2">
        <v>1000</v>
      </c>
      <c r="F425" s="2">
        <v>1000</v>
      </c>
      <c r="G425" s="3">
        <v>43285</v>
      </c>
      <c r="H425" s="4">
        <v>0.5625</v>
      </c>
      <c r="I425" s="3">
        <v>43285</v>
      </c>
      <c r="J425" s="4">
        <v>0.66054398148147997</v>
      </c>
      <c r="K425" s="2">
        <v>20</v>
      </c>
      <c r="L425" t="s">
        <v>5856</v>
      </c>
      <c r="M425" t="s">
        <v>6634</v>
      </c>
      <c r="N425" s="3">
        <v>43307</v>
      </c>
      <c r="O425" s="3">
        <v>43287</v>
      </c>
      <c r="P425" t="s">
        <v>5862</v>
      </c>
      <c r="Q425" t="s">
        <v>7182</v>
      </c>
      <c r="R425" t="s">
        <v>6036</v>
      </c>
      <c r="S425" s="3">
        <v>43307</v>
      </c>
      <c r="T425" t="s">
        <v>9938</v>
      </c>
      <c r="U425" t="s">
        <v>7183</v>
      </c>
      <c r="V425" t="s">
        <v>7184</v>
      </c>
      <c r="W425" t="s">
        <v>5857</v>
      </c>
      <c r="X425" s="2">
        <v>425</v>
      </c>
      <c r="Y425" t="s">
        <v>5858</v>
      </c>
      <c r="Z425" t="s">
        <v>6037</v>
      </c>
      <c r="AA425" s="2">
        <v>1000</v>
      </c>
      <c r="AB425" t="s">
        <v>5863</v>
      </c>
      <c r="AC425" t="s">
        <v>9974</v>
      </c>
      <c r="AD425" s="32">
        <v>43265</v>
      </c>
      <c r="AI425" t="s">
        <v>9943</v>
      </c>
      <c r="AL425" t="s">
        <v>10631</v>
      </c>
    </row>
    <row r="426" spans="1:38">
      <c r="A426" t="s">
        <v>7552</v>
      </c>
      <c r="B426" t="s">
        <v>11849</v>
      </c>
      <c r="C426" t="s">
        <v>7573</v>
      </c>
      <c r="D426" t="s">
        <v>7574</v>
      </c>
      <c r="E426" s="2">
        <v>50</v>
      </c>
      <c r="F426" s="2">
        <v>1050</v>
      </c>
      <c r="G426" s="3">
        <v>43286</v>
      </c>
      <c r="H426" s="4">
        <v>2.0833333333330002E-2</v>
      </c>
      <c r="I426" s="3">
        <v>43286</v>
      </c>
      <c r="J426" s="4">
        <v>0.12378472222222001</v>
      </c>
      <c r="K426" s="2">
        <v>20</v>
      </c>
      <c r="L426" t="s">
        <v>5856</v>
      </c>
      <c r="M426" t="s">
        <v>7348</v>
      </c>
      <c r="N426" s="3">
        <v>43290</v>
      </c>
      <c r="O426" s="3">
        <v>43288</v>
      </c>
      <c r="P426" t="s">
        <v>5911</v>
      </c>
      <c r="Q426" t="s">
        <v>6038</v>
      </c>
      <c r="R426" t="s">
        <v>6039</v>
      </c>
      <c r="S426" s="3"/>
      <c r="T426" t="s">
        <v>9938</v>
      </c>
      <c r="U426" t="s">
        <v>6052</v>
      </c>
      <c r="V426" t="s">
        <v>7575</v>
      </c>
      <c r="W426" t="s">
        <v>5857</v>
      </c>
      <c r="X426" s="2">
        <v>425</v>
      </c>
      <c r="Y426" t="s">
        <v>5858</v>
      </c>
      <c r="Z426" t="s">
        <v>6037</v>
      </c>
      <c r="AA426" s="2">
        <v>0</v>
      </c>
      <c r="AB426" t="s">
        <v>5859</v>
      </c>
      <c r="AC426" t="s">
        <v>9974</v>
      </c>
      <c r="AD426" s="32">
        <v>43262</v>
      </c>
      <c r="AJ426" t="s">
        <v>9958</v>
      </c>
      <c r="AL426" t="s">
        <v>10732</v>
      </c>
    </row>
    <row r="427" spans="1:38">
      <c r="A427" t="s">
        <v>7552</v>
      </c>
      <c r="B427" t="s">
        <v>11850</v>
      </c>
      <c r="C427" t="s">
        <v>7576</v>
      </c>
      <c r="D427" t="s">
        <v>7577</v>
      </c>
      <c r="E427" s="2">
        <v>50</v>
      </c>
      <c r="F427" s="2">
        <v>1050</v>
      </c>
      <c r="G427" s="3">
        <v>43286</v>
      </c>
      <c r="H427" s="4">
        <v>2.0833333333330002E-2</v>
      </c>
      <c r="I427" s="3">
        <v>43286</v>
      </c>
      <c r="J427" s="4">
        <v>0.12378472222222001</v>
      </c>
      <c r="K427" s="2">
        <v>0</v>
      </c>
      <c r="L427" t="s">
        <v>5856</v>
      </c>
      <c r="M427" t="s">
        <v>7348</v>
      </c>
      <c r="N427" s="3">
        <v>43291</v>
      </c>
      <c r="O427" s="3">
        <v>43288</v>
      </c>
      <c r="P427" t="s">
        <v>5862</v>
      </c>
      <c r="Q427" t="s">
        <v>6038</v>
      </c>
      <c r="R427" t="s">
        <v>6039</v>
      </c>
      <c r="S427" s="3"/>
      <c r="T427" t="s">
        <v>9938</v>
      </c>
      <c r="U427" t="s">
        <v>6052</v>
      </c>
      <c r="V427" t="s">
        <v>7579</v>
      </c>
      <c r="W427" t="s">
        <v>5857</v>
      </c>
      <c r="X427" s="2">
        <v>425</v>
      </c>
      <c r="Y427" t="s">
        <v>5858</v>
      </c>
      <c r="Z427" t="s">
        <v>6037</v>
      </c>
      <c r="AA427" s="2">
        <v>0</v>
      </c>
      <c r="AB427" t="s">
        <v>5859</v>
      </c>
      <c r="AC427" t="s">
        <v>9974</v>
      </c>
      <c r="AD427" s="32">
        <v>43270</v>
      </c>
      <c r="AJ427" t="s">
        <v>9958</v>
      </c>
      <c r="AL427" t="s">
        <v>10733</v>
      </c>
    </row>
    <row r="428" spans="1:38">
      <c r="A428" t="s">
        <v>7552</v>
      </c>
      <c r="B428" t="s">
        <v>11851</v>
      </c>
      <c r="C428" t="s">
        <v>7580</v>
      </c>
      <c r="D428" t="s">
        <v>7581</v>
      </c>
      <c r="E428" s="5">
        <v>48.75</v>
      </c>
      <c r="F428" s="5">
        <v>1023.75</v>
      </c>
      <c r="G428" s="3">
        <v>43287</v>
      </c>
      <c r="H428" s="4">
        <v>2.0833333333330002E-2</v>
      </c>
      <c r="I428" s="3">
        <v>43287</v>
      </c>
      <c r="J428" s="4">
        <v>0.1212037037037</v>
      </c>
      <c r="K428" s="2">
        <v>0</v>
      </c>
      <c r="L428" t="s">
        <v>5856</v>
      </c>
      <c r="M428" t="s">
        <v>7582</v>
      </c>
      <c r="N428" s="3">
        <v>43290</v>
      </c>
      <c r="O428" s="3">
        <v>43289</v>
      </c>
      <c r="P428" t="s">
        <v>5960</v>
      </c>
      <c r="Q428" t="s">
        <v>6038</v>
      </c>
      <c r="R428" t="s">
        <v>6039</v>
      </c>
      <c r="S428" s="3"/>
      <c r="T428" t="s">
        <v>9938</v>
      </c>
      <c r="U428" t="s">
        <v>6582</v>
      </c>
      <c r="V428" t="s">
        <v>7583</v>
      </c>
      <c r="W428" t="s">
        <v>5857</v>
      </c>
      <c r="X428" s="2">
        <v>425</v>
      </c>
      <c r="Y428" t="s">
        <v>5858</v>
      </c>
      <c r="Z428" t="s">
        <v>6037</v>
      </c>
      <c r="AA428" s="2">
        <v>0</v>
      </c>
      <c r="AB428" t="s">
        <v>5859</v>
      </c>
      <c r="AC428" t="s">
        <v>9976</v>
      </c>
      <c r="AD428" s="32">
        <v>43262</v>
      </c>
      <c r="AJ428" t="s">
        <v>9958</v>
      </c>
      <c r="AL428" t="s">
        <v>10734</v>
      </c>
    </row>
    <row r="429" spans="1:38">
      <c r="A429" t="s">
        <v>7552</v>
      </c>
      <c r="B429" t="s">
        <v>11862</v>
      </c>
      <c r="C429" t="s">
        <v>6080</v>
      </c>
      <c r="D429" t="s">
        <v>5984</v>
      </c>
      <c r="E429" s="2">
        <v>10000</v>
      </c>
      <c r="F429" s="2">
        <v>10000</v>
      </c>
      <c r="G429" s="3">
        <v>43287</v>
      </c>
      <c r="H429" s="4">
        <v>0.43821759259259002</v>
      </c>
      <c r="I429" s="3">
        <v>43288</v>
      </c>
      <c r="J429" s="4">
        <v>0.41861111111110999</v>
      </c>
      <c r="K429" s="2">
        <v>20</v>
      </c>
      <c r="L429" t="s">
        <v>5856</v>
      </c>
      <c r="M429" t="s">
        <v>7487</v>
      </c>
      <c r="N429" s="3">
        <v>43299</v>
      </c>
      <c r="O429" s="3">
        <v>43290</v>
      </c>
      <c r="P429" t="s">
        <v>5911</v>
      </c>
      <c r="Q429" t="s">
        <v>7617</v>
      </c>
      <c r="R429" t="s">
        <v>6036</v>
      </c>
      <c r="S429" s="3">
        <v>43299</v>
      </c>
      <c r="T429" t="s">
        <v>9938</v>
      </c>
      <c r="U429" t="s">
        <v>5985</v>
      </c>
      <c r="V429" t="s">
        <v>5986</v>
      </c>
      <c r="W429" t="s">
        <v>5857</v>
      </c>
      <c r="X429" s="2">
        <v>425</v>
      </c>
      <c r="Y429" t="s">
        <v>5858</v>
      </c>
      <c r="Z429" t="s">
        <v>6037</v>
      </c>
      <c r="AA429" s="2">
        <v>10000</v>
      </c>
      <c r="AB429" t="s">
        <v>5863</v>
      </c>
      <c r="AC429" t="s">
        <v>9974</v>
      </c>
      <c r="AD429" s="32">
        <v>43271</v>
      </c>
      <c r="AJ429" t="s">
        <v>9958</v>
      </c>
      <c r="AL429" t="s">
        <v>10743</v>
      </c>
    </row>
    <row r="430" spans="1:38">
      <c r="A430" t="s">
        <v>7552</v>
      </c>
      <c r="B430" t="s">
        <v>11852</v>
      </c>
      <c r="C430" t="s">
        <v>7584</v>
      </c>
      <c r="D430" t="s">
        <v>7585</v>
      </c>
      <c r="E430" s="2">
        <v>50</v>
      </c>
      <c r="F430" s="2">
        <v>1050</v>
      </c>
      <c r="G430" s="3">
        <v>43288</v>
      </c>
      <c r="H430" s="4">
        <v>0.24754629629630001</v>
      </c>
      <c r="I430" s="3">
        <v>43288</v>
      </c>
      <c r="J430" s="4">
        <v>0.35049768518518998</v>
      </c>
      <c r="K430" s="2">
        <v>0</v>
      </c>
      <c r="L430" t="s">
        <v>5856</v>
      </c>
      <c r="M430" t="s">
        <v>7348</v>
      </c>
      <c r="N430" s="3">
        <v>43290</v>
      </c>
      <c r="O430" s="3">
        <v>43290</v>
      </c>
      <c r="P430" t="s">
        <v>6580</v>
      </c>
      <c r="Q430" t="s">
        <v>6038</v>
      </c>
      <c r="R430" t="s">
        <v>6039</v>
      </c>
      <c r="S430" s="3"/>
      <c r="T430" t="s">
        <v>9938</v>
      </c>
      <c r="U430" t="s">
        <v>6582</v>
      </c>
      <c r="V430" t="s">
        <v>7586</v>
      </c>
      <c r="W430" t="s">
        <v>5857</v>
      </c>
      <c r="X430" s="2">
        <v>425</v>
      </c>
      <c r="Y430" t="s">
        <v>5858</v>
      </c>
      <c r="Z430" t="s">
        <v>6037</v>
      </c>
      <c r="AA430" s="2">
        <v>0</v>
      </c>
      <c r="AB430" t="s">
        <v>5859</v>
      </c>
      <c r="AC430" t="s">
        <v>9976</v>
      </c>
      <c r="AD430" s="32">
        <v>43262</v>
      </c>
      <c r="AJ430" t="s">
        <v>9958</v>
      </c>
      <c r="AL430" t="s">
        <v>10735</v>
      </c>
    </row>
    <row r="431" spans="1:38">
      <c r="A431" t="s">
        <v>7552</v>
      </c>
      <c r="B431" t="s">
        <v>11856</v>
      </c>
      <c r="C431" t="s">
        <v>7599</v>
      </c>
      <c r="D431" t="s">
        <v>7600</v>
      </c>
      <c r="E431" s="2">
        <v>2100</v>
      </c>
      <c r="F431" s="2">
        <v>2100</v>
      </c>
      <c r="G431" s="3">
        <v>43288</v>
      </c>
      <c r="H431" s="4">
        <v>0.43944444444443997</v>
      </c>
      <c r="I431" s="3">
        <v>43288</v>
      </c>
      <c r="J431" s="4">
        <v>0.64532407407407</v>
      </c>
      <c r="K431" s="2">
        <v>0</v>
      </c>
      <c r="L431" t="s">
        <v>5856</v>
      </c>
      <c r="M431" t="s">
        <v>7322</v>
      </c>
      <c r="N431" s="3">
        <v>43291</v>
      </c>
      <c r="O431" s="3">
        <v>43290</v>
      </c>
      <c r="P431" t="s">
        <v>5994</v>
      </c>
      <c r="Q431" t="s">
        <v>7601</v>
      </c>
      <c r="R431" t="s">
        <v>6036</v>
      </c>
      <c r="S431" s="3">
        <v>43291</v>
      </c>
      <c r="T431" t="s">
        <v>9938</v>
      </c>
      <c r="U431" t="s">
        <v>6705</v>
      </c>
      <c r="V431" t="s">
        <v>7602</v>
      </c>
      <c r="W431" t="s">
        <v>5857</v>
      </c>
      <c r="X431" s="2">
        <v>425</v>
      </c>
      <c r="Y431" t="s">
        <v>5858</v>
      </c>
      <c r="Z431" t="s">
        <v>6037</v>
      </c>
      <c r="AA431" s="2">
        <v>2000</v>
      </c>
      <c r="AB431" t="s">
        <v>5859</v>
      </c>
      <c r="AC431" t="s">
        <v>9976</v>
      </c>
      <c r="AD431" s="32">
        <v>43265</v>
      </c>
      <c r="AI431" t="s">
        <v>9946</v>
      </c>
      <c r="AJ431" t="s">
        <v>9958</v>
      </c>
      <c r="AL431" t="s">
        <v>10738</v>
      </c>
    </row>
    <row r="432" spans="1:38">
      <c r="A432" t="s">
        <v>7552</v>
      </c>
      <c r="B432" t="s">
        <v>11854</v>
      </c>
      <c r="C432" t="s">
        <v>7591</v>
      </c>
      <c r="D432" t="s">
        <v>7592</v>
      </c>
      <c r="E432" s="2">
        <v>1050</v>
      </c>
      <c r="F432" s="2">
        <v>1050</v>
      </c>
      <c r="G432" s="3">
        <v>43288</v>
      </c>
      <c r="H432" s="4">
        <v>0.78994212962962995</v>
      </c>
      <c r="I432" s="3">
        <v>43288</v>
      </c>
      <c r="J432" s="4">
        <v>0.89289351851851995</v>
      </c>
      <c r="K432" s="2">
        <v>0</v>
      </c>
      <c r="L432" t="s">
        <v>5856</v>
      </c>
      <c r="M432" t="s">
        <v>7348</v>
      </c>
      <c r="N432" s="3">
        <v>43291</v>
      </c>
      <c r="O432" s="3">
        <v>43290</v>
      </c>
      <c r="P432" t="s">
        <v>5964</v>
      </c>
      <c r="Q432" t="s">
        <v>7593</v>
      </c>
      <c r="R432" t="s">
        <v>6036</v>
      </c>
      <c r="S432" s="3">
        <v>43291</v>
      </c>
      <c r="T432" t="s">
        <v>9938</v>
      </c>
      <c r="U432" t="s">
        <v>5893</v>
      </c>
      <c r="V432" t="s">
        <v>7594</v>
      </c>
      <c r="W432" t="s">
        <v>5857</v>
      </c>
      <c r="X432" s="2">
        <v>425</v>
      </c>
      <c r="Y432" t="s">
        <v>5858</v>
      </c>
      <c r="Z432" t="s">
        <v>6037</v>
      </c>
      <c r="AA432" s="2">
        <v>1000</v>
      </c>
      <c r="AB432" t="s">
        <v>5859</v>
      </c>
      <c r="AC432" t="s">
        <v>9978</v>
      </c>
      <c r="AD432" s="32">
        <v>43263</v>
      </c>
      <c r="AI432" t="s">
        <v>9943</v>
      </c>
      <c r="AJ432" t="s">
        <v>9958</v>
      </c>
      <c r="AL432" t="s">
        <v>10737</v>
      </c>
    </row>
    <row r="433" spans="1:38">
      <c r="A433" t="s">
        <v>7552</v>
      </c>
      <c r="B433" t="s">
        <v>11855</v>
      </c>
      <c r="C433" t="s">
        <v>7595</v>
      </c>
      <c r="D433" t="s">
        <v>7596</v>
      </c>
      <c r="E433" s="5">
        <v>2598.75</v>
      </c>
      <c r="F433" s="5">
        <v>2598.75</v>
      </c>
      <c r="G433" s="3">
        <v>43288</v>
      </c>
      <c r="H433" s="4">
        <v>0.91372685185184999</v>
      </c>
      <c r="I433" s="3">
        <v>43289</v>
      </c>
      <c r="J433" s="4">
        <v>0.16850694444444</v>
      </c>
      <c r="K433" s="2">
        <v>20</v>
      </c>
      <c r="L433" t="s">
        <v>5856</v>
      </c>
      <c r="M433" t="s">
        <v>13064</v>
      </c>
      <c r="N433" s="3">
        <v>43292</v>
      </c>
      <c r="O433" s="3">
        <v>43291</v>
      </c>
      <c r="P433" t="s">
        <v>5862</v>
      </c>
      <c r="Q433" t="s">
        <v>7597</v>
      </c>
      <c r="R433" t="s">
        <v>6036</v>
      </c>
      <c r="S433" s="3">
        <v>43292</v>
      </c>
      <c r="T433" t="s">
        <v>9938</v>
      </c>
      <c r="U433" t="s">
        <v>6555</v>
      </c>
      <c r="V433" t="s">
        <v>7598</v>
      </c>
      <c r="W433" t="s">
        <v>5857</v>
      </c>
      <c r="X433" s="2">
        <v>425</v>
      </c>
      <c r="Y433" t="s">
        <v>5858</v>
      </c>
      <c r="Z433" t="s">
        <v>6037</v>
      </c>
      <c r="AA433" s="2">
        <v>2475</v>
      </c>
      <c r="AB433" t="s">
        <v>5859</v>
      </c>
      <c r="AC433" t="s">
        <v>9978</v>
      </c>
      <c r="AD433" s="32">
        <v>43257</v>
      </c>
      <c r="AJ433" t="s">
        <v>9958</v>
      </c>
      <c r="AL433" t="s">
        <v>13929</v>
      </c>
    </row>
    <row r="434" spans="1:38">
      <c r="A434" t="s">
        <v>7552</v>
      </c>
      <c r="B434" t="s">
        <v>11858</v>
      </c>
      <c r="C434" t="s">
        <v>7607</v>
      </c>
      <c r="D434" t="s">
        <v>7608</v>
      </c>
      <c r="E434" s="2">
        <v>50</v>
      </c>
      <c r="F434" s="2">
        <v>1050</v>
      </c>
      <c r="G434" s="3">
        <v>43289</v>
      </c>
      <c r="H434" s="4">
        <v>8.58912037037E-2</v>
      </c>
      <c r="I434" s="3">
        <v>43289</v>
      </c>
      <c r="J434" s="4">
        <v>0.18884259259259001</v>
      </c>
      <c r="K434" s="2">
        <v>0</v>
      </c>
      <c r="L434" t="s">
        <v>5856</v>
      </c>
      <c r="M434" t="s">
        <v>7348</v>
      </c>
      <c r="N434" s="3">
        <v>43292</v>
      </c>
      <c r="O434" s="3">
        <v>43291</v>
      </c>
      <c r="P434" t="s">
        <v>6580</v>
      </c>
      <c r="Q434" t="s">
        <v>6038</v>
      </c>
      <c r="R434" t="s">
        <v>6039</v>
      </c>
      <c r="S434" s="3"/>
      <c r="T434" t="s">
        <v>9938</v>
      </c>
      <c r="U434" t="s">
        <v>6052</v>
      </c>
      <c r="V434" t="s">
        <v>7609</v>
      </c>
      <c r="W434" t="s">
        <v>6038</v>
      </c>
      <c r="X434" s="2">
        <v>425</v>
      </c>
      <c r="Y434" t="s">
        <v>5858</v>
      </c>
      <c r="Z434" t="s">
        <v>6037</v>
      </c>
      <c r="AA434" s="2">
        <v>0</v>
      </c>
      <c r="AB434" t="s">
        <v>5859</v>
      </c>
      <c r="AC434" t="s">
        <v>9974</v>
      </c>
      <c r="AD434" s="32">
        <v>43272</v>
      </c>
      <c r="AJ434" t="s">
        <v>9958</v>
      </c>
      <c r="AL434" t="s">
        <v>10740</v>
      </c>
    </row>
    <row r="435" spans="1:38">
      <c r="A435" t="s">
        <v>7552</v>
      </c>
      <c r="B435" t="s">
        <v>11857</v>
      </c>
      <c r="C435" t="s">
        <v>7603</v>
      </c>
      <c r="D435" t="s">
        <v>7604</v>
      </c>
      <c r="E435" s="2">
        <v>1050</v>
      </c>
      <c r="F435" s="2">
        <v>1050</v>
      </c>
      <c r="G435" s="3">
        <v>43289</v>
      </c>
      <c r="H435" s="4">
        <v>0.18934027777778001</v>
      </c>
      <c r="I435" s="3">
        <v>43289</v>
      </c>
      <c r="J435" s="4">
        <v>0.29229166666667</v>
      </c>
      <c r="K435" s="2">
        <v>20</v>
      </c>
      <c r="L435" t="s">
        <v>5856</v>
      </c>
      <c r="M435" t="s">
        <v>7348</v>
      </c>
      <c r="N435" s="3">
        <v>43299</v>
      </c>
      <c r="O435" s="3">
        <v>43291</v>
      </c>
      <c r="P435" t="s">
        <v>5913</v>
      </c>
      <c r="Q435" t="s">
        <v>7605</v>
      </c>
      <c r="R435" t="s">
        <v>6036</v>
      </c>
      <c r="S435" s="3">
        <v>43299</v>
      </c>
      <c r="T435" t="s">
        <v>9938</v>
      </c>
      <c r="U435" t="s">
        <v>6063</v>
      </c>
      <c r="V435" t="s">
        <v>7606</v>
      </c>
      <c r="W435" t="s">
        <v>5857</v>
      </c>
      <c r="X435" s="2">
        <v>425</v>
      </c>
      <c r="Y435" t="s">
        <v>5858</v>
      </c>
      <c r="Z435" t="s">
        <v>6037</v>
      </c>
      <c r="AA435" s="2">
        <v>1000</v>
      </c>
      <c r="AB435" t="s">
        <v>5859</v>
      </c>
      <c r="AC435" t="s">
        <v>9974</v>
      </c>
      <c r="AD435" s="32">
        <v>43276</v>
      </c>
      <c r="AJ435" t="s">
        <v>9958</v>
      </c>
      <c r="AL435" t="s">
        <v>10739</v>
      </c>
    </row>
    <row r="436" spans="1:38">
      <c r="A436" t="s">
        <v>7552</v>
      </c>
      <c r="B436" t="s">
        <v>11865</v>
      </c>
      <c r="C436" t="s">
        <v>7626</v>
      </c>
      <c r="D436" t="s">
        <v>7627</v>
      </c>
      <c r="E436" s="5">
        <v>10473.749</v>
      </c>
      <c r="F436" s="5">
        <v>10473.749</v>
      </c>
      <c r="G436" s="3">
        <v>43289</v>
      </c>
      <c r="H436" s="4">
        <v>0.31312499999999999</v>
      </c>
      <c r="I436" s="3">
        <v>43290</v>
      </c>
      <c r="J436" s="4">
        <v>0.33996527777778002</v>
      </c>
      <c r="K436" s="2">
        <v>0</v>
      </c>
      <c r="L436" t="s">
        <v>5856</v>
      </c>
      <c r="M436" t="s">
        <v>7628</v>
      </c>
      <c r="N436" s="3">
        <v>43300</v>
      </c>
      <c r="O436" s="3">
        <v>43292</v>
      </c>
      <c r="P436" t="s">
        <v>5870</v>
      </c>
      <c r="Q436" t="s">
        <v>7629</v>
      </c>
      <c r="R436" t="s">
        <v>6036</v>
      </c>
      <c r="S436" s="3">
        <v>43300</v>
      </c>
      <c r="T436" t="s">
        <v>9938</v>
      </c>
      <c r="U436" t="s">
        <v>7630</v>
      </c>
      <c r="V436" t="s">
        <v>5986</v>
      </c>
      <c r="W436" t="s">
        <v>5857</v>
      </c>
      <c r="X436" s="2">
        <v>425</v>
      </c>
      <c r="Y436" t="s">
        <v>5858</v>
      </c>
      <c r="Z436" t="s">
        <v>6037</v>
      </c>
      <c r="AA436" s="2">
        <v>9975</v>
      </c>
      <c r="AB436" t="s">
        <v>5863</v>
      </c>
      <c r="AC436" t="s">
        <v>9974</v>
      </c>
      <c r="AD436" s="32">
        <v>43272</v>
      </c>
      <c r="AJ436" t="s">
        <v>9958</v>
      </c>
      <c r="AL436" t="s">
        <v>10745</v>
      </c>
    </row>
    <row r="437" spans="1:38">
      <c r="A437" t="s">
        <v>7552</v>
      </c>
      <c r="B437" t="s">
        <v>11859</v>
      </c>
      <c r="C437" t="s">
        <v>7610</v>
      </c>
      <c r="D437" t="s">
        <v>7611</v>
      </c>
      <c r="E437" s="2">
        <v>125</v>
      </c>
      <c r="F437" s="2">
        <v>2100</v>
      </c>
      <c r="G437" s="3">
        <v>43290</v>
      </c>
      <c r="H437" s="4">
        <v>2.0833333333330002E-2</v>
      </c>
      <c r="I437" s="3">
        <v>43290</v>
      </c>
      <c r="J437" s="4">
        <v>0.22671296296296001</v>
      </c>
      <c r="K437" s="2">
        <v>20</v>
      </c>
      <c r="L437" t="s">
        <v>5856</v>
      </c>
      <c r="M437" t="s">
        <v>7322</v>
      </c>
      <c r="N437" s="3">
        <v>43291</v>
      </c>
      <c r="O437" s="3">
        <v>43292</v>
      </c>
      <c r="P437" t="s">
        <v>5992</v>
      </c>
      <c r="Q437" t="s">
        <v>7612</v>
      </c>
      <c r="R437" t="s">
        <v>6036</v>
      </c>
      <c r="S437" s="3">
        <v>43291</v>
      </c>
      <c r="T437" t="s">
        <v>9938</v>
      </c>
      <c r="U437" t="s">
        <v>5953</v>
      </c>
      <c r="V437" t="s">
        <v>7613</v>
      </c>
      <c r="W437" t="s">
        <v>5857</v>
      </c>
      <c r="X437" s="2">
        <v>425</v>
      </c>
      <c r="Y437" t="s">
        <v>5858</v>
      </c>
      <c r="Z437" t="s">
        <v>6037</v>
      </c>
      <c r="AA437" s="2">
        <v>25</v>
      </c>
      <c r="AB437" t="s">
        <v>5859</v>
      </c>
      <c r="AC437" t="s">
        <v>9974</v>
      </c>
      <c r="AD437" s="32">
        <v>43218</v>
      </c>
      <c r="AJ437" t="s">
        <v>9959</v>
      </c>
      <c r="AL437" t="s">
        <v>10741</v>
      </c>
    </row>
    <row r="438" spans="1:38">
      <c r="A438" t="s">
        <v>7552</v>
      </c>
      <c r="B438" t="s">
        <v>11853</v>
      </c>
      <c r="C438" t="s">
        <v>7587</v>
      </c>
      <c r="D438" t="s">
        <v>7588</v>
      </c>
      <c r="E438" s="2">
        <v>140</v>
      </c>
      <c r="F438" s="2">
        <v>2940</v>
      </c>
      <c r="G438" s="3">
        <v>43290</v>
      </c>
      <c r="H438" s="4">
        <v>0.48458333333332998</v>
      </c>
      <c r="I438" s="3">
        <v>43290</v>
      </c>
      <c r="J438" s="4">
        <v>0.77282407407407006</v>
      </c>
      <c r="K438" s="2">
        <v>20</v>
      </c>
      <c r="L438" t="s">
        <v>5856</v>
      </c>
      <c r="M438" t="s">
        <v>7589</v>
      </c>
      <c r="N438" s="3">
        <v>43291</v>
      </c>
      <c r="O438" s="3">
        <v>43292</v>
      </c>
      <c r="P438" t="s">
        <v>5911</v>
      </c>
      <c r="Q438" t="s">
        <v>6038</v>
      </c>
      <c r="R438" t="s">
        <v>6039</v>
      </c>
      <c r="S438" s="3"/>
      <c r="T438" t="s">
        <v>9938</v>
      </c>
      <c r="U438" t="s">
        <v>6093</v>
      </c>
      <c r="V438" t="s">
        <v>7590</v>
      </c>
      <c r="W438" t="s">
        <v>5857</v>
      </c>
      <c r="X438" s="2">
        <v>425</v>
      </c>
      <c r="Y438" t="s">
        <v>5858</v>
      </c>
      <c r="Z438" t="s">
        <v>6037</v>
      </c>
      <c r="AA438" s="2">
        <v>0</v>
      </c>
      <c r="AB438" t="s">
        <v>5859</v>
      </c>
      <c r="AC438" t="s">
        <v>9974</v>
      </c>
      <c r="AD438" s="32">
        <v>43272</v>
      </c>
      <c r="AJ438" t="s">
        <v>9959</v>
      </c>
      <c r="AL438" t="s">
        <v>10736</v>
      </c>
    </row>
    <row r="439" spans="1:38">
      <c r="A439" t="s">
        <v>7552</v>
      </c>
      <c r="B439" t="s">
        <v>11864</v>
      </c>
      <c r="C439" t="s">
        <v>7622</v>
      </c>
      <c r="D439" t="s">
        <v>7623</v>
      </c>
      <c r="E439" s="2">
        <v>1050</v>
      </c>
      <c r="F439" s="2">
        <v>1050</v>
      </c>
      <c r="G439" s="3">
        <v>43295</v>
      </c>
      <c r="H439" s="4">
        <v>0.49483796296296001</v>
      </c>
      <c r="I439" s="3">
        <v>43295</v>
      </c>
      <c r="J439" s="4">
        <v>0.59777777777777996</v>
      </c>
      <c r="K439" s="2">
        <v>0</v>
      </c>
      <c r="L439" t="s">
        <v>5856</v>
      </c>
      <c r="M439" t="s">
        <v>7405</v>
      </c>
      <c r="N439" s="3">
        <v>43297</v>
      </c>
      <c r="O439" s="3">
        <v>43297</v>
      </c>
      <c r="P439" t="s">
        <v>5960</v>
      </c>
      <c r="Q439" t="s">
        <v>7624</v>
      </c>
      <c r="R439" t="s">
        <v>6036</v>
      </c>
      <c r="S439" s="3">
        <v>43297</v>
      </c>
      <c r="T439" t="s">
        <v>9938</v>
      </c>
      <c r="U439" t="s">
        <v>5956</v>
      </c>
      <c r="V439" t="s">
        <v>7625</v>
      </c>
      <c r="W439" t="s">
        <v>5857</v>
      </c>
      <c r="X439" s="2">
        <v>425</v>
      </c>
      <c r="Y439" t="s">
        <v>5858</v>
      </c>
      <c r="Z439" t="s">
        <v>6037</v>
      </c>
      <c r="AA439" s="2">
        <v>1000</v>
      </c>
      <c r="AB439" t="s">
        <v>5863</v>
      </c>
      <c r="AC439" t="s">
        <v>9976</v>
      </c>
      <c r="AD439" s="32">
        <v>43276</v>
      </c>
      <c r="AJ439" t="s">
        <v>9958</v>
      </c>
      <c r="AL439" t="s">
        <v>10744</v>
      </c>
    </row>
    <row r="440" spans="1:38">
      <c r="A440" t="s">
        <v>7552</v>
      </c>
      <c r="B440" t="s">
        <v>11861</v>
      </c>
      <c r="C440" t="s">
        <v>7052</v>
      </c>
      <c r="D440" t="s">
        <v>7053</v>
      </c>
      <c r="E440" s="5">
        <v>1732.5</v>
      </c>
      <c r="F440" s="5">
        <v>1732.5</v>
      </c>
      <c r="G440" s="3">
        <v>43295</v>
      </c>
      <c r="H440" s="4">
        <v>0.61861111111111</v>
      </c>
      <c r="I440" s="3">
        <v>43295</v>
      </c>
      <c r="J440" s="4">
        <v>0.78846064814814998</v>
      </c>
      <c r="K440" s="2">
        <v>0</v>
      </c>
      <c r="L440" t="s">
        <v>5856</v>
      </c>
      <c r="M440" t="s">
        <v>7615</v>
      </c>
      <c r="N440" s="3">
        <v>43298</v>
      </c>
      <c r="O440" s="3">
        <v>43297</v>
      </c>
      <c r="P440" t="s">
        <v>5862</v>
      </c>
      <c r="Q440" t="s">
        <v>7616</v>
      </c>
      <c r="R440" t="s">
        <v>6036</v>
      </c>
      <c r="S440" s="3">
        <v>43298</v>
      </c>
      <c r="T440" t="s">
        <v>9938</v>
      </c>
      <c r="U440" t="s">
        <v>6582</v>
      </c>
      <c r="V440" t="s">
        <v>7055</v>
      </c>
      <c r="W440" t="s">
        <v>5857</v>
      </c>
      <c r="X440" s="2">
        <v>425</v>
      </c>
      <c r="Y440" t="s">
        <v>5858</v>
      </c>
      <c r="Z440" t="s">
        <v>6037</v>
      </c>
      <c r="AA440" s="2">
        <v>1650</v>
      </c>
      <c r="AB440" t="s">
        <v>5863</v>
      </c>
      <c r="AC440" t="s">
        <v>9976</v>
      </c>
      <c r="AD440" s="32">
        <v>43277</v>
      </c>
      <c r="AJ440" t="s">
        <v>9958</v>
      </c>
      <c r="AL440" t="s">
        <v>10742</v>
      </c>
    </row>
    <row r="441" spans="1:38">
      <c r="A441" t="s">
        <v>7552</v>
      </c>
      <c r="B441" t="s">
        <v>12108</v>
      </c>
      <c r="C441" t="s">
        <v>8280</v>
      </c>
      <c r="D441" t="s">
        <v>8281</v>
      </c>
      <c r="E441" s="5">
        <v>2073.75</v>
      </c>
      <c r="F441" s="5">
        <v>2073.75</v>
      </c>
      <c r="G441" s="3">
        <v>43296</v>
      </c>
      <c r="H441" s="4">
        <v>2.0833333333330002E-2</v>
      </c>
      <c r="I441" s="3">
        <v>43296</v>
      </c>
      <c r="J441" s="4">
        <v>0.22413194444444001</v>
      </c>
      <c r="K441" s="2">
        <v>20</v>
      </c>
      <c r="L441" t="s">
        <v>5856</v>
      </c>
      <c r="M441" t="s">
        <v>13065</v>
      </c>
      <c r="N441" s="3">
        <v>43291</v>
      </c>
      <c r="O441" s="3">
        <v>43298</v>
      </c>
      <c r="P441" t="s">
        <v>5881</v>
      </c>
      <c r="Q441" t="s">
        <v>8282</v>
      </c>
      <c r="R441" t="s">
        <v>6036</v>
      </c>
      <c r="S441" s="3">
        <v>43291</v>
      </c>
      <c r="T441" t="s">
        <v>9938</v>
      </c>
      <c r="U441" t="s">
        <v>8090</v>
      </c>
      <c r="V441" t="s">
        <v>8283</v>
      </c>
      <c r="W441" t="s">
        <v>5857</v>
      </c>
      <c r="X441" s="2">
        <v>425</v>
      </c>
      <c r="Y441" t="s">
        <v>5858</v>
      </c>
      <c r="Z441" t="s">
        <v>6037</v>
      </c>
      <c r="AA441" s="2">
        <v>1975</v>
      </c>
      <c r="AB441" t="s">
        <v>5859</v>
      </c>
      <c r="AC441" t="s">
        <v>9978</v>
      </c>
      <c r="AD441" s="32">
        <v>43218</v>
      </c>
      <c r="AI441" t="s">
        <v>9949</v>
      </c>
      <c r="AJ441" t="s">
        <v>9958</v>
      </c>
      <c r="AL441" t="s">
        <v>13930</v>
      </c>
    </row>
    <row r="442" spans="1:38">
      <c r="A442" t="s">
        <v>7552</v>
      </c>
      <c r="B442" t="s">
        <v>12222</v>
      </c>
      <c r="C442" t="s">
        <v>7721</v>
      </c>
      <c r="D442" t="s">
        <v>7722</v>
      </c>
      <c r="E442" s="2">
        <v>2100</v>
      </c>
      <c r="F442" s="2">
        <v>2100</v>
      </c>
      <c r="G442" s="3">
        <v>43298</v>
      </c>
      <c r="H442" s="4">
        <v>0.23159722222222001</v>
      </c>
      <c r="I442" s="3">
        <v>43298</v>
      </c>
      <c r="J442" s="4">
        <v>0.43747685185184998</v>
      </c>
      <c r="K442" s="2">
        <v>20</v>
      </c>
      <c r="L442" t="s">
        <v>5856</v>
      </c>
      <c r="M442" t="s">
        <v>7322</v>
      </c>
      <c r="N442" s="3">
        <v>43298</v>
      </c>
      <c r="O442" s="3">
        <v>43300</v>
      </c>
      <c r="P442" t="s">
        <v>5862</v>
      </c>
      <c r="Q442" t="s">
        <v>8518</v>
      </c>
      <c r="R442" t="s">
        <v>6036</v>
      </c>
      <c r="S442" s="3">
        <v>43298</v>
      </c>
      <c r="T442" t="s">
        <v>9938</v>
      </c>
      <c r="U442" t="s">
        <v>5923</v>
      </c>
      <c r="V442" t="s">
        <v>7724</v>
      </c>
      <c r="W442" t="s">
        <v>5857</v>
      </c>
      <c r="X442" s="2">
        <v>425</v>
      </c>
      <c r="Y442" t="s">
        <v>5858</v>
      </c>
      <c r="Z442" t="s">
        <v>6037</v>
      </c>
      <c r="AA442" s="2">
        <v>2000</v>
      </c>
      <c r="AB442" t="s">
        <v>5863</v>
      </c>
      <c r="AC442" t="s">
        <v>9974</v>
      </c>
      <c r="AD442" s="32">
        <v>43140</v>
      </c>
      <c r="AI442" t="s">
        <v>9943</v>
      </c>
      <c r="AJ442" t="s">
        <v>9959</v>
      </c>
      <c r="AL442" t="s">
        <v>13931</v>
      </c>
    </row>
    <row r="443" spans="1:38">
      <c r="A443" t="s">
        <v>7552</v>
      </c>
      <c r="B443" t="s">
        <v>13066</v>
      </c>
      <c r="C443" t="s">
        <v>9674</v>
      </c>
      <c r="D443" t="s">
        <v>9675</v>
      </c>
      <c r="E443" s="2">
        <v>735</v>
      </c>
      <c r="F443" s="2">
        <v>735</v>
      </c>
      <c r="G443" s="3">
        <v>43298</v>
      </c>
      <c r="H443" s="4">
        <v>0.58100694444444001</v>
      </c>
      <c r="I443" s="3">
        <v>43298</v>
      </c>
      <c r="J443" s="4">
        <v>0.65306712962962998</v>
      </c>
      <c r="K443" s="2">
        <v>0</v>
      </c>
      <c r="L443" t="s">
        <v>5856</v>
      </c>
      <c r="M443" t="s">
        <v>13067</v>
      </c>
      <c r="N443" s="3">
        <v>43301</v>
      </c>
      <c r="O443" s="3">
        <v>43300</v>
      </c>
      <c r="P443" t="s">
        <v>5960</v>
      </c>
      <c r="Q443" t="s">
        <v>13068</v>
      </c>
      <c r="R443" t="s">
        <v>6036</v>
      </c>
      <c r="S443" s="3">
        <v>43301</v>
      </c>
      <c r="T443" t="s">
        <v>9938</v>
      </c>
      <c r="U443" t="s">
        <v>5917</v>
      </c>
      <c r="V443" t="s">
        <v>9676</v>
      </c>
      <c r="W443" t="s">
        <v>5857</v>
      </c>
      <c r="X443" s="2">
        <v>425</v>
      </c>
      <c r="Y443" t="s">
        <v>5858</v>
      </c>
      <c r="Z443" t="s">
        <v>6037</v>
      </c>
      <c r="AA443" s="2">
        <v>700</v>
      </c>
      <c r="AB443" t="s">
        <v>5863</v>
      </c>
      <c r="AC443" t="s">
        <v>9976</v>
      </c>
      <c r="AD443" s="32">
        <v>43280</v>
      </c>
      <c r="AJ443" t="s">
        <v>9958</v>
      </c>
      <c r="AL443" t="s">
        <v>13932</v>
      </c>
    </row>
    <row r="444" spans="1:38">
      <c r="A444" t="s">
        <v>7552</v>
      </c>
      <c r="B444" t="s">
        <v>11867</v>
      </c>
      <c r="C444" t="s">
        <v>6500</v>
      </c>
      <c r="D444" t="s">
        <v>6501</v>
      </c>
      <c r="E444" s="2">
        <v>2100</v>
      </c>
      <c r="F444" s="2">
        <v>2100</v>
      </c>
      <c r="G444" s="3">
        <v>43298</v>
      </c>
      <c r="H444" s="4">
        <v>0.67390046296296002</v>
      </c>
      <c r="I444" s="3">
        <v>43298</v>
      </c>
      <c r="J444" s="4">
        <v>0.87978009259259005</v>
      </c>
      <c r="K444" s="2">
        <v>20</v>
      </c>
      <c r="L444" t="s">
        <v>5856</v>
      </c>
      <c r="M444" t="s">
        <v>7322</v>
      </c>
      <c r="N444" s="3">
        <v>43300</v>
      </c>
      <c r="O444" s="3">
        <v>43300</v>
      </c>
      <c r="P444" t="s">
        <v>5911</v>
      </c>
      <c r="Q444" t="s">
        <v>7635</v>
      </c>
      <c r="R444" t="s">
        <v>6036</v>
      </c>
      <c r="S444" s="3">
        <v>43300</v>
      </c>
      <c r="T444" t="s">
        <v>9938</v>
      </c>
      <c r="U444" t="s">
        <v>5923</v>
      </c>
      <c r="V444" t="s">
        <v>6503</v>
      </c>
      <c r="W444" t="s">
        <v>5857</v>
      </c>
      <c r="X444" s="2">
        <v>425</v>
      </c>
      <c r="Y444" t="s">
        <v>5858</v>
      </c>
      <c r="Z444" t="s">
        <v>6037</v>
      </c>
      <c r="AA444" s="2">
        <v>2100</v>
      </c>
      <c r="AB444" t="s">
        <v>5859</v>
      </c>
      <c r="AC444" t="s">
        <v>9974</v>
      </c>
      <c r="AD444" s="32">
        <v>43199</v>
      </c>
      <c r="AI444" t="s">
        <v>9943</v>
      </c>
      <c r="AJ444" t="s">
        <v>9959</v>
      </c>
      <c r="AL444" t="s">
        <v>10746</v>
      </c>
    </row>
    <row r="445" spans="1:38">
      <c r="A445" t="s">
        <v>7552</v>
      </c>
      <c r="B445" t="s">
        <v>11868</v>
      </c>
      <c r="C445" t="s">
        <v>7636</v>
      </c>
      <c r="D445" t="s">
        <v>7637</v>
      </c>
      <c r="E445" s="5">
        <v>1758.75</v>
      </c>
      <c r="F445" s="5">
        <v>1758.75</v>
      </c>
      <c r="G445" s="3">
        <v>43298</v>
      </c>
      <c r="H445" s="4">
        <v>0.90061342592592997</v>
      </c>
      <c r="I445" s="3">
        <v>43299</v>
      </c>
      <c r="J445" s="4">
        <v>7.3043981481480003E-2</v>
      </c>
      <c r="K445" s="2">
        <v>0</v>
      </c>
      <c r="L445" t="s">
        <v>5856</v>
      </c>
      <c r="M445" t="s">
        <v>7638</v>
      </c>
      <c r="N445" s="3">
        <v>43300</v>
      </c>
      <c r="O445" s="3">
        <v>43301</v>
      </c>
      <c r="P445" t="s">
        <v>5883</v>
      </c>
      <c r="Q445" t="s">
        <v>7639</v>
      </c>
      <c r="R445" t="s">
        <v>6036</v>
      </c>
      <c r="S445" s="3">
        <v>43300</v>
      </c>
      <c r="T445" t="s">
        <v>9938</v>
      </c>
      <c r="U445" t="s">
        <v>6889</v>
      </c>
      <c r="V445" t="s">
        <v>7640</v>
      </c>
      <c r="W445" t="s">
        <v>5857</v>
      </c>
      <c r="X445" s="2">
        <v>425</v>
      </c>
      <c r="Y445" t="s">
        <v>5858</v>
      </c>
      <c r="Z445" t="s">
        <v>6037</v>
      </c>
      <c r="AA445" s="2">
        <v>1675</v>
      </c>
      <c r="AB445" t="s">
        <v>5863</v>
      </c>
      <c r="AC445" t="s">
        <v>9978</v>
      </c>
      <c r="AD445" s="32">
        <v>43270</v>
      </c>
      <c r="AJ445" t="s">
        <v>9958</v>
      </c>
      <c r="AL445" t="s">
        <v>10747</v>
      </c>
    </row>
    <row r="446" spans="1:38">
      <c r="A446" t="s">
        <v>7552</v>
      </c>
      <c r="B446" t="s">
        <v>11570</v>
      </c>
      <c r="C446" t="s">
        <v>6584</v>
      </c>
      <c r="D446" t="s">
        <v>6585</v>
      </c>
      <c r="E446" s="2">
        <v>2520</v>
      </c>
      <c r="F446" s="2">
        <v>2520</v>
      </c>
      <c r="G446" s="3">
        <v>43299</v>
      </c>
      <c r="H446" s="4">
        <v>9.0057870370369997E-2</v>
      </c>
      <c r="I446" s="3">
        <v>43299</v>
      </c>
      <c r="J446" s="4">
        <v>0.33711805555556001</v>
      </c>
      <c r="K446" s="2">
        <v>20</v>
      </c>
      <c r="L446" t="s">
        <v>5856</v>
      </c>
      <c r="M446" t="s">
        <v>12995</v>
      </c>
      <c r="N446" s="3">
        <v>43298</v>
      </c>
      <c r="O446" s="3">
        <v>43301</v>
      </c>
      <c r="P446" t="s">
        <v>6580</v>
      </c>
      <c r="Q446" t="s">
        <v>6586</v>
      </c>
      <c r="R446" t="s">
        <v>6036</v>
      </c>
      <c r="S446" s="3">
        <v>43298</v>
      </c>
      <c r="T446" t="s">
        <v>9938</v>
      </c>
      <c r="U446" t="s">
        <v>6582</v>
      </c>
      <c r="V446" t="s">
        <v>6587</v>
      </c>
      <c r="W446" t="s">
        <v>5857</v>
      </c>
      <c r="X446" s="2">
        <v>425</v>
      </c>
      <c r="Y446" t="s">
        <v>5858</v>
      </c>
      <c r="Z446" t="s">
        <v>6037</v>
      </c>
      <c r="AA446" s="2">
        <v>2400</v>
      </c>
      <c r="AB446" t="s">
        <v>5863</v>
      </c>
      <c r="AC446" t="s">
        <v>9976</v>
      </c>
      <c r="AD446" s="32">
        <v>43277</v>
      </c>
      <c r="AJ446" t="s">
        <v>9958</v>
      </c>
      <c r="AL446" t="s">
        <v>13933</v>
      </c>
    </row>
    <row r="447" spans="1:38">
      <c r="A447" t="s">
        <v>7552</v>
      </c>
      <c r="B447" t="s">
        <v>11869</v>
      </c>
      <c r="C447" t="s">
        <v>7641</v>
      </c>
      <c r="D447" t="s">
        <v>7642</v>
      </c>
      <c r="E447" s="2">
        <v>4000</v>
      </c>
      <c r="F447" s="2">
        <v>4000</v>
      </c>
      <c r="G447" s="3">
        <v>43299</v>
      </c>
      <c r="H447" s="4">
        <v>9.3877314814810001E-2</v>
      </c>
      <c r="I447" s="3">
        <v>43299</v>
      </c>
      <c r="J447" s="4">
        <v>0.48603009259259</v>
      </c>
      <c r="K447" s="2">
        <v>20</v>
      </c>
      <c r="L447" t="s">
        <v>5856</v>
      </c>
      <c r="M447" t="s">
        <v>7643</v>
      </c>
      <c r="N447" s="3">
        <v>43300</v>
      </c>
      <c r="O447" s="3">
        <v>43301</v>
      </c>
      <c r="P447" t="s">
        <v>5862</v>
      </c>
      <c r="Q447" t="s">
        <v>7644</v>
      </c>
      <c r="R447" t="s">
        <v>6036</v>
      </c>
      <c r="S447" s="3">
        <v>43300</v>
      </c>
      <c r="T447" t="s">
        <v>9938</v>
      </c>
      <c r="U447" t="s">
        <v>5963</v>
      </c>
      <c r="V447" t="s">
        <v>7645</v>
      </c>
      <c r="W447" t="s">
        <v>5857</v>
      </c>
      <c r="X447" s="2">
        <v>425</v>
      </c>
      <c r="Y447" t="s">
        <v>5858</v>
      </c>
      <c r="Z447" t="s">
        <v>6037</v>
      </c>
      <c r="AA447" s="2">
        <v>4000</v>
      </c>
      <c r="AB447" t="s">
        <v>5863</v>
      </c>
      <c r="AC447" t="s">
        <v>9978</v>
      </c>
      <c r="AD447" s="32">
        <v>43234</v>
      </c>
      <c r="AJ447" t="s">
        <v>9958</v>
      </c>
      <c r="AL447" t="s">
        <v>10748</v>
      </c>
    </row>
    <row r="448" spans="1:38">
      <c r="A448" t="s">
        <v>7552</v>
      </c>
      <c r="B448" t="s">
        <v>11870</v>
      </c>
      <c r="C448" t="s">
        <v>7646</v>
      </c>
      <c r="D448" t="s">
        <v>7647</v>
      </c>
      <c r="E448" s="2">
        <v>700</v>
      </c>
      <c r="F448" s="2">
        <v>700</v>
      </c>
      <c r="G448" s="3">
        <v>43299</v>
      </c>
      <c r="H448" s="4">
        <v>0.50686342592593003</v>
      </c>
      <c r="I448" s="3">
        <v>43299</v>
      </c>
      <c r="J448" s="4">
        <v>0.57548611111111003</v>
      </c>
      <c r="K448" s="2">
        <v>20</v>
      </c>
      <c r="L448" t="s">
        <v>5856</v>
      </c>
      <c r="M448" t="s">
        <v>7648</v>
      </c>
      <c r="N448" s="3">
        <v>43300</v>
      </c>
      <c r="O448" s="3">
        <v>43301</v>
      </c>
      <c r="P448" t="s">
        <v>5883</v>
      </c>
      <c r="Q448" t="s">
        <v>7649</v>
      </c>
      <c r="R448" t="s">
        <v>6036</v>
      </c>
      <c r="S448" s="3">
        <v>43300</v>
      </c>
      <c r="T448" t="s">
        <v>9938</v>
      </c>
      <c r="U448" t="s">
        <v>5893</v>
      </c>
      <c r="V448" t="s">
        <v>7650</v>
      </c>
      <c r="W448" t="s">
        <v>5857</v>
      </c>
      <c r="X448" s="2">
        <v>425</v>
      </c>
      <c r="Y448" t="s">
        <v>5858</v>
      </c>
      <c r="Z448" t="s">
        <v>6037</v>
      </c>
      <c r="AA448" s="2">
        <v>700</v>
      </c>
      <c r="AB448" t="s">
        <v>5863</v>
      </c>
      <c r="AC448" t="s">
        <v>9978</v>
      </c>
      <c r="AD448" s="32">
        <v>43272</v>
      </c>
      <c r="AI448" t="s">
        <v>9943</v>
      </c>
      <c r="AJ448" t="s">
        <v>9958</v>
      </c>
      <c r="AL448" t="s">
        <v>10749</v>
      </c>
    </row>
    <row r="449" spans="1:38">
      <c r="A449" t="s">
        <v>7552</v>
      </c>
      <c r="B449" t="s">
        <v>11871</v>
      </c>
      <c r="C449" t="s">
        <v>7651</v>
      </c>
      <c r="D449" t="s">
        <v>7652</v>
      </c>
      <c r="E449" s="2">
        <v>420</v>
      </c>
      <c r="F449" s="2">
        <v>420</v>
      </c>
      <c r="G449" s="3">
        <v>43299</v>
      </c>
      <c r="H449" s="4">
        <v>0.59631944444443996</v>
      </c>
      <c r="I449" s="3">
        <v>43299</v>
      </c>
      <c r="J449" s="4">
        <v>0.63749999999999996</v>
      </c>
      <c r="K449" s="2">
        <v>20</v>
      </c>
      <c r="L449" t="s">
        <v>5856</v>
      </c>
      <c r="M449" t="s">
        <v>7653</v>
      </c>
      <c r="N449" s="3">
        <v>43301</v>
      </c>
      <c r="O449" s="3">
        <v>43301</v>
      </c>
      <c r="P449" t="s">
        <v>7136</v>
      </c>
      <c r="Q449" t="s">
        <v>7654</v>
      </c>
      <c r="R449" t="s">
        <v>6036</v>
      </c>
      <c r="S449" s="3">
        <v>43301</v>
      </c>
      <c r="T449" t="s">
        <v>9938</v>
      </c>
      <c r="U449" t="s">
        <v>6824</v>
      </c>
      <c r="V449" t="s">
        <v>7655</v>
      </c>
      <c r="W449" t="s">
        <v>5857</v>
      </c>
      <c r="X449" s="2">
        <v>425</v>
      </c>
      <c r="Y449" t="s">
        <v>5858</v>
      </c>
      <c r="Z449" t="s">
        <v>6037</v>
      </c>
      <c r="AA449" s="2">
        <v>400</v>
      </c>
      <c r="AB449" t="s">
        <v>5863</v>
      </c>
      <c r="AC449" t="s">
        <v>9974</v>
      </c>
      <c r="AD449" s="32">
        <v>43273</v>
      </c>
      <c r="AI449" t="s">
        <v>9939</v>
      </c>
      <c r="AJ449" t="s">
        <v>9958</v>
      </c>
      <c r="AL449" t="s">
        <v>10750</v>
      </c>
    </row>
    <row r="450" spans="1:38">
      <c r="A450" t="s">
        <v>7552</v>
      </c>
      <c r="B450" t="s">
        <v>11872</v>
      </c>
      <c r="C450" t="s">
        <v>7656</v>
      </c>
      <c r="D450" t="s">
        <v>7657</v>
      </c>
      <c r="E450" s="2">
        <v>1000</v>
      </c>
      <c r="F450" s="2">
        <v>1000</v>
      </c>
      <c r="G450" s="3">
        <v>43299</v>
      </c>
      <c r="H450" s="4">
        <v>0.65833333333333</v>
      </c>
      <c r="I450" s="3">
        <v>43299</v>
      </c>
      <c r="J450" s="4">
        <v>0.75637731481480996</v>
      </c>
      <c r="K450" s="2">
        <v>0</v>
      </c>
      <c r="L450" t="s">
        <v>5856</v>
      </c>
      <c r="M450" t="s">
        <v>6634</v>
      </c>
      <c r="N450" s="3">
        <v>43301</v>
      </c>
      <c r="O450" s="3">
        <v>43301</v>
      </c>
      <c r="P450" t="s">
        <v>5881</v>
      </c>
      <c r="Q450" t="s">
        <v>7658</v>
      </c>
      <c r="R450" t="s">
        <v>6036</v>
      </c>
      <c r="S450" s="3">
        <v>43301</v>
      </c>
      <c r="T450" t="s">
        <v>9938</v>
      </c>
      <c r="U450" t="s">
        <v>5886</v>
      </c>
      <c r="V450" t="s">
        <v>7659</v>
      </c>
      <c r="W450" t="s">
        <v>5857</v>
      </c>
      <c r="X450" s="2">
        <v>425</v>
      </c>
      <c r="Y450" t="s">
        <v>5858</v>
      </c>
      <c r="Z450" t="s">
        <v>6037</v>
      </c>
      <c r="AA450" s="2">
        <v>1000</v>
      </c>
      <c r="AB450" t="s">
        <v>5863</v>
      </c>
      <c r="AC450" t="s">
        <v>9978</v>
      </c>
      <c r="AD450" s="32">
        <v>43257</v>
      </c>
      <c r="AI450" t="s">
        <v>9943</v>
      </c>
      <c r="AJ450" t="s">
        <v>9958</v>
      </c>
      <c r="AL450" t="s">
        <v>10751</v>
      </c>
    </row>
    <row r="451" spans="1:38">
      <c r="A451" t="s">
        <v>7552</v>
      </c>
      <c r="B451" t="s">
        <v>11873</v>
      </c>
      <c r="C451" t="s">
        <v>7660</v>
      </c>
      <c r="D451" t="s">
        <v>7661</v>
      </c>
      <c r="E451" s="2">
        <v>2000</v>
      </c>
      <c r="F451" s="2">
        <v>2000</v>
      </c>
      <c r="G451" s="3">
        <v>43299</v>
      </c>
      <c r="H451" s="4">
        <v>0.77721064814815</v>
      </c>
      <c r="I451" s="3">
        <v>43299</v>
      </c>
      <c r="J451" s="4">
        <v>0.97328703703704</v>
      </c>
      <c r="K451" s="2">
        <v>0</v>
      </c>
      <c r="L451" t="s">
        <v>5856</v>
      </c>
      <c r="M451" t="s">
        <v>6598</v>
      </c>
      <c r="N451" s="3">
        <v>43301</v>
      </c>
      <c r="O451" s="3">
        <v>43301</v>
      </c>
      <c r="P451" t="s">
        <v>5964</v>
      </c>
      <c r="Q451" t="s">
        <v>7662</v>
      </c>
      <c r="R451" t="s">
        <v>6036</v>
      </c>
      <c r="S451" s="3">
        <v>43301</v>
      </c>
      <c r="T451" t="s">
        <v>9938</v>
      </c>
      <c r="U451" t="s">
        <v>5893</v>
      </c>
      <c r="V451" t="s">
        <v>7663</v>
      </c>
      <c r="W451" t="s">
        <v>5857</v>
      </c>
      <c r="X451" s="2">
        <v>425</v>
      </c>
      <c r="Y451" t="s">
        <v>5858</v>
      </c>
      <c r="Z451" t="s">
        <v>6037</v>
      </c>
      <c r="AA451" s="2">
        <v>2000</v>
      </c>
      <c r="AB451" t="s">
        <v>5863</v>
      </c>
      <c r="AC451" t="s">
        <v>9978</v>
      </c>
      <c r="AD451" s="32">
        <v>43180</v>
      </c>
      <c r="AJ451" t="s">
        <v>9958</v>
      </c>
      <c r="AL451" t="s">
        <v>10752</v>
      </c>
    </row>
    <row r="452" spans="1:38">
      <c r="A452" t="s">
        <v>7552</v>
      </c>
      <c r="B452" t="s">
        <v>11874</v>
      </c>
      <c r="C452" t="s">
        <v>7664</v>
      </c>
      <c r="D452" t="s">
        <v>7665</v>
      </c>
      <c r="E452" s="5">
        <v>1601.25</v>
      </c>
      <c r="F452" s="5">
        <v>1601.25</v>
      </c>
      <c r="G452" s="3">
        <v>43299</v>
      </c>
      <c r="H452" s="4">
        <v>0.99412037037037004</v>
      </c>
      <c r="I452" s="3">
        <v>43300</v>
      </c>
      <c r="J452" s="4">
        <v>0.15111111111111</v>
      </c>
      <c r="K452" s="2">
        <v>20</v>
      </c>
      <c r="L452" t="s">
        <v>5856</v>
      </c>
      <c r="M452" t="s">
        <v>7666</v>
      </c>
      <c r="N452" s="3">
        <v>43301</v>
      </c>
      <c r="O452" s="3">
        <v>43302</v>
      </c>
      <c r="P452" t="s">
        <v>6580</v>
      </c>
      <c r="Q452" t="s">
        <v>7667</v>
      </c>
      <c r="R452" t="s">
        <v>6036</v>
      </c>
      <c r="S452" s="3">
        <v>43301</v>
      </c>
      <c r="T452" t="s">
        <v>9938</v>
      </c>
      <c r="U452" t="s">
        <v>6582</v>
      </c>
      <c r="V452" t="s">
        <v>7668</v>
      </c>
      <c r="W452" t="s">
        <v>5857</v>
      </c>
      <c r="X452" s="2">
        <v>425</v>
      </c>
      <c r="Y452" t="s">
        <v>5858</v>
      </c>
      <c r="Z452" t="s">
        <v>6037</v>
      </c>
      <c r="AA452" s="2">
        <v>1525</v>
      </c>
      <c r="AB452" t="s">
        <v>5863</v>
      </c>
      <c r="AC452" t="s">
        <v>9976</v>
      </c>
      <c r="AD452" s="32">
        <v>43257</v>
      </c>
      <c r="AJ452" t="s">
        <v>9958</v>
      </c>
      <c r="AL452" t="s">
        <v>10753</v>
      </c>
    </row>
    <row r="453" spans="1:38">
      <c r="A453" t="s">
        <v>7552</v>
      </c>
      <c r="B453" t="s">
        <v>11875</v>
      </c>
      <c r="C453" t="s">
        <v>7669</v>
      </c>
      <c r="D453" t="s">
        <v>7670</v>
      </c>
      <c r="E453" s="2">
        <v>500</v>
      </c>
      <c r="F453" s="2">
        <v>500</v>
      </c>
      <c r="G453" s="3">
        <v>43301</v>
      </c>
      <c r="H453" s="4">
        <v>0.95098379629630003</v>
      </c>
      <c r="I453" s="3">
        <v>43302</v>
      </c>
      <c r="J453" s="4">
        <v>0</v>
      </c>
      <c r="K453" s="2">
        <v>20</v>
      </c>
      <c r="L453" t="s">
        <v>5856</v>
      </c>
      <c r="M453" t="s">
        <v>7494</v>
      </c>
      <c r="N453" s="3">
        <v>43304</v>
      </c>
      <c r="O453" s="3">
        <v>43303</v>
      </c>
      <c r="P453" t="s">
        <v>5862</v>
      </c>
      <c r="Q453" t="s">
        <v>7671</v>
      </c>
      <c r="R453" t="s">
        <v>6036</v>
      </c>
      <c r="S453" s="3">
        <v>43304</v>
      </c>
      <c r="T453" t="s">
        <v>9938</v>
      </c>
      <c r="U453" t="s">
        <v>6932</v>
      </c>
      <c r="V453" t="s">
        <v>7672</v>
      </c>
      <c r="W453" t="s">
        <v>5857</v>
      </c>
      <c r="X453" s="2">
        <v>425</v>
      </c>
      <c r="Y453" t="s">
        <v>5858</v>
      </c>
      <c r="Z453" t="s">
        <v>6037</v>
      </c>
      <c r="AA453" s="2">
        <v>500</v>
      </c>
      <c r="AB453" t="s">
        <v>5863</v>
      </c>
      <c r="AC453" t="s">
        <v>9974</v>
      </c>
      <c r="AD453" s="32">
        <v>43265</v>
      </c>
      <c r="AJ453" t="s">
        <v>9958</v>
      </c>
      <c r="AL453" t="s">
        <v>10754</v>
      </c>
    </row>
    <row r="454" spans="1:38">
      <c r="A454" t="s">
        <v>7552</v>
      </c>
      <c r="B454" t="s">
        <v>11876</v>
      </c>
      <c r="C454" t="s">
        <v>7673</v>
      </c>
      <c r="D454" t="s">
        <v>7674</v>
      </c>
      <c r="E454" s="2">
        <v>1050</v>
      </c>
      <c r="F454" s="2">
        <v>1050</v>
      </c>
      <c r="G454" s="3">
        <v>43302</v>
      </c>
      <c r="H454" s="4">
        <v>0.89706018518519004</v>
      </c>
      <c r="I454" s="3">
        <v>43303</v>
      </c>
      <c r="J454" s="4">
        <v>0</v>
      </c>
      <c r="K454" s="2">
        <v>0</v>
      </c>
      <c r="L454" t="s">
        <v>5856</v>
      </c>
      <c r="M454" t="s">
        <v>7405</v>
      </c>
      <c r="N454" s="3">
        <v>43305</v>
      </c>
      <c r="O454" s="3">
        <v>43304</v>
      </c>
      <c r="P454" t="s">
        <v>5862</v>
      </c>
      <c r="Q454" t="s">
        <v>7675</v>
      </c>
      <c r="R454" t="s">
        <v>6036</v>
      </c>
      <c r="S454" s="3">
        <v>43305</v>
      </c>
      <c r="T454" t="s">
        <v>9938</v>
      </c>
      <c r="U454" t="s">
        <v>6052</v>
      </c>
      <c r="V454" t="s">
        <v>5965</v>
      </c>
      <c r="W454" t="s">
        <v>5857</v>
      </c>
      <c r="X454" s="2">
        <v>425</v>
      </c>
      <c r="Y454" t="s">
        <v>5858</v>
      </c>
      <c r="Z454" t="s">
        <v>6037</v>
      </c>
      <c r="AA454" s="2">
        <v>1000</v>
      </c>
      <c r="AB454" t="s">
        <v>5863</v>
      </c>
      <c r="AC454" t="s">
        <v>9974</v>
      </c>
      <c r="AD454" s="32">
        <v>43277</v>
      </c>
      <c r="AJ454" t="s">
        <v>9958</v>
      </c>
      <c r="AL454" t="s">
        <v>10755</v>
      </c>
    </row>
    <row r="455" spans="1:38">
      <c r="A455" t="s">
        <v>7552</v>
      </c>
      <c r="B455" t="s">
        <v>11877</v>
      </c>
      <c r="C455" t="s">
        <v>7676</v>
      </c>
      <c r="D455" t="s">
        <v>7677</v>
      </c>
      <c r="E455" s="2">
        <v>2000</v>
      </c>
      <c r="F455" s="2">
        <v>2000</v>
      </c>
      <c r="G455" s="3">
        <v>43303</v>
      </c>
      <c r="H455" s="4">
        <v>0.45814814814815003</v>
      </c>
      <c r="I455" s="3">
        <v>43303</v>
      </c>
      <c r="J455" s="4">
        <v>0.65422453703703998</v>
      </c>
      <c r="K455" s="2">
        <v>20</v>
      </c>
      <c r="L455" t="s">
        <v>5856</v>
      </c>
      <c r="M455" t="s">
        <v>6598</v>
      </c>
      <c r="N455" s="3">
        <v>43306</v>
      </c>
      <c r="O455" s="3">
        <v>43305</v>
      </c>
      <c r="P455" t="s">
        <v>5960</v>
      </c>
      <c r="Q455" t="s">
        <v>7678</v>
      </c>
      <c r="R455" t="s">
        <v>6036</v>
      </c>
      <c r="S455" s="3">
        <v>43306</v>
      </c>
      <c r="T455" t="s">
        <v>9938</v>
      </c>
      <c r="U455" t="s">
        <v>6582</v>
      </c>
      <c r="V455" t="s">
        <v>7679</v>
      </c>
      <c r="W455" t="s">
        <v>5857</v>
      </c>
      <c r="X455" s="2">
        <v>425</v>
      </c>
      <c r="Y455" t="s">
        <v>5858</v>
      </c>
      <c r="Z455" t="s">
        <v>6037</v>
      </c>
      <c r="AA455" s="2">
        <v>2000</v>
      </c>
      <c r="AB455" t="s">
        <v>5863</v>
      </c>
      <c r="AC455" t="s">
        <v>9976</v>
      </c>
      <c r="AD455" s="32">
        <v>43215</v>
      </c>
      <c r="AJ455" t="s">
        <v>9958</v>
      </c>
      <c r="AL455" t="s">
        <v>10756</v>
      </c>
    </row>
    <row r="456" spans="1:38">
      <c r="A456" t="s">
        <v>7552</v>
      </c>
      <c r="B456" t="s">
        <v>11878</v>
      </c>
      <c r="C456" t="s">
        <v>7587</v>
      </c>
      <c r="D456" t="s">
        <v>7588</v>
      </c>
      <c r="E456" s="2">
        <v>1050</v>
      </c>
      <c r="F456" s="2">
        <v>1050</v>
      </c>
      <c r="G456" s="3">
        <v>43303</v>
      </c>
      <c r="H456" s="4">
        <v>0.89706018518519004</v>
      </c>
      <c r="I456" s="3">
        <v>43304</v>
      </c>
      <c r="J456" s="4">
        <v>0</v>
      </c>
      <c r="K456" s="2">
        <v>20</v>
      </c>
      <c r="L456" t="s">
        <v>5856</v>
      </c>
      <c r="M456" t="s">
        <v>7405</v>
      </c>
      <c r="N456" s="3">
        <v>43306</v>
      </c>
      <c r="O456" s="3">
        <v>43305</v>
      </c>
      <c r="P456" t="s">
        <v>5911</v>
      </c>
      <c r="Q456" t="s">
        <v>7680</v>
      </c>
      <c r="R456" t="s">
        <v>6036</v>
      </c>
      <c r="S456" s="3">
        <v>43306</v>
      </c>
      <c r="T456" t="s">
        <v>9938</v>
      </c>
      <c r="U456" t="s">
        <v>6093</v>
      </c>
      <c r="V456" t="s">
        <v>7590</v>
      </c>
      <c r="W456" t="s">
        <v>5857</v>
      </c>
      <c r="X456" s="2">
        <v>425</v>
      </c>
      <c r="Y456" t="s">
        <v>5858</v>
      </c>
      <c r="Z456" t="s">
        <v>6037</v>
      </c>
      <c r="AA456" s="2">
        <v>1000</v>
      </c>
      <c r="AB456" t="s">
        <v>5863</v>
      </c>
      <c r="AC456" t="s">
        <v>9974</v>
      </c>
      <c r="AD456" s="32">
        <v>43278</v>
      </c>
      <c r="AJ456" t="s">
        <v>9959</v>
      </c>
      <c r="AL456" t="s">
        <v>10757</v>
      </c>
    </row>
    <row r="457" spans="1:38">
      <c r="A457" t="s">
        <v>7552</v>
      </c>
      <c r="B457" t="s">
        <v>11879</v>
      </c>
      <c r="C457" t="s">
        <v>7681</v>
      </c>
      <c r="D457" t="s">
        <v>7682</v>
      </c>
      <c r="E457" s="2">
        <v>525</v>
      </c>
      <c r="F457" s="2">
        <v>525</v>
      </c>
      <c r="G457" s="3">
        <v>43304</v>
      </c>
      <c r="H457" s="4">
        <v>0.66177083333332998</v>
      </c>
      <c r="I457" s="3">
        <v>43304</v>
      </c>
      <c r="J457" s="4">
        <v>0.71324074074073995</v>
      </c>
      <c r="K457" s="2">
        <v>20</v>
      </c>
      <c r="L457" t="s">
        <v>5856</v>
      </c>
      <c r="M457" t="s">
        <v>7332</v>
      </c>
      <c r="N457" s="3">
        <v>43307</v>
      </c>
      <c r="O457" s="3">
        <v>43306</v>
      </c>
      <c r="P457" t="s">
        <v>5883</v>
      </c>
      <c r="Q457" t="s">
        <v>7683</v>
      </c>
      <c r="R457" t="s">
        <v>6036</v>
      </c>
      <c r="S457" s="3">
        <v>43307</v>
      </c>
      <c r="T457" t="s">
        <v>9938</v>
      </c>
      <c r="U457" t="s">
        <v>7156</v>
      </c>
      <c r="V457" t="s">
        <v>7684</v>
      </c>
      <c r="W457" t="s">
        <v>5857</v>
      </c>
      <c r="X457" s="2">
        <v>425</v>
      </c>
      <c r="Y457" t="s">
        <v>5858</v>
      </c>
      <c r="Z457" t="s">
        <v>6037</v>
      </c>
      <c r="AA457" s="2">
        <v>500</v>
      </c>
      <c r="AB457" t="s">
        <v>5863</v>
      </c>
      <c r="AC457" t="s">
        <v>9978</v>
      </c>
      <c r="AD457" s="32">
        <v>43278</v>
      </c>
      <c r="AJ457" t="s">
        <v>9958</v>
      </c>
      <c r="AL457" t="s">
        <v>10758</v>
      </c>
    </row>
    <row r="458" spans="1:38">
      <c r="A458" t="s">
        <v>7552</v>
      </c>
      <c r="B458" t="s">
        <v>11880</v>
      </c>
      <c r="C458" t="s">
        <v>7685</v>
      </c>
      <c r="D458" t="s">
        <v>7686</v>
      </c>
      <c r="E458" s="2">
        <v>500</v>
      </c>
      <c r="F458" s="2">
        <v>500</v>
      </c>
      <c r="G458" s="3">
        <v>43304</v>
      </c>
      <c r="H458" s="4">
        <v>0.73407407407406999</v>
      </c>
      <c r="I458" s="3">
        <v>43304</v>
      </c>
      <c r="J458" s="4">
        <v>0.78309027777777995</v>
      </c>
      <c r="K458" s="2">
        <v>20</v>
      </c>
      <c r="L458" t="s">
        <v>5856</v>
      </c>
      <c r="M458" t="s">
        <v>7494</v>
      </c>
      <c r="N458" s="3">
        <v>43307</v>
      </c>
      <c r="O458" s="3">
        <v>43306</v>
      </c>
      <c r="P458" t="s">
        <v>5964</v>
      </c>
      <c r="Q458" t="s">
        <v>7687</v>
      </c>
      <c r="R458" t="s">
        <v>6036</v>
      </c>
      <c r="S458" s="3">
        <v>43307</v>
      </c>
      <c r="T458" t="s">
        <v>9938</v>
      </c>
      <c r="U458" t="s">
        <v>5893</v>
      </c>
      <c r="V458" t="s">
        <v>7688</v>
      </c>
      <c r="W458" t="s">
        <v>5857</v>
      </c>
      <c r="X458" s="2">
        <v>425</v>
      </c>
      <c r="Y458" t="s">
        <v>5858</v>
      </c>
      <c r="Z458" t="s">
        <v>6037</v>
      </c>
      <c r="AA458" s="2">
        <v>500</v>
      </c>
      <c r="AB458" t="s">
        <v>5863</v>
      </c>
      <c r="AC458" t="s">
        <v>9978</v>
      </c>
      <c r="AD458" s="32">
        <v>43272</v>
      </c>
      <c r="AI458" t="s">
        <v>9943</v>
      </c>
      <c r="AJ458" t="s">
        <v>9958</v>
      </c>
      <c r="AL458" t="s">
        <v>10759</v>
      </c>
    </row>
    <row r="459" spans="1:38">
      <c r="A459" t="s">
        <v>7552</v>
      </c>
      <c r="B459" t="s">
        <v>11881</v>
      </c>
      <c r="C459" t="s">
        <v>7689</v>
      </c>
      <c r="D459" t="s">
        <v>7690</v>
      </c>
      <c r="E459" s="2">
        <v>2000</v>
      </c>
      <c r="F459" s="2">
        <v>2000</v>
      </c>
      <c r="G459" s="3">
        <v>43304</v>
      </c>
      <c r="H459" s="4">
        <v>0.80392361111110999</v>
      </c>
      <c r="I459" s="3">
        <v>43305</v>
      </c>
      <c r="J459" s="4">
        <v>0</v>
      </c>
      <c r="K459" s="2">
        <v>20</v>
      </c>
      <c r="L459" t="s">
        <v>5856</v>
      </c>
      <c r="M459" t="s">
        <v>6598</v>
      </c>
      <c r="N459" s="3">
        <v>43307</v>
      </c>
      <c r="O459" s="3">
        <v>43306</v>
      </c>
      <c r="P459" t="s">
        <v>7691</v>
      </c>
      <c r="Q459" t="s">
        <v>7692</v>
      </c>
      <c r="R459" t="s">
        <v>6036</v>
      </c>
      <c r="S459" s="3">
        <v>43307</v>
      </c>
      <c r="T459" t="s">
        <v>9938</v>
      </c>
      <c r="U459" t="s">
        <v>6093</v>
      </c>
      <c r="V459" t="s">
        <v>7693</v>
      </c>
      <c r="W459" t="s">
        <v>5857</v>
      </c>
      <c r="X459" s="2">
        <v>425</v>
      </c>
      <c r="Y459" t="s">
        <v>5858</v>
      </c>
      <c r="Z459" t="s">
        <v>6037</v>
      </c>
      <c r="AA459" s="2">
        <v>2000</v>
      </c>
      <c r="AB459" t="s">
        <v>5863</v>
      </c>
      <c r="AC459" t="s">
        <v>9974</v>
      </c>
      <c r="AD459" s="32">
        <v>43270</v>
      </c>
      <c r="AJ459" t="s">
        <v>9959</v>
      </c>
      <c r="AL459" t="s">
        <v>10760</v>
      </c>
    </row>
    <row r="460" spans="1:38">
      <c r="A460" t="s">
        <v>7552</v>
      </c>
      <c r="B460" t="s">
        <v>13069</v>
      </c>
      <c r="C460" t="s">
        <v>13070</v>
      </c>
      <c r="D460" t="s">
        <v>13071</v>
      </c>
      <c r="E460" s="5">
        <v>5407.5</v>
      </c>
      <c r="F460" s="5">
        <v>5407.5</v>
      </c>
      <c r="G460" s="3">
        <v>43305</v>
      </c>
      <c r="H460" s="4">
        <v>9.2395833333329999E-2</v>
      </c>
      <c r="I460" s="3">
        <v>43305</v>
      </c>
      <c r="J460" s="4">
        <v>0.62254629629629998</v>
      </c>
      <c r="K460" s="2">
        <v>20</v>
      </c>
      <c r="L460" t="s">
        <v>5856</v>
      </c>
      <c r="M460" t="s">
        <v>13072</v>
      </c>
      <c r="N460" s="3">
        <v>43308</v>
      </c>
      <c r="O460" s="3">
        <v>43307</v>
      </c>
      <c r="P460" t="s">
        <v>5883</v>
      </c>
      <c r="Q460" t="s">
        <v>13073</v>
      </c>
      <c r="R460" t="s">
        <v>6036</v>
      </c>
      <c r="S460" s="3">
        <v>43308</v>
      </c>
      <c r="T460" t="s">
        <v>9938</v>
      </c>
      <c r="U460" t="s">
        <v>5894</v>
      </c>
      <c r="V460" t="s">
        <v>13074</v>
      </c>
      <c r="W460" t="s">
        <v>5857</v>
      </c>
      <c r="X460" s="2">
        <v>425</v>
      </c>
      <c r="Y460" t="s">
        <v>5858</v>
      </c>
      <c r="Z460" t="s">
        <v>6037</v>
      </c>
      <c r="AA460" s="2">
        <v>5150</v>
      </c>
      <c r="AB460" t="s">
        <v>5863</v>
      </c>
      <c r="AC460" t="s">
        <v>9978</v>
      </c>
      <c r="AD460" s="32">
        <v>43280</v>
      </c>
      <c r="AJ460" t="s">
        <v>9958</v>
      </c>
      <c r="AL460" t="s">
        <v>13934</v>
      </c>
    </row>
    <row r="461" spans="1:38">
      <c r="A461" t="s">
        <v>7552</v>
      </c>
      <c r="B461" t="s">
        <v>11882</v>
      </c>
      <c r="C461" t="s">
        <v>7694</v>
      </c>
      <c r="D461" t="s">
        <v>7695</v>
      </c>
      <c r="E461" s="2">
        <v>1000</v>
      </c>
      <c r="F461" s="2">
        <v>1000</v>
      </c>
      <c r="G461" s="3">
        <v>43305</v>
      </c>
      <c r="H461" s="4">
        <v>0.64337962962963002</v>
      </c>
      <c r="I461" s="3">
        <v>43305</v>
      </c>
      <c r="J461" s="4">
        <v>0.74142361111110999</v>
      </c>
      <c r="K461" s="2">
        <v>0</v>
      </c>
      <c r="L461" t="s">
        <v>5856</v>
      </c>
      <c r="M461" t="s">
        <v>6634</v>
      </c>
      <c r="N461" s="3">
        <v>43308</v>
      </c>
      <c r="O461" s="3">
        <v>43307</v>
      </c>
      <c r="P461" t="s">
        <v>5883</v>
      </c>
      <c r="Q461" t="s">
        <v>7696</v>
      </c>
      <c r="R461" t="s">
        <v>6036</v>
      </c>
      <c r="S461" s="3">
        <v>43308</v>
      </c>
      <c r="T461" t="s">
        <v>9938</v>
      </c>
      <c r="U461" t="s">
        <v>5893</v>
      </c>
      <c r="V461" t="s">
        <v>7697</v>
      </c>
      <c r="W461" t="s">
        <v>5857</v>
      </c>
      <c r="X461" s="2">
        <v>425</v>
      </c>
      <c r="Y461" t="s">
        <v>5858</v>
      </c>
      <c r="Z461" t="s">
        <v>6037</v>
      </c>
      <c r="AA461" s="2">
        <v>1000</v>
      </c>
      <c r="AB461" t="s">
        <v>5863</v>
      </c>
      <c r="AC461" t="s">
        <v>9978</v>
      </c>
      <c r="AD461" s="32">
        <v>43265</v>
      </c>
      <c r="AI461" t="s">
        <v>9943</v>
      </c>
      <c r="AJ461" t="s">
        <v>9958</v>
      </c>
      <c r="AL461" t="s">
        <v>10761</v>
      </c>
    </row>
    <row r="462" spans="1:38">
      <c r="A462" t="s">
        <v>7552</v>
      </c>
      <c r="B462" t="s">
        <v>11883</v>
      </c>
      <c r="C462" t="s">
        <v>7656</v>
      </c>
      <c r="D462" t="s">
        <v>7657</v>
      </c>
      <c r="E462" s="2">
        <v>500</v>
      </c>
      <c r="F462" s="2">
        <v>500</v>
      </c>
      <c r="G462" s="3">
        <v>43305</v>
      </c>
      <c r="H462" s="4">
        <v>0.76225694444444003</v>
      </c>
      <c r="I462" s="3">
        <v>43305</v>
      </c>
      <c r="J462" s="4">
        <v>0.81127314814814999</v>
      </c>
      <c r="K462" s="2">
        <v>0</v>
      </c>
      <c r="L462" t="s">
        <v>5856</v>
      </c>
      <c r="M462" t="s">
        <v>7494</v>
      </c>
      <c r="N462" s="3">
        <v>43308</v>
      </c>
      <c r="O462" s="3">
        <v>43307</v>
      </c>
      <c r="P462" t="s">
        <v>5881</v>
      </c>
      <c r="Q462" t="s">
        <v>7698</v>
      </c>
      <c r="R462" t="s">
        <v>6036</v>
      </c>
      <c r="S462" s="3">
        <v>43308</v>
      </c>
      <c r="T462" t="s">
        <v>9938</v>
      </c>
      <c r="U462" t="s">
        <v>5886</v>
      </c>
      <c r="V462" t="s">
        <v>7659</v>
      </c>
      <c r="W462" t="s">
        <v>5857</v>
      </c>
      <c r="X462" s="2">
        <v>425</v>
      </c>
      <c r="Y462" t="s">
        <v>5858</v>
      </c>
      <c r="Z462" t="s">
        <v>6037</v>
      </c>
      <c r="AA462" s="2">
        <v>500</v>
      </c>
      <c r="AB462" t="s">
        <v>5863</v>
      </c>
      <c r="AC462" t="s">
        <v>9978</v>
      </c>
      <c r="AD462" s="32">
        <v>43259</v>
      </c>
      <c r="AI462" t="s">
        <v>9943</v>
      </c>
      <c r="AJ462" t="s">
        <v>9958</v>
      </c>
      <c r="AL462" t="s">
        <v>10762</v>
      </c>
    </row>
    <row r="463" spans="1:38">
      <c r="A463" t="s">
        <v>7552</v>
      </c>
      <c r="B463" t="s">
        <v>11884</v>
      </c>
      <c r="C463" t="s">
        <v>7631</v>
      </c>
      <c r="D463" t="s">
        <v>7632</v>
      </c>
      <c r="E463" s="2">
        <v>500</v>
      </c>
      <c r="F463" s="2">
        <v>500</v>
      </c>
      <c r="G463" s="3">
        <v>43305</v>
      </c>
      <c r="H463" s="4">
        <v>0.83210648148148003</v>
      </c>
      <c r="I463" s="3">
        <v>43305</v>
      </c>
      <c r="J463" s="4">
        <v>0.88112268518518999</v>
      </c>
      <c r="K463" s="2">
        <v>0</v>
      </c>
      <c r="L463" t="s">
        <v>5856</v>
      </c>
      <c r="M463" t="s">
        <v>7494</v>
      </c>
      <c r="N463" s="3">
        <v>43308</v>
      </c>
      <c r="O463" s="3">
        <v>43307</v>
      </c>
      <c r="P463" t="s">
        <v>5911</v>
      </c>
      <c r="Q463" t="s">
        <v>7699</v>
      </c>
      <c r="R463" t="s">
        <v>6036</v>
      </c>
      <c r="S463" s="3">
        <v>43308</v>
      </c>
      <c r="T463" t="s">
        <v>9938</v>
      </c>
      <c r="U463" t="s">
        <v>6052</v>
      </c>
      <c r="V463" t="s">
        <v>7634</v>
      </c>
      <c r="W463" t="s">
        <v>5857</v>
      </c>
      <c r="X463" s="2">
        <v>425</v>
      </c>
      <c r="Y463" t="s">
        <v>5858</v>
      </c>
      <c r="Z463" t="s">
        <v>6037</v>
      </c>
      <c r="AA463" s="2">
        <v>500</v>
      </c>
      <c r="AB463" t="s">
        <v>5863</v>
      </c>
      <c r="AC463" t="s">
        <v>9974</v>
      </c>
      <c r="AD463" s="32">
        <v>43259</v>
      </c>
      <c r="AJ463" t="s">
        <v>9958</v>
      </c>
      <c r="AL463" t="s">
        <v>10763</v>
      </c>
    </row>
    <row r="464" spans="1:38">
      <c r="A464" t="s">
        <v>7552</v>
      </c>
      <c r="B464" t="s">
        <v>11885</v>
      </c>
      <c r="C464" t="s">
        <v>6080</v>
      </c>
      <c r="D464" t="s">
        <v>5984</v>
      </c>
      <c r="E464" s="2">
        <v>1000</v>
      </c>
      <c r="F464" s="2">
        <v>1000</v>
      </c>
      <c r="G464" s="3">
        <v>43305</v>
      </c>
      <c r="H464" s="4">
        <v>0.90195601851852003</v>
      </c>
      <c r="I464" s="3">
        <v>43306</v>
      </c>
      <c r="J464" s="4">
        <v>0</v>
      </c>
      <c r="K464" s="2">
        <v>20</v>
      </c>
      <c r="L464" t="s">
        <v>5856</v>
      </c>
      <c r="M464" t="s">
        <v>6634</v>
      </c>
      <c r="N464" s="3">
        <v>43308</v>
      </c>
      <c r="O464" s="3">
        <v>43307</v>
      </c>
      <c r="P464" t="s">
        <v>5911</v>
      </c>
      <c r="Q464" t="s">
        <v>7700</v>
      </c>
      <c r="R464" t="s">
        <v>6036</v>
      </c>
      <c r="S464" s="3">
        <v>43308</v>
      </c>
      <c r="T464" t="s">
        <v>9938</v>
      </c>
      <c r="U464" t="s">
        <v>5985</v>
      </c>
      <c r="V464" t="s">
        <v>5986</v>
      </c>
      <c r="W464" t="s">
        <v>5857</v>
      </c>
      <c r="X464" s="2">
        <v>425</v>
      </c>
      <c r="Y464" t="s">
        <v>5858</v>
      </c>
      <c r="Z464" t="s">
        <v>6037</v>
      </c>
      <c r="AA464" s="2">
        <v>1000</v>
      </c>
      <c r="AB464" t="s">
        <v>5863</v>
      </c>
      <c r="AC464" t="s">
        <v>9974</v>
      </c>
      <c r="AD464" s="32">
        <v>43249</v>
      </c>
      <c r="AJ464" t="s">
        <v>9958</v>
      </c>
      <c r="AL464" t="s">
        <v>10764</v>
      </c>
    </row>
    <row r="465" spans="1:38">
      <c r="A465" t="s">
        <v>7552</v>
      </c>
      <c r="B465" t="s">
        <v>11886</v>
      </c>
      <c r="C465" t="s">
        <v>7553</v>
      </c>
      <c r="D465" t="s">
        <v>7554</v>
      </c>
      <c r="E465" s="2">
        <v>1050</v>
      </c>
      <c r="F465" s="2">
        <v>1050</v>
      </c>
      <c r="G465" s="3">
        <v>43307</v>
      </c>
      <c r="H465" s="4">
        <v>2.0833333333330002E-2</v>
      </c>
      <c r="I465" s="3">
        <v>43307</v>
      </c>
      <c r="J465" s="4">
        <v>0.12378472222222001</v>
      </c>
      <c r="K465" s="2">
        <v>20</v>
      </c>
      <c r="L465" t="s">
        <v>5856</v>
      </c>
      <c r="M465" t="s">
        <v>7348</v>
      </c>
      <c r="N465" s="3">
        <v>43297</v>
      </c>
      <c r="O465" s="3">
        <v>43314</v>
      </c>
      <c r="P465" t="s">
        <v>5862</v>
      </c>
      <c r="Q465" t="s">
        <v>7701</v>
      </c>
      <c r="R465" t="s">
        <v>6036</v>
      </c>
      <c r="S465" s="3">
        <v>43297</v>
      </c>
      <c r="T465" t="s">
        <v>9938</v>
      </c>
      <c r="U465" t="s">
        <v>6093</v>
      </c>
      <c r="V465" t="s">
        <v>7555</v>
      </c>
      <c r="W465" t="s">
        <v>5857</v>
      </c>
      <c r="X465" s="2">
        <v>425</v>
      </c>
      <c r="Y465" t="s">
        <v>5858</v>
      </c>
      <c r="Z465" t="s">
        <v>6037</v>
      </c>
      <c r="AA465" s="2">
        <v>1000</v>
      </c>
      <c r="AB465" t="s">
        <v>5859</v>
      </c>
      <c r="AC465" t="s">
        <v>9974</v>
      </c>
      <c r="AD465" s="32">
        <v>43271</v>
      </c>
      <c r="AI465" t="s">
        <v>9952</v>
      </c>
      <c r="AJ465" t="s">
        <v>9959</v>
      </c>
      <c r="AL465" t="s">
        <v>10765</v>
      </c>
    </row>
    <row r="466" spans="1:38">
      <c r="A466" t="s">
        <v>7552</v>
      </c>
      <c r="B466" t="s">
        <v>11887</v>
      </c>
      <c r="C466" t="s">
        <v>7702</v>
      </c>
      <c r="D466" t="s">
        <v>7703</v>
      </c>
      <c r="E466" s="2">
        <v>1000</v>
      </c>
      <c r="F466" s="2">
        <v>1000</v>
      </c>
      <c r="G466" s="3">
        <v>43308</v>
      </c>
      <c r="H466" s="4">
        <v>0.88293981481480999</v>
      </c>
      <c r="I466" s="3">
        <v>43308</v>
      </c>
      <c r="J466" s="4">
        <v>0.98098379629629995</v>
      </c>
      <c r="K466" s="2">
        <v>0</v>
      </c>
      <c r="L466" t="s">
        <v>5856</v>
      </c>
      <c r="M466" t="s">
        <v>6634</v>
      </c>
      <c r="N466" s="3">
        <v>43315</v>
      </c>
      <c r="O466" s="3">
        <v>43310</v>
      </c>
      <c r="P466" t="s">
        <v>5960</v>
      </c>
      <c r="Q466" t="s">
        <v>7704</v>
      </c>
      <c r="R466" t="s">
        <v>6036</v>
      </c>
      <c r="S466" s="3">
        <v>43315</v>
      </c>
      <c r="T466" t="s">
        <v>9938</v>
      </c>
      <c r="U466" t="s">
        <v>6600</v>
      </c>
      <c r="V466" t="s">
        <v>7705</v>
      </c>
      <c r="W466" t="s">
        <v>5857</v>
      </c>
      <c r="X466" s="2">
        <v>425</v>
      </c>
      <c r="Y466" t="s">
        <v>5858</v>
      </c>
      <c r="Z466" t="s">
        <v>6037</v>
      </c>
      <c r="AA466" s="2">
        <v>1000</v>
      </c>
      <c r="AB466" t="s">
        <v>5863</v>
      </c>
      <c r="AC466" t="s">
        <v>9976</v>
      </c>
      <c r="AD466" s="32">
        <v>43250</v>
      </c>
      <c r="AJ466" t="s">
        <v>9958</v>
      </c>
      <c r="AL466" t="s">
        <v>10766</v>
      </c>
    </row>
    <row r="467" spans="1:38">
      <c r="A467" t="s">
        <v>7552</v>
      </c>
      <c r="B467" t="s">
        <v>11888</v>
      </c>
      <c r="C467" t="s">
        <v>7702</v>
      </c>
      <c r="D467" t="s">
        <v>7703</v>
      </c>
      <c r="E467" s="2">
        <v>1000</v>
      </c>
      <c r="F467" s="2">
        <v>1000</v>
      </c>
      <c r="G467" s="3">
        <v>43309</v>
      </c>
      <c r="H467" s="4">
        <v>0.27268518518519003</v>
      </c>
      <c r="I467" s="3">
        <v>43309</v>
      </c>
      <c r="J467" s="4">
        <v>0.37072916666667</v>
      </c>
      <c r="K467" s="2">
        <v>0</v>
      </c>
      <c r="L467" t="s">
        <v>5856</v>
      </c>
      <c r="M467" t="s">
        <v>6634</v>
      </c>
      <c r="N467" s="3">
        <v>43311</v>
      </c>
      <c r="O467" s="3">
        <v>43311</v>
      </c>
      <c r="P467" t="s">
        <v>5960</v>
      </c>
      <c r="Q467" t="s">
        <v>7706</v>
      </c>
      <c r="R467" t="s">
        <v>6036</v>
      </c>
      <c r="S467" s="3">
        <v>43311</v>
      </c>
      <c r="T467" t="s">
        <v>9938</v>
      </c>
      <c r="U467" t="s">
        <v>6600</v>
      </c>
      <c r="V467" t="s">
        <v>7705</v>
      </c>
      <c r="W467" t="s">
        <v>5857</v>
      </c>
      <c r="X467" s="2">
        <v>425</v>
      </c>
      <c r="Y467" t="s">
        <v>5858</v>
      </c>
      <c r="Z467" t="s">
        <v>6037</v>
      </c>
      <c r="AA467" s="2">
        <v>1000</v>
      </c>
      <c r="AB467" t="s">
        <v>5863</v>
      </c>
      <c r="AC467" t="s">
        <v>9976</v>
      </c>
      <c r="AD467" s="32">
        <v>43243</v>
      </c>
      <c r="AJ467" t="s">
        <v>9958</v>
      </c>
      <c r="AL467" t="s">
        <v>10767</v>
      </c>
    </row>
    <row r="468" spans="1:38">
      <c r="A468" t="s">
        <v>7552</v>
      </c>
      <c r="B468" t="s">
        <v>11889</v>
      </c>
      <c r="C468" t="s">
        <v>7707</v>
      </c>
      <c r="D468" t="s">
        <v>7708</v>
      </c>
      <c r="E468" s="2">
        <v>5000</v>
      </c>
      <c r="F468" s="2">
        <v>5000</v>
      </c>
      <c r="G468" s="3">
        <v>43309</v>
      </c>
      <c r="H468" s="4">
        <v>0.39092592592593001</v>
      </c>
      <c r="I468" s="3">
        <v>43309</v>
      </c>
      <c r="J468" s="4">
        <v>0.88112268518518999</v>
      </c>
      <c r="K468" s="2">
        <v>20</v>
      </c>
      <c r="L468" t="s">
        <v>5856</v>
      </c>
      <c r="M468" t="s">
        <v>6727</v>
      </c>
      <c r="N468" s="3">
        <v>43311</v>
      </c>
      <c r="O468" s="3">
        <v>43311</v>
      </c>
      <c r="P468" t="s">
        <v>7472</v>
      </c>
      <c r="Q468" t="s">
        <v>7709</v>
      </c>
      <c r="R468" t="s">
        <v>6036</v>
      </c>
      <c r="S468" s="3">
        <v>43311</v>
      </c>
      <c r="T468" t="s">
        <v>9938</v>
      </c>
      <c r="U468" t="s">
        <v>6582</v>
      </c>
      <c r="V468" t="s">
        <v>7710</v>
      </c>
      <c r="W468" t="s">
        <v>5857</v>
      </c>
      <c r="X468" s="2">
        <v>425</v>
      </c>
      <c r="Y468" t="s">
        <v>5858</v>
      </c>
      <c r="Z468" t="s">
        <v>6037</v>
      </c>
      <c r="AA468" s="2">
        <v>5000</v>
      </c>
      <c r="AB468" t="s">
        <v>5863</v>
      </c>
      <c r="AC468" t="s">
        <v>9976</v>
      </c>
      <c r="AD468" s="32">
        <v>43248</v>
      </c>
      <c r="AJ468" t="s">
        <v>9958</v>
      </c>
      <c r="AL468" t="s">
        <v>10768</v>
      </c>
    </row>
    <row r="469" spans="1:38">
      <c r="A469" t="s">
        <v>7552</v>
      </c>
      <c r="B469" t="s">
        <v>13075</v>
      </c>
      <c r="C469" t="s">
        <v>13076</v>
      </c>
      <c r="D469" t="s">
        <v>13077</v>
      </c>
      <c r="E469" s="5">
        <v>8268.75</v>
      </c>
      <c r="F469" s="5">
        <v>8268.75</v>
      </c>
      <c r="G469" s="3">
        <v>43310</v>
      </c>
      <c r="H469" s="4">
        <v>0.55085648148148003</v>
      </c>
      <c r="I469" s="3">
        <v>43311</v>
      </c>
      <c r="J469" s="4">
        <v>0.36151620370370002</v>
      </c>
      <c r="K469" s="2">
        <v>20</v>
      </c>
      <c r="L469" t="s">
        <v>5856</v>
      </c>
      <c r="M469" t="s">
        <v>13078</v>
      </c>
      <c r="N469" s="3">
        <v>43314</v>
      </c>
      <c r="O469" s="3">
        <v>43313</v>
      </c>
      <c r="P469" t="s">
        <v>6580</v>
      </c>
      <c r="Q469" t="s">
        <v>13079</v>
      </c>
      <c r="R469" t="s">
        <v>6036</v>
      </c>
      <c r="S469" s="3">
        <v>43314</v>
      </c>
      <c r="T469" t="s">
        <v>9938</v>
      </c>
      <c r="U469" t="s">
        <v>5961</v>
      </c>
      <c r="V469" t="s">
        <v>13080</v>
      </c>
      <c r="W469" t="s">
        <v>6038</v>
      </c>
      <c r="X469" s="2">
        <v>425</v>
      </c>
      <c r="Y469" t="s">
        <v>5858</v>
      </c>
      <c r="Z469" t="s">
        <v>6037</v>
      </c>
      <c r="AA469" s="2">
        <v>7875</v>
      </c>
      <c r="AB469" t="s">
        <v>5863</v>
      </c>
      <c r="AC469" t="s">
        <v>9976</v>
      </c>
      <c r="AD469" s="32">
        <v>43280</v>
      </c>
      <c r="AJ469" t="s">
        <v>9958</v>
      </c>
      <c r="AL469" t="s">
        <v>13935</v>
      </c>
    </row>
    <row r="470" spans="1:38">
      <c r="A470" t="s">
        <v>7552</v>
      </c>
      <c r="B470" t="s">
        <v>11890</v>
      </c>
      <c r="C470" t="s">
        <v>7711</v>
      </c>
      <c r="D470" t="s">
        <v>7712</v>
      </c>
      <c r="E470" s="2">
        <v>6300</v>
      </c>
      <c r="F470" s="2">
        <v>6300</v>
      </c>
      <c r="G470" s="3">
        <v>43311</v>
      </c>
      <c r="H470" s="4">
        <v>0.38234953703704</v>
      </c>
      <c r="I470" s="3">
        <v>43312</v>
      </c>
      <c r="J470" s="4">
        <v>0</v>
      </c>
      <c r="K470" s="2">
        <v>20</v>
      </c>
      <c r="L470" t="s">
        <v>5856</v>
      </c>
      <c r="M470" t="s">
        <v>7713</v>
      </c>
      <c r="N470" s="3">
        <v>43314</v>
      </c>
      <c r="O470" s="3">
        <v>43313</v>
      </c>
      <c r="P470" t="s">
        <v>6580</v>
      </c>
      <c r="Q470" t="s">
        <v>7714</v>
      </c>
      <c r="R470" t="s">
        <v>6036</v>
      </c>
      <c r="S470" s="3">
        <v>43314</v>
      </c>
      <c r="T470" t="s">
        <v>9938</v>
      </c>
      <c r="U470" t="s">
        <v>6582</v>
      </c>
      <c r="V470" t="s">
        <v>7715</v>
      </c>
      <c r="W470" t="s">
        <v>5857</v>
      </c>
      <c r="X470" s="2">
        <v>425</v>
      </c>
      <c r="Y470" t="s">
        <v>5858</v>
      </c>
      <c r="Z470" t="s">
        <v>6037</v>
      </c>
      <c r="AA470" s="2">
        <v>6000</v>
      </c>
      <c r="AB470" t="s">
        <v>5863</v>
      </c>
      <c r="AC470" t="s">
        <v>9976</v>
      </c>
      <c r="AD470" s="32">
        <v>43276</v>
      </c>
      <c r="AJ470" t="s">
        <v>9958</v>
      </c>
      <c r="AL470" t="s">
        <v>10769</v>
      </c>
    </row>
    <row r="471" spans="1:38">
      <c r="A471" t="s">
        <v>7552</v>
      </c>
      <c r="B471" t="s">
        <v>13081</v>
      </c>
      <c r="C471" t="s">
        <v>13082</v>
      </c>
      <c r="D471" t="s">
        <v>13083</v>
      </c>
      <c r="E471" s="2">
        <v>525</v>
      </c>
      <c r="F471" s="2">
        <v>525</v>
      </c>
      <c r="G471" s="3">
        <v>43316</v>
      </c>
      <c r="H471" s="4">
        <v>0.94853009259259002</v>
      </c>
      <c r="I471" s="3">
        <v>43317</v>
      </c>
      <c r="J471" s="4">
        <v>0</v>
      </c>
      <c r="K471" s="2">
        <v>20</v>
      </c>
      <c r="L471" t="s">
        <v>5856</v>
      </c>
      <c r="M471" t="s">
        <v>7332</v>
      </c>
      <c r="N471" s="3">
        <v>43319</v>
      </c>
      <c r="O471" s="3">
        <v>43318</v>
      </c>
      <c r="P471" t="s">
        <v>5862</v>
      </c>
      <c r="Q471" t="s">
        <v>13084</v>
      </c>
      <c r="R471" t="s">
        <v>6036</v>
      </c>
      <c r="S471" s="3">
        <v>43319</v>
      </c>
      <c r="T471" t="s">
        <v>9938</v>
      </c>
      <c r="U471" t="s">
        <v>5961</v>
      </c>
      <c r="V471" t="s">
        <v>13085</v>
      </c>
      <c r="W471" t="s">
        <v>5857</v>
      </c>
      <c r="X471" s="2">
        <v>425</v>
      </c>
      <c r="Y471" t="s">
        <v>5858</v>
      </c>
      <c r="Z471" t="s">
        <v>6037</v>
      </c>
      <c r="AA471" s="2">
        <v>500</v>
      </c>
      <c r="AB471" t="s">
        <v>5863</v>
      </c>
      <c r="AC471" t="s">
        <v>9976</v>
      </c>
      <c r="AD471" s="32">
        <v>43280</v>
      </c>
      <c r="AJ471" t="s">
        <v>9958</v>
      </c>
      <c r="AL471" t="s">
        <v>13936</v>
      </c>
    </row>
    <row r="472" spans="1:38">
      <c r="A472" t="s">
        <v>7552</v>
      </c>
      <c r="B472" t="s">
        <v>11891</v>
      </c>
      <c r="C472" t="s">
        <v>7716</v>
      </c>
      <c r="D472" t="s">
        <v>7717</v>
      </c>
      <c r="E472" s="2">
        <v>2100</v>
      </c>
      <c r="F472" s="2">
        <v>2100</v>
      </c>
      <c r="G472" s="3">
        <v>43318</v>
      </c>
      <c r="H472" s="4">
        <v>0.79410879629630005</v>
      </c>
      <c r="I472" s="3">
        <v>43318</v>
      </c>
      <c r="J472" s="4">
        <v>0.99998842592592996</v>
      </c>
      <c r="K472" s="2">
        <v>0</v>
      </c>
      <c r="L472" t="s">
        <v>5856</v>
      </c>
      <c r="M472" t="s">
        <v>7322</v>
      </c>
      <c r="N472" s="3">
        <v>43320</v>
      </c>
      <c r="O472" s="3">
        <v>43320</v>
      </c>
      <c r="P472" t="s">
        <v>5911</v>
      </c>
      <c r="Q472" t="s">
        <v>13086</v>
      </c>
      <c r="R472" t="s">
        <v>6036</v>
      </c>
      <c r="S472" s="3">
        <v>43320</v>
      </c>
      <c r="T472" t="s">
        <v>9938</v>
      </c>
      <c r="U472" t="s">
        <v>7719</v>
      </c>
      <c r="V472" t="s">
        <v>7720</v>
      </c>
      <c r="W472" t="s">
        <v>5857</v>
      </c>
      <c r="X472" s="2">
        <v>0</v>
      </c>
      <c r="Y472" t="s">
        <v>5858</v>
      </c>
      <c r="Z472" t="s">
        <v>6037</v>
      </c>
      <c r="AA472" s="2">
        <v>2000</v>
      </c>
      <c r="AB472" t="s">
        <v>5861</v>
      </c>
      <c r="AC472" t="s">
        <v>9974</v>
      </c>
      <c r="AD472" s="32"/>
      <c r="AJ472" t="s">
        <v>9958</v>
      </c>
      <c r="AL472" t="s">
        <v>13937</v>
      </c>
    </row>
    <row r="473" spans="1:38">
      <c r="A473" t="s">
        <v>7552</v>
      </c>
      <c r="B473" t="s">
        <v>11892</v>
      </c>
      <c r="C473" t="s">
        <v>7721</v>
      </c>
      <c r="D473" t="s">
        <v>7722</v>
      </c>
      <c r="E473" s="2">
        <v>2000</v>
      </c>
      <c r="F473" s="2">
        <v>2000</v>
      </c>
      <c r="G473" s="3">
        <v>43319</v>
      </c>
      <c r="H473" s="4">
        <v>0.12201388888889</v>
      </c>
      <c r="I473" s="3">
        <v>43319</v>
      </c>
      <c r="J473" s="4">
        <v>0.31809027777777998</v>
      </c>
      <c r="K473" s="2">
        <v>20</v>
      </c>
      <c r="L473" t="s">
        <v>5856</v>
      </c>
      <c r="M473" t="s">
        <v>6598</v>
      </c>
      <c r="N473" s="3">
        <v>43322</v>
      </c>
      <c r="O473" s="3">
        <v>43321</v>
      </c>
      <c r="P473" t="s">
        <v>5862</v>
      </c>
      <c r="Q473" t="s">
        <v>7723</v>
      </c>
      <c r="R473" t="s">
        <v>6036</v>
      </c>
      <c r="S473" s="3">
        <v>43322</v>
      </c>
      <c r="T473" t="s">
        <v>9938</v>
      </c>
      <c r="U473" t="s">
        <v>5923</v>
      </c>
      <c r="V473" t="s">
        <v>7724</v>
      </c>
      <c r="W473" t="s">
        <v>5857</v>
      </c>
      <c r="X473" s="2">
        <v>425</v>
      </c>
      <c r="Y473" t="s">
        <v>5858</v>
      </c>
      <c r="Z473" t="s">
        <v>6037</v>
      </c>
      <c r="AA473" s="2">
        <v>2000</v>
      </c>
      <c r="AB473" t="s">
        <v>5863</v>
      </c>
      <c r="AC473" t="s">
        <v>9974</v>
      </c>
      <c r="AD473" s="32">
        <v>43140</v>
      </c>
      <c r="AI473" t="s">
        <v>9943</v>
      </c>
      <c r="AJ473" t="s">
        <v>9959</v>
      </c>
      <c r="AL473" t="s">
        <v>10771</v>
      </c>
    </row>
    <row r="474" spans="1:38">
      <c r="A474" t="s">
        <v>7552</v>
      </c>
      <c r="B474" t="s">
        <v>11893</v>
      </c>
      <c r="C474" t="s">
        <v>7641</v>
      </c>
      <c r="D474" t="s">
        <v>7642</v>
      </c>
      <c r="E474" s="2">
        <v>4000</v>
      </c>
      <c r="F474" s="2">
        <v>4000</v>
      </c>
      <c r="G474" s="3">
        <v>43325</v>
      </c>
      <c r="H474" s="4">
        <v>0.60784722222221998</v>
      </c>
      <c r="I474" s="3">
        <v>43326</v>
      </c>
      <c r="J474" s="4">
        <v>0</v>
      </c>
      <c r="K474" s="2">
        <v>20</v>
      </c>
      <c r="L474" t="s">
        <v>5856</v>
      </c>
      <c r="M474" t="s">
        <v>7643</v>
      </c>
      <c r="N474" s="3">
        <v>43328</v>
      </c>
      <c r="O474" s="3">
        <v>43327</v>
      </c>
      <c r="P474" t="s">
        <v>5862</v>
      </c>
      <c r="Q474" t="s">
        <v>7725</v>
      </c>
      <c r="R474" t="s">
        <v>6036</v>
      </c>
      <c r="S474" s="3">
        <v>43328</v>
      </c>
      <c r="T474" t="s">
        <v>9938</v>
      </c>
      <c r="U474" t="s">
        <v>5963</v>
      </c>
      <c r="V474" t="s">
        <v>7645</v>
      </c>
      <c r="W474" t="s">
        <v>5857</v>
      </c>
      <c r="X474" s="2">
        <v>425</v>
      </c>
      <c r="Y474" t="s">
        <v>5858</v>
      </c>
      <c r="Z474" t="s">
        <v>6037</v>
      </c>
      <c r="AA474" s="2">
        <v>4000</v>
      </c>
      <c r="AB474" t="s">
        <v>5863</v>
      </c>
      <c r="AC474" t="s">
        <v>9978</v>
      </c>
      <c r="AD474" s="32"/>
      <c r="AJ474" t="s">
        <v>9958</v>
      </c>
      <c r="AL474" t="s">
        <v>10772</v>
      </c>
    </row>
    <row r="475" spans="1:38">
      <c r="A475" t="s">
        <v>7552</v>
      </c>
      <c r="B475" t="s">
        <v>11894</v>
      </c>
      <c r="C475" t="s">
        <v>7726</v>
      </c>
      <c r="D475" t="s">
        <v>7727</v>
      </c>
      <c r="E475" s="2">
        <v>1000</v>
      </c>
      <c r="F475" s="2">
        <v>1000</v>
      </c>
      <c r="G475" s="3">
        <v>43331</v>
      </c>
      <c r="H475" s="4">
        <v>0.90195601851852003</v>
      </c>
      <c r="I475" s="3">
        <v>43332</v>
      </c>
      <c r="J475" s="4">
        <v>0</v>
      </c>
      <c r="K475" s="2">
        <v>20</v>
      </c>
      <c r="L475" t="s">
        <v>5856</v>
      </c>
      <c r="M475" t="s">
        <v>6634</v>
      </c>
      <c r="N475" s="3">
        <v>43334</v>
      </c>
      <c r="O475" s="3">
        <v>43333</v>
      </c>
      <c r="P475" t="s">
        <v>5883</v>
      </c>
      <c r="Q475" t="s">
        <v>7728</v>
      </c>
      <c r="R475" t="s">
        <v>6036</v>
      </c>
      <c r="S475" s="3">
        <v>43334</v>
      </c>
      <c r="T475" t="s">
        <v>9938</v>
      </c>
      <c r="U475" t="s">
        <v>5893</v>
      </c>
      <c r="V475" t="s">
        <v>7729</v>
      </c>
      <c r="W475" t="s">
        <v>5857</v>
      </c>
      <c r="X475" s="2">
        <v>425</v>
      </c>
      <c r="Y475" t="s">
        <v>5858</v>
      </c>
      <c r="Z475" t="s">
        <v>6037</v>
      </c>
      <c r="AA475" s="2">
        <v>1000</v>
      </c>
      <c r="AB475" t="s">
        <v>5863</v>
      </c>
      <c r="AD475" s="32"/>
      <c r="AI475" t="s">
        <v>9943</v>
      </c>
      <c r="AJ475" t="s">
        <v>9958</v>
      </c>
      <c r="AL475" t="s">
        <v>10773</v>
      </c>
    </row>
    <row r="476" spans="1:38">
      <c r="A476" t="s">
        <v>7552</v>
      </c>
      <c r="B476" t="s">
        <v>11895</v>
      </c>
      <c r="C476" t="s">
        <v>7730</v>
      </c>
      <c r="D476" t="s">
        <v>7731</v>
      </c>
      <c r="E476" s="2">
        <v>10000</v>
      </c>
      <c r="F476" s="2">
        <v>10000</v>
      </c>
      <c r="G476" s="3">
        <v>43337</v>
      </c>
      <c r="H476" s="4">
        <v>1.960648148148E-2</v>
      </c>
      <c r="I476" s="3">
        <v>43338</v>
      </c>
      <c r="J476" s="4">
        <v>0</v>
      </c>
      <c r="K476" s="2">
        <v>0</v>
      </c>
      <c r="L476" t="s">
        <v>5856</v>
      </c>
      <c r="M476" t="s">
        <v>7487</v>
      </c>
      <c r="N476" s="3">
        <v>43340</v>
      </c>
      <c r="O476" s="3">
        <v>43339</v>
      </c>
      <c r="P476" t="s">
        <v>5992</v>
      </c>
      <c r="Q476" t="s">
        <v>7732</v>
      </c>
      <c r="R476" t="s">
        <v>6036</v>
      </c>
      <c r="S476" s="3">
        <v>43340</v>
      </c>
      <c r="T476" t="s">
        <v>9938</v>
      </c>
      <c r="U476" t="s">
        <v>5879</v>
      </c>
      <c r="V476" t="s">
        <v>7733</v>
      </c>
      <c r="W476" t="s">
        <v>5857</v>
      </c>
      <c r="X476" s="2">
        <v>425</v>
      </c>
      <c r="Y476" t="s">
        <v>5858</v>
      </c>
      <c r="Z476" t="s">
        <v>6037</v>
      </c>
      <c r="AA476" s="2">
        <v>10000</v>
      </c>
      <c r="AB476" t="s">
        <v>5863</v>
      </c>
      <c r="AC476" t="s">
        <v>9974</v>
      </c>
      <c r="AD476" s="32"/>
      <c r="AI476" t="s">
        <v>9943</v>
      </c>
      <c r="AJ476" t="s">
        <v>9959</v>
      </c>
      <c r="AL476" t="s">
        <v>10774</v>
      </c>
    </row>
    <row r="477" spans="1:38">
      <c r="A477" t="s">
        <v>7552</v>
      </c>
      <c r="B477" t="s">
        <v>11896</v>
      </c>
      <c r="C477" t="s">
        <v>7631</v>
      </c>
      <c r="D477" t="s">
        <v>7632</v>
      </c>
      <c r="E477" s="2">
        <v>500</v>
      </c>
      <c r="F477" s="2">
        <v>500</v>
      </c>
      <c r="G477" s="3">
        <v>43339</v>
      </c>
      <c r="H477" s="4">
        <v>0.83210648148148003</v>
      </c>
      <c r="I477" s="3">
        <v>43339</v>
      </c>
      <c r="J477" s="4">
        <v>0.88112268518518999</v>
      </c>
      <c r="K477" s="2">
        <v>0</v>
      </c>
      <c r="L477" t="s">
        <v>5856</v>
      </c>
      <c r="M477" t="s">
        <v>7494</v>
      </c>
      <c r="N477" s="3">
        <v>43342</v>
      </c>
      <c r="O477" s="3">
        <v>43341</v>
      </c>
      <c r="P477" t="s">
        <v>5911</v>
      </c>
      <c r="Q477" t="s">
        <v>7734</v>
      </c>
      <c r="R477" t="s">
        <v>6036</v>
      </c>
      <c r="S477" s="3">
        <v>43342</v>
      </c>
      <c r="T477" t="s">
        <v>9938</v>
      </c>
      <c r="U477" t="s">
        <v>6052</v>
      </c>
      <c r="V477" t="s">
        <v>7634</v>
      </c>
      <c r="W477" t="s">
        <v>5857</v>
      </c>
      <c r="X477" s="2">
        <v>425</v>
      </c>
      <c r="Y477" t="s">
        <v>5858</v>
      </c>
      <c r="Z477" t="s">
        <v>6037</v>
      </c>
      <c r="AA477" s="2">
        <v>500</v>
      </c>
      <c r="AB477" t="s">
        <v>5863</v>
      </c>
      <c r="AC477" t="s">
        <v>9974</v>
      </c>
      <c r="AD477" s="32"/>
      <c r="AJ477" t="s">
        <v>9958</v>
      </c>
      <c r="AL477" t="s">
        <v>10775</v>
      </c>
    </row>
    <row r="478" spans="1:38">
      <c r="A478" t="s">
        <v>7552</v>
      </c>
      <c r="B478" t="s">
        <v>11897</v>
      </c>
      <c r="C478" t="s">
        <v>7735</v>
      </c>
      <c r="D478" t="s">
        <v>7736</v>
      </c>
      <c r="E478" s="2">
        <v>1000</v>
      </c>
      <c r="F478" s="2">
        <v>1000</v>
      </c>
      <c r="G478" s="3">
        <v>43339</v>
      </c>
      <c r="H478" s="4">
        <v>0.90195601851852003</v>
      </c>
      <c r="I478" s="3">
        <v>43340</v>
      </c>
      <c r="J478" s="4">
        <v>0</v>
      </c>
      <c r="K478" s="2">
        <v>4</v>
      </c>
      <c r="L478" t="s">
        <v>5856</v>
      </c>
      <c r="M478" t="s">
        <v>6634</v>
      </c>
      <c r="N478" s="3">
        <v>43342</v>
      </c>
      <c r="O478" s="3">
        <v>43341</v>
      </c>
      <c r="P478" t="s">
        <v>5992</v>
      </c>
      <c r="Q478" t="s">
        <v>7737</v>
      </c>
      <c r="R478" t="s">
        <v>6036</v>
      </c>
      <c r="S478" s="3">
        <v>43342</v>
      </c>
      <c r="T478" t="s">
        <v>9938</v>
      </c>
      <c r="U478" t="s">
        <v>6705</v>
      </c>
      <c r="V478" t="s">
        <v>7738</v>
      </c>
      <c r="W478" t="s">
        <v>5857</v>
      </c>
      <c r="X478" s="2">
        <v>425</v>
      </c>
      <c r="Y478" t="s">
        <v>5858</v>
      </c>
      <c r="Z478" t="s">
        <v>6037</v>
      </c>
      <c r="AA478" s="2">
        <v>1000</v>
      </c>
      <c r="AB478" t="s">
        <v>5863</v>
      </c>
      <c r="AC478" t="s">
        <v>9976</v>
      </c>
      <c r="AD478" s="32"/>
      <c r="AI478" t="s">
        <v>9946</v>
      </c>
      <c r="AJ478" t="s">
        <v>9958</v>
      </c>
      <c r="AL478" t="s">
        <v>10776</v>
      </c>
    </row>
    <row r="479" spans="1:38">
      <c r="A479" t="s">
        <v>7552</v>
      </c>
      <c r="B479" t="s">
        <v>11898</v>
      </c>
      <c r="C479" t="s">
        <v>7739</v>
      </c>
      <c r="D479" t="s">
        <v>7740</v>
      </c>
      <c r="E479" s="2">
        <v>2000</v>
      </c>
      <c r="F479" s="2">
        <v>2000</v>
      </c>
      <c r="G479" s="3">
        <v>43345</v>
      </c>
      <c r="H479" s="4">
        <v>0.80392361111110999</v>
      </c>
      <c r="I479" s="3">
        <v>43346</v>
      </c>
      <c r="J479" s="4">
        <v>0</v>
      </c>
      <c r="K479" s="2">
        <v>20</v>
      </c>
      <c r="L479" t="s">
        <v>5856</v>
      </c>
      <c r="M479" t="s">
        <v>6598</v>
      </c>
      <c r="N479" s="3">
        <v>43348</v>
      </c>
      <c r="O479" s="3">
        <v>43347</v>
      </c>
      <c r="P479" t="s">
        <v>5964</v>
      </c>
      <c r="Q479" t="s">
        <v>7741</v>
      </c>
      <c r="R479" t="s">
        <v>6036</v>
      </c>
      <c r="S479" s="3">
        <v>43348</v>
      </c>
      <c r="T479" t="s">
        <v>9938</v>
      </c>
      <c r="U479" t="s">
        <v>5874</v>
      </c>
      <c r="V479" t="s">
        <v>7663</v>
      </c>
      <c r="W479" t="s">
        <v>5857</v>
      </c>
      <c r="X479" s="2">
        <v>425</v>
      </c>
      <c r="Y479" t="s">
        <v>5858</v>
      </c>
      <c r="Z479" t="s">
        <v>6037</v>
      </c>
      <c r="AA479" s="2">
        <v>2000</v>
      </c>
      <c r="AB479" t="s">
        <v>5863</v>
      </c>
      <c r="AC479" t="s">
        <v>9978</v>
      </c>
      <c r="AD479" s="32"/>
      <c r="AI479" t="s">
        <v>9943</v>
      </c>
      <c r="AJ479" t="s">
        <v>9958</v>
      </c>
      <c r="AL479" t="s">
        <v>13938</v>
      </c>
    </row>
    <row r="480" spans="1:38">
      <c r="A480" t="s">
        <v>7552</v>
      </c>
      <c r="B480" t="s">
        <v>11899</v>
      </c>
      <c r="C480" t="s">
        <v>7742</v>
      </c>
      <c r="D480" t="s">
        <v>7743</v>
      </c>
      <c r="E480" s="2">
        <v>2000</v>
      </c>
      <c r="F480" s="2">
        <v>2000</v>
      </c>
      <c r="G480" s="3">
        <v>43346</v>
      </c>
      <c r="H480" s="4">
        <v>0.80392361111110999</v>
      </c>
      <c r="I480" s="3">
        <v>43347</v>
      </c>
      <c r="J480" s="4">
        <v>0</v>
      </c>
      <c r="K480" s="2">
        <v>20</v>
      </c>
      <c r="L480" t="s">
        <v>5856</v>
      </c>
      <c r="M480" t="s">
        <v>6598</v>
      </c>
      <c r="N480" s="3">
        <v>43349</v>
      </c>
      <c r="O480" s="3">
        <v>43348</v>
      </c>
      <c r="P480" t="s">
        <v>5911</v>
      </c>
      <c r="Q480" t="s">
        <v>7744</v>
      </c>
      <c r="R480" t="s">
        <v>6036</v>
      </c>
      <c r="S480" s="3">
        <v>43349</v>
      </c>
      <c r="T480" t="s">
        <v>9938</v>
      </c>
      <c r="U480" t="s">
        <v>6052</v>
      </c>
      <c r="V480" t="s">
        <v>7745</v>
      </c>
      <c r="W480" t="s">
        <v>5857</v>
      </c>
      <c r="X480" s="2">
        <v>425</v>
      </c>
      <c r="Y480" t="s">
        <v>5858</v>
      </c>
      <c r="Z480" t="s">
        <v>6037</v>
      </c>
      <c r="AA480" s="2">
        <v>2000</v>
      </c>
      <c r="AB480" t="s">
        <v>5863</v>
      </c>
      <c r="AD480" s="32"/>
      <c r="AJ480" t="s">
        <v>9958</v>
      </c>
      <c r="AL480" t="s">
        <v>10778</v>
      </c>
    </row>
    <row r="481" spans="1:38">
      <c r="A481" t="s">
        <v>7552</v>
      </c>
      <c r="B481" t="s">
        <v>11900</v>
      </c>
      <c r="C481" t="s">
        <v>7746</v>
      </c>
      <c r="D481" t="s">
        <v>7747</v>
      </c>
      <c r="E481" s="2">
        <v>1000</v>
      </c>
      <c r="F481" s="2">
        <v>1000</v>
      </c>
      <c r="G481" s="3">
        <v>43349</v>
      </c>
      <c r="H481" s="4">
        <v>0.90195601851852003</v>
      </c>
      <c r="I481" s="3">
        <v>43350</v>
      </c>
      <c r="J481" s="4">
        <v>0</v>
      </c>
      <c r="K481" s="2">
        <v>0</v>
      </c>
      <c r="L481" t="s">
        <v>5856</v>
      </c>
      <c r="M481" t="s">
        <v>6634</v>
      </c>
      <c r="N481" s="3">
        <v>43353</v>
      </c>
      <c r="O481" s="3">
        <v>43351</v>
      </c>
      <c r="P481" t="s">
        <v>5992</v>
      </c>
      <c r="Q481" t="s">
        <v>7748</v>
      </c>
      <c r="R481" t="s">
        <v>6036</v>
      </c>
      <c r="S481" s="3">
        <v>43353</v>
      </c>
      <c r="T481" t="s">
        <v>9938</v>
      </c>
      <c r="U481" t="s">
        <v>6705</v>
      </c>
      <c r="V481" t="s">
        <v>7749</v>
      </c>
      <c r="W481" t="s">
        <v>5857</v>
      </c>
      <c r="X481" s="2">
        <v>425</v>
      </c>
      <c r="Y481" t="s">
        <v>5858</v>
      </c>
      <c r="Z481" t="s">
        <v>6037</v>
      </c>
      <c r="AA481" s="2">
        <v>1000</v>
      </c>
      <c r="AB481" t="s">
        <v>5863</v>
      </c>
      <c r="AD481" s="32"/>
      <c r="AI481" t="s">
        <v>9946</v>
      </c>
      <c r="AJ481" t="s">
        <v>9958</v>
      </c>
      <c r="AL481" t="s">
        <v>10779</v>
      </c>
    </row>
    <row r="482" spans="1:38">
      <c r="A482" t="s">
        <v>7552</v>
      </c>
      <c r="B482" t="s">
        <v>11901</v>
      </c>
      <c r="C482" t="s">
        <v>6539</v>
      </c>
      <c r="D482" t="s">
        <v>6540</v>
      </c>
      <c r="E482" s="2">
        <v>10000</v>
      </c>
      <c r="F482" s="2">
        <v>10000</v>
      </c>
      <c r="G482" s="3">
        <v>43354</v>
      </c>
      <c r="H482" s="4">
        <v>1.960648148148E-2</v>
      </c>
      <c r="I482" s="3">
        <v>43355</v>
      </c>
      <c r="J482" s="4">
        <v>0</v>
      </c>
      <c r="K482" s="2">
        <v>20</v>
      </c>
      <c r="L482" t="s">
        <v>5856</v>
      </c>
      <c r="M482" t="s">
        <v>7487</v>
      </c>
      <c r="N482" s="3">
        <v>43357</v>
      </c>
      <c r="O482" s="3">
        <v>43356</v>
      </c>
      <c r="P482" t="s">
        <v>5862</v>
      </c>
      <c r="Q482" t="s">
        <v>7750</v>
      </c>
      <c r="R482" t="s">
        <v>6036</v>
      </c>
      <c r="S482" s="3">
        <v>43357</v>
      </c>
      <c r="T482" t="s">
        <v>9938</v>
      </c>
      <c r="U482" t="s">
        <v>6541</v>
      </c>
      <c r="V482" t="s">
        <v>6542</v>
      </c>
      <c r="W482" t="s">
        <v>5857</v>
      </c>
      <c r="X482" s="2">
        <v>425</v>
      </c>
      <c r="Y482" t="s">
        <v>5858</v>
      </c>
      <c r="Z482" t="s">
        <v>6037</v>
      </c>
      <c r="AA482" s="2">
        <v>10000</v>
      </c>
      <c r="AB482" t="s">
        <v>5863</v>
      </c>
      <c r="AC482" t="s">
        <v>9974</v>
      </c>
      <c r="AD482" s="32"/>
      <c r="AJ482" t="s">
        <v>9959</v>
      </c>
      <c r="AL482" t="s">
        <v>10780</v>
      </c>
    </row>
    <row r="483" spans="1:38">
      <c r="A483" t="s">
        <v>7751</v>
      </c>
      <c r="B483" t="s">
        <v>11902</v>
      </c>
      <c r="C483" t="s">
        <v>7752</v>
      </c>
      <c r="D483" t="s">
        <v>7753</v>
      </c>
      <c r="E483" s="2">
        <v>945</v>
      </c>
      <c r="F483" s="2">
        <v>1045</v>
      </c>
      <c r="G483" s="3">
        <v>43274</v>
      </c>
      <c r="H483" s="4">
        <v>0.12797453703704001</v>
      </c>
      <c r="I483" s="3">
        <v>43274</v>
      </c>
      <c r="J483" s="4">
        <v>0.28348379629629999</v>
      </c>
      <c r="K483" s="2">
        <v>0</v>
      </c>
      <c r="L483" t="s">
        <v>5856</v>
      </c>
      <c r="M483" t="s">
        <v>7754</v>
      </c>
      <c r="N483" s="3">
        <v>43286</v>
      </c>
      <c r="O483" s="3">
        <v>43276</v>
      </c>
      <c r="P483" t="s">
        <v>7755</v>
      </c>
      <c r="Q483" t="s">
        <v>7756</v>
      </c>
      <c r="R483" t="s">
        <v>6036</v>
      </c>
      <c r="S483" s="3">
        <v>43286</v>
      </c>
      <c r="T483" t="s">
        <v>9938</v>
      </c>
      <c r="U483" t="s">
        <v>7757</v>
      </c>
      <c r="V483" t="s">
        <v>7758</v>
      </c>
      <c r="W483" t="s">
        <v>5857</v>
      </c>
      <c r="X483" s="2">
        <v>280</v>
      </c>
      <c r="Y483" t="s">
        <v>5858</v>
      </c>
      <c r="Z483" t="s">
        <v>6037</v>
      </c>
      <c r="AA483" s="2">
        <v>945</v>
      </c>
      <c r="AB483" t="s">
        <v>5859</v>
      </c>
      <c r="AC483" t="s">
        <v>9981</v>
      </c>
      <c r="AD483" s="32"/>
      <c r="AI483" t="s">
        <v>9939</v>
      </c>
      <c r="AJ483" t="s">
        <v>9962</v>
      </c>
      <c r="AL483" t="s">
        <v>10781</v>
      </c>
    </row>
    <row r="484" spans="1:38">
      <c r="A484" t="s">
        <v>7751</v>
      </c>
      <c r="B484" t="s">
        <v>11903</v>
      </c>
      <c r="C484" t="s">
        <v>7769</v>
      </c>
      <c r="D484" t="s">
        <v>7770</v>
      </c>
      <c r="E484" s="2">
        <v>2200</v>
      </c>
      <c r="F484" s="2">
        <v>2200</v>
      </c>
      <c r="G484" s="3">
        <v>43276</v>
      </c>
      <c r="H484" s="4">
        <v>6.25E-2</v>
      </c>
      <c r="I484" s="3">
        <v>43276</v>
      </c>
      <c r="J484" s="4">
        <v>0.38988425925926001</v>
      </c>
      <c r="K484" s="2">
        <v>0</v>
      </c>
      <c r="L484" t="s">
        <v>5856</v>
      </c>
      <c r="M484" t="s">
        <v>7771</v>
      </c>
      <c r="N484" s="3">
        <v>43278</v>
      </c>
      <c r="O484" s="3">
        <v>43278</v>
      </c>
      <c r="P484" t="s">
        <v>5967</v>
      </c>
      <c r="Q484" t="s">
        <v>7772</v>
      </c>
      <c r="R484" t="s">
        <v>6036</v>
      </c>
      <c r="S484" s="3">
        <v>43278</v>
      </c>
      <c r="T484" t="s">
        <v>9938</v>
      </c>
      <c r="U484" t="s">
        <v>7773</v>
      </c>
      <c r="V484" t="s">
        <v>5916</v>
      </c>
      <c r="W484" t="s">
        <v>5857</v>
      </c>
      <c r="X484" s="2">
        <v>280</v>
      </c>
      <c r="Y484" t="s">
        <v>5858</v>
      </c>
      <c r="Z484" t="s">
        <v>6037</v>
      </c>
      <c r="AA484" s="2">
        <v>2200</v>
      </c>
      <c r="AB484" t="s">
        <v>5859</v>
      </c>
      <c r="AC484" t="s">
        <v>9981</v>
      </c>
      <c r="AD484" s="32">
        <v>43270</v>
      </c>
      <c r="AJ484" t="s">
        <v>9962</v>
      </c>
      <c r="AL484" t="s">
        <v>13939</v>
      </c>
    </row>
    <row r="485" spans="1:38">
      <c r="A485" t="s">
        <v>7751</v>
      </c>
      <c r="B485" t="s">
        <v>11909</v>
      </c>
      <c r="C485" t="s">
        <v>7802</v>
      </c>
      <c r="D485" t="s">
        <v>7803</v>
      </c>
      <c r="E485" s="2">
        <v>30</v>
      </c>
      <c r="F485" s="2">
        <v>330</v>
      </c>
      <c r="G485" s="3">
        <v>43277</v>
      </c>
      <c r="H485" s="4">
        <v>0.87004629629630004</v>
      </c>
      <c r="I485" s="3">
        <v>43277</v>
      </c>
      <c r="J485" s="4">
        <v>0.91915509259258998</v>
      </c>
      <c r="K485" s="2">
        <v>20</v>
      </c>
      <c r="L485" t="s">
        <v>5856</v>
      </c>
      <c r="M485" t="s">
        <v>7804</v>
      </c>
      <c r="N485" s="3">
        <v>43278</v>
      </c>
      <c r="O485" s="3">
        <v>43279</v>
      </c>
      <c r="P485" t="s">
        <v>7805</v>
      </c>
      <c r="Q485" t="s">
        <v>6038</v>
      </c>
      <c r="R485" t="s">
        <v>6039</v>
      </c>
      <c r="S485" s="3"/>
      <c r="T485" t="s">
        <v>9938</v>
      </c>
      <c r="U485" t="s">
        <v>7806</v>
      </c>
      <c r="V485" t="s">
        <v>7807</v>
      </c>
      <c r="W485" t="s">
        <v>5857</v>
      </c>
      <c r="X485" s="2">
        <v>280</v>
      </c>
      <c r="Y485" t="s">
        <v>5858</v>
      </c>
      <c r="Z485" t="s">
        <v>6037</v>
      </c>
      <c r="AA485" s="2">
        <v>30</v>
      </c>
      <c r="AB485" t="s">
        <v>5859</v>
      </c>
      <c r="AC485" t="s">
        <v>9981</v>
      </c>
      <c r="AD485" s="32">
        <v>43257</v>
      </c>
      <c r="AJ485" t="s">
        <v>9966</v>
      </c>
      <c r="AL485" t="s">
        <v>10787</v>
      </c>
    </row>
    <row r="486" spans="1:38">
      <c r="A486" t="s">
        <v>7751</v>
      </c>
      <c r="B486" t="s">
        <v>11904</v>
      </c>
      <c r="C486" t="s">
        <v>7774</v>
      </c>
      <c r="D486" t="s">
        <v>7775</v>
      </c>
      <c r="E486" s="2">
        <v>440</v>
      </c>
      <c r="F486" s="2">
        <v>440</v>
      </c>
      <c r="G486" s="3">
        <v>43277</v>
      </c>
      <c r="H486" s="4">
        <v>0.88541666666666996</v>
      </c>
      <c r="I486" s="3">
        <v>43277</v>
      </c>
      <c r="J486" s="4">
        <v>0.95089120370369995</v>
      </c>
      <c r="K486" s="2">
        <v>20</v>
      </c>
      <c r="L486" t="s">
        <v>5856</v>
      </c>
      <c r="M486" t="s">
        <v>7776</v>
      </c>
      <c r="N486" s="3">
        <v>43290</v>
      </c>
      <c r="O486" s="3">
        <v>43282</v>
      </c>
      <c r="P486" t="s">
        <v>5967</v>
      </c>
      <c r="Q486" t="s">
        <v>7777</v>
      </c>
      <c r="R486" t="s">
        <v>6036</v>
      </c>
      <c r="S486" s="3">
        <v>43290</v>
      </c>
      <c r="T486" t="s">
        <v>9938</v>
      </c>
      <c r="U486" t="s">
        <v>7778</v>
      </c>
      <c r="V486" t="s">
        <v>7779</v>
      </c>
      <c r="W486" t="s">
        <v>5914</v>
      </c>
      <c r="X486" s="2">
        <v>280</v>
      </c>
      <c r="Y486" t="s">
        <v>5858</v>
      </c>
      <c r="Z486" t="s">
        <v>6037</v>
      </c>
      <c r="AA486" s="2">
        <v>400</v>
      </c>
      <c r="AB486" t="s">
        <v>5859</v>
      </c>
      <c r="AC486" t="s">
        <v>9981</v>
      </c>
      <c r="AD486" s="32">
        <v>43262</v>
      </c>
      <c r="AJ486" t="s">
        <v>9962</v>
      </c>
      <c r="AL486" t="s">
        <v>10782</v>
      </c>
    </row>
    <row r="487" spans="1:38">
      <c r="A487" t="s">
        <v>7751</v>
      </c>
      <c r="B487" t="s">
        <v>11910</v>
      </c>
      <c r="C487" t="s">
        <v>7808</v>
      </c>
      <c r="D487" t="s">
        <v>7809</v>
      </c>
      <c r="E487" s="2">
        <v>0</v>
      </c>
      <c r="F487" s="2">
        <v>550</v>
      </c>
      <c r="G487" s="3">
        <v>43277</v>
      </c>
      <c r="H487" s="4">
        <v>0.94693287037036999</v>
      </c>
      <c r="I487" s="3">
        <v>43278</v>
      </c>
      <c r="J487" s="4">
        <v>2.8773148148150001E-2</v>
      </c>
      <c r="K487" s="2">
        <v>0</v>
      </c>
      <c r="L487" t="s">
        <v>5856</v>
      </c>
      <c r="M487" t="s">
        <v>7810</v>
      </c>
      <c r="N487" s="3">
        <v>43278</v>
      </c>
      <c r="O487" s="3">
        <v>43280</v>
      </c>
      <c r="P487" t="s">
        <v>7805</v>
      </c>
      <c r="Q487" t="s">
        <v>6038</v>
      </c>
      <c r="R487" t="s">
        <v>6039</v>
      </c>
      <c r="S487" s="3"/>
      <c r="T487" t="s">
        <v>9938</v>
      </c>
      <c r="U487" t="s">
        <v>7811</v>
      </c>
      <c r="V487" t="s">
        <v>7812</v>
      </c>
      <c r="W487" t="s">
        <v>5857</v>
      </c>
      <c r="X487" s="2">
        <v>280</v>
      </c>
      <c r="Y487" t="s">
        <v>5858</v>
      </c>
      <c r="Z487" t="s">
        <v>6037</v>
      </c>
      <c r="AA487" s="2">
        <v>0</v>
      </c>
      <c r="AB487" t="s">
        <v>5859</v>
      </c>
      <c r="AC487" t="s">
        <v>9981</v>
      </c>
      <c r="AD487" s="32">
        <v>43223</v>
      </c>
      <c r="AJ487" t="s">
        <v>9966</v>
      </c>
      <c r="AL487" t="s">
        <v>10788</v>
      </c>
    </row>
    <row r="488" spans="1:38">
      <c r="A488" t="s">
        <v>7751</v>
      </c>
      <c r="B488" t="s">
        <v>11905</v>
      </c>
      <c r="C488" t="s">
        <v>7781</v>
      </c>
      <c r="D488" t="s">
        <v>7782</v>
      </c>
      <c r="E488" s="2">
        <v>2134</v>
      </c>
      <c r="F488" s="2">
        <v>2134</v>
      </c>
      <c r="G488" s="3">
        <v>43278</v>
      </c>
      <c r="H488" s="4">
        <v>0.49168981481481</v>
      </c>
      <c r="I488" s="3">
        <v>43278</v>
      </c>
      <c r="J488" s="4">
        <v>0.80924768518518997</v>
      </c>
      <c r="K488" s="2">
        <v>0</v>
      </c>
      <c r="L488" t="s">
        <v>5856</v>
      </c>
      <c r="M488" t="s">
        <v>7783</v>
      </c>
      <c r="N488" s="3">
        <v>43308</v>
      </c>
      <c r="O488" s="3">
        <v>43280</v>
      </c>
      <c r="P488" t="s">
        <v>7784</v>
      </c>
      <c r="Q488" t="s">
        <v>7785</v>
      </c>
      <c r="R488" t="s">
        <v>6036</v>
      </c>
      <c r="S488" s="3">
        <v>43308</v>
      </c>
      <c r="T488" t="s">
        <v>9938</v>
      </c>
      <c r="U488" t="s">
        <v>7786</v>
      </c>
      <c r="V488" t="s">
        <v>7787</v>
      </c>
      <c r="W488" t="s">
        <v>5914</v>
      </c>
      <c r="X488" s="2">
        <v>280</v>
      </c>
      <c r="Y488" t="s">
        <v>5858</v>
      </c>
      <c r="Z488" t="s">
        <v>6037</v>
      </c>
      <c r="AA488" s="2">
        <v>2134</v>
      </c>
      <c r="AB488" t="s">
        <v>5859</v>
      </c>
      <c r="AC488" t="s">
        <v>9981</v>
      </c>
      <c r="AD488" s="32">
        <v>43179</v>
      </c>
      <c r="AJ488" t="s">
        <v>9965</v>
      </c>
      <c r="AL488" t="s">
        <v>10783</v>
      </c>
    </row>
    <row r="489" spans="1:38">
      <c r="A489" t="s">
        <v>7751</v>
      </c>
      <c r="B489" t="s">
        <v>11906</v>
      </c>
      <c r="C489" t="s">
        <v>7788</v>
      </c>
      <c r="D489" t="s">
        <v>7789</v>
      </c>
      <c r="E489" s="2">
        <v>2200</v>
      </c>
      <c r="F489" s="2">
        <v>2200</v>
      </c>
      <c r="G489" s="3">
        <v>43278</v>
      </c>
      <c r="H489" s="4">
        <v>0.83702546296295999</v>
      </c>
      <c r="I489" s="3">
        <v>43279</v>
      </c>
      <c r="J489" s="4">
        <v>0.16440972222222</v>
      </c>
      <c r="K489" s="2">
        <v>20</v>
      </c>
      <c r="L489" t="s">
        <v>5856</v>
      </c>
      <c r="M489" t="s">
        <v>7771</v>
      </c>
      <c r="N489" s="3">
        <v>43301</v>
      </c>
      <c r="O489" s="3">
        <v>43281</v>
      </c>
      <c r="P489" t="s">
        <v>7790</v>
      </c>
      <c r="Q489" t="s">
        <v>7791</v>
      </c>
      <c r="R489" t="s">
        <v>6036</v>
      </c>
      <c r="S489" s="3">
        <v>43301</v>
      </c>
      <c r="T489" t="s">
        <v>9938</v>
      </c>
      <c r="U489" t="s">
        <v>7792</v>
      </c>
      <c r="V489" t="s">
        <v>7787</v>
      </c>
      <c r="W489" t="s">
        <v>5914</v>
      </c>
      <c r="X489" s="2">
        <v>280</v>
      </c>
      <c r="Y489" t="s">
        <v>5858</v>
      </c>
      <c r="Z489" t="s">
        <v>6037</v>
      </c>
      <c r="AA489" s="2">
        <v>2200</v>
      </c>
      <c r="AB489" t="s">
        <v>5859</v>
      </c>
      <c r="AC489" t="s">
        <v>9981</v>
      </c>
      <c r="AD489" s="32">
        <v>43217</v>
      </c>
      <c r="AJ489" t="s">
        <v>9965</v>
      </c>
      <c r="AL489" t="s">
        <v>10784</v>
      </c>
    </row>
    <row r="490" spans="1:38">
      <c r="A490" t="s">
        <v>7751</v>
      </c>
      <c r="B490" t="s">
        <v>11907</v>
      </c>
      <c r="C490" t="s">
        <v>7793</v>
      </c>
      <c r="D490" t="s">
        <v>7794</v>
      </c>
      <c r="E490" s="2">
        <v>1562</v>
      </c>
      <c r="F490" s="2">
        <v>1562</v>
      </c>
      <c r="G490" s="3">
        <v>43279</v>
      </c>
      <c r="H490" s="4">
        <v>0.39109953703703998</v>
      </c>
      <c r="I490" s="3">
        <v>43279</v>
      </c>
      <c r="J490" s="4">
        <v>0.62354166666666999</v>
      </c>
      <c r="K490" s="2">
        <v>0</v>
      </c>
      <c r="L490" t="s">
        <v>5856</v>
      </c>
      <c r="M490" t="s">
        <v>7795</v>
      </c>
      <c r="N490" s="3">
        <v>43283</v>
      </c>
      <c r="O490" s="3">
        <v>43281</v>
      </c>
      <c r="P490" t="s">
        <v>7790</v>
      </c>
      <c r="Q490" t="s">
        <v>7796</v>
      </c>
      <c r="R490" t="s">
        <v>6036</v>
      </c>
      <c r="S490" s="3">
        <v>43283</v>
      </c>
      <c r="T490" t="s">
        <v>9938</v>
      </c>
      <c r="U490" t="s">
        <v>7797</v>
      </c>
      <c r="V490" t="s">
        <v>7787</v>
      </c>
      <c r="W490" t="s">
        <v>5914</v>
      </c>
      <c r="X490" s="2">
        <v>280</v>
      </c>
      <c r="Y490" t="s">
        <v>5858</v>
      </c>
      <c r="Z490" t="s">
        <v>6037</v>
      </c>
      <c r="AA490" s="2">
        <v>1562</v>
      </c>
      <c r="AB490" t="s">
        <v>5859</v>
      </c>
      <c r="AC490" t="s">
        <v>9981</v>
      </c>
      <c r="AD490" s="32">
        <v>43256</v>
      </c>
      <c r="AJ490" t="s">
        <v>9962</v>
      </c>
      <c r="AL490" t="s">
        <v>10785</v>
      </c>
    </row>
    <row r="491" spans="1:38">
      <c r="A491" t="s">
        <v>7751</v>
      </c>
      <c r="B491" t="s">
        <v>11908</v>
      </c>
      <c r="C491" t="s">
        <v>7798</v>
      </c>
      <c r="D491" t="s">
        <v>7799</v>
      </c>
      <c r="E491" s="2">
        <v>700</v>
      </c>
      <c r="F491" s="2">
        <v>700</v>
      </c>
      <c r="G491" s="3">
        <v>43279</v>
      </c>
      <c r="H491" s="4">
        <v>0.50297453703703998</v>
      </c>
      <c r="I491" s="3">
        <v>43279</v>
      </c>
      <c r="J491" s="4">
        <v>0.60714120370369995</v>
      </c>
      <c r="K491" s="2">
        <v>4</v>
      </c>
      <c r="L491" t="s">
        <v>5856</v>
      </c>
      <c r="M491" t="s">
        <v>6984</v>
      </c>
      <c r="N491" s="3">
        <v>43305</v>
      </c>
      <c r="O491" s="3">
        <v>43281</v>
      </c>
      <c r="P491" t="s">
        <v>5862</v>
      </c>
      <c r="Q491" t="s">
        <v>6038</v>
      </c>
      <c r="R491" t="s">
        <v>6039</v>
      </c>
      <c r="S491" s="3"/>
      <c r="T491" t="s">
        <v>9938</v>
      </c>
      <c r="U491" t="s">
        <v>7800</v>
      </c>
      <c r="V491" t="s">
        <v>7801</v>
      </c>
      <c r="W491" t="s">
        <v>6038</v>
      </c>
      <c r="X491" s="2">
        <v>280</v>
      </c>
      <c r="Y491" t="s">
        <v>5858</v>
      </c>
      <c r="Z491" t="s">
        <v>6037</v>
      </c>
      <c r="AA491" s="2">
        <v>700</v>
      </c>
      <c r="AB491" t="s">
        <v>5863</v>
      </c>
      <c r="AC491" t="s">
        <v>9981</v>
      </c>
      <c r="AD491" s="32">
        <v>43263</v>
      </c>
      <c r="AJ491" t="s">
        <v>9964</v>
      </c>
      <c r="AL491" t="s">
        <v>10786</v>
      </c>
    </row>
    <row r="492" spans="1:38">
      <c r="A492" t="s">
        <v>7751</v>
      </c>
      <c r="B492" t="s">
        <v>11911</v>
      </c>
      <c r="C492" t="s">
        <v>7813</v>
      </c>
      <c r="D492" t="s">
        <v>7814</v>
      </c>
      <c r="E492" s="2">
        <v>0</v>
      </c>
      <c r="F492" s="2">
        <v>528</v>
      </c>
      <c r="G492" s="3">
        <v>43280</v>
      </c>
      <c r="H492" s="4">
        <v>2.0833333333330002E-2</v>
      </c>
      <c r="I492" s="3">
        <v>43280</v>
      </c>
      <c r="J492" s="4">
        <v>9.9409722222219998E-2</v>
      </c>
      <c r="K492" s="2">
        <v>0</v>
      </c>
      <c r="L492" t="s">
        <v>5856</v>
      </c>
      <c r="M492" t="s">
        <v>7815</v>
      </c>
      <c r="N492" s="3">
        <v>43290</v>
      </c>
      <c r="O492" s="3">
        <v>43282</v>
      </c>
      <c r="P492" t="s">
        <v>7755</v>
      </c>
      <c r="Q492" t="s">
        <v>6038</v>
      </c>
      <c r="R492" t="s">
        <v>6039</v>
      </c>
      <c r="S492" s="3"/>
      <c r="T492" t="s">
        <v>9938</v>
      </c>
      <c r="U492" t="s">
        <v>7816</v>
      </c>
      <c r="V492" t="s">
        <v>7817</v>
      </c>
      <c r="W492" t="s">
        <v>5914</v>
      </c>
      <c r="X492" s="2">
        <v>280</v>
      </c>
      <c r="Y492" t="s">
        <v>5858</v>
      </c>
      <c r="Z492" t="s">
        <v>6037</v>
      </c>
      <c r="AA492" s="2">
        <v>0</v>
      </c>
      <c r="AB492" t="s">
        <v>5859</v>
      </c>
      <c r="AC492" t="s">
        <v>9981</v>
      </c>
      <c r="AD492" s="32">
        <v>43265</v>
      </c>
      <c r="AI492" t="s">
        <v>9939</v>
      </c>
      <c r="AJ492" t="s">
        <v>9963</v>
      </c>
      <c r="AL492" t="s">
        <v>10789</v>
      </c>
    </row>
    <row r="493" spans="1:38">
      <c r="A493" t="s">
        <v>7751</v>
      </c>
      <c r="B493" t="s">
        <v>13087</v>
      </c>
      <c r="C493" t="s">
        <v>13088</v>
      </c>
      <c r="D493" t="s">
        <v>13089</v>
      </c>
      <c r="E493" s="2">
        <v>330</v>
      </c>
      <c r="F493" s="2">
        <v>330</v>
      </c>
      <c r="G493" s="3">
        <v>43281</v>
      </c>
      <c r="H493" s="4">
        <v>2.0833333333330002E-2</v>
      </c>
      <c r="I493" s="3">
        <v>43281</v>
      </c>
      <c r="J493" s="4">
        <v>6.9942129629630007E-2</v>
      </c>
      <c r="K493" s="2">
        <v>25</v>
      </c>
      <c r="L493" t="s">
        <v>5856</v>
      </c>
      <c r="M493" t="s">
        <v>7804</v>
      </c>
      <c r="N493" s="3">
        <v>43283</v>
      </c>
      <c r="O493" s="3">
        <v>43283</v>
      </c>
      <c r="P493" t="s">
        <v>5862</v>
      </c>
      <c r="Q493" t="s">
        <v>13090</v>
      </c>
      <c r="R493" t="s">
        <v>6036</v>
      </c>
      <c r="S493" s="3">
        <v>43283</v>
      </c>
      <c r="T493" t="s">
        <v>9938</v>
      </c>
      <c r="U493" t="s">
        <v>7800</v>
      </c>
      <c r="V493" t="s">
        <v>13091</v>
      </c>
      <c r="W493" t="s">
        <v>6038</v>
      </c>
      <c r="X493" s="2">
        <v>280</v>
      </c>
      <c r="Y493" t="s">
        <v>5858</v>
      </c>
      <c r="Z493" t="s">
        <v>6037</v>
      </c>
      <c r="AA493" s="2">
        <v>300</v>
      </c>
      <c r="AB493" t="s">
        <v>5859</v>
      </c>
      <c r="AC493" t="s">
        <v>9981</v>
      </c>
      <c r="AD493" s="32">
        <v>43280</v>
      </c>
      <c r="AJ493" t="s">
        <v>9964</v>
      </c>
      <c r="AL493" t="s">
        <v>13940</v>
      </c>
    </row>
    <row r="494" spans="1:38">
      <c r="A494" t="s">
        <v>7751</v>
      </c>
      <c r="B494" t="s">
        <v>13092</v>
      </c>
      <c r="C494" t="s">
        <v>9857</v>
      </c>
      <c r="D494" t="s">
        <v>9858</v>
      </c>
      <c r="E494" s="2">
        <v>1100</v>
      </c>
      <c r="F494" s="2">
        <v>1100</v>
      </c>
      <c r="G494" s="3">
        <v>43282</v>
      </c>
      <c r="H494" s="4">
        <v>0.37796296296296</v>
      </c>
      <c r="I494" s="3">
        <v>43282</v>
      </c>
      <c r="J494" s="4">
        <v>0.54165509259259004</v>
      </c>
      <c r="K494" s="2">
        <v>0</v>
      </c>
      <c r="L494" t="s">
        <v>5856</v>
      </c>
      <c r="M494" t="s">
        <v>7761</v>
      </c>
      <c r="N494" s="3">
        <v>43284</v>
      </c>
      <c r="O494" s="3">
        <v>43284</v>
      </c>
      <c r="P494" t="s">
        <v>6020</v>
      </c>
      <c r="Q494" t="s">
        <v>13093</v>
      </c>
      <c r="R494" t="s">
        <v>6036</v>
      </c>
      <c r="S494" s="3">
        <v>43284</v>
      </c>
      <c r="T494" t="s">
        <v>9938</v>
      </c>
      <c r="U494" t="s">
        <v>7915</v>
      </c>
      <c r="V494" t="s">
        <v>5860</v>
      </c>
      <c r="W494" t="s">
        <v>5857</v>
      </c>
      <c r="X494" s="2">
        <v>0</v>
      </c>
      <c r="Y494" t="s">
        <v>5858</v>
      </c>
      <c r="Z494" t="s">
        <v>6037</v>
      </c>
      <c r="AA494" s="2">
        <v>1000</v>
      </c>
      <c r="AB494" t="s">
        <v>5915</v>
      </c>
      <c r="AC494" t="s">
        <v>9982</v>
      </c>
      <c r="AD494" s="32"/>
      <c r="AI494" t="s">
        <v>9939</v>
      </c>
      <c r="AJ494" t="s">
        <v>9967</v>
      </c>
      <c r="AL494" t="s">
        <v>13941</v>
      </c>
    </row>
    <row r="495" spans="1:38">
      <c r="A495" t="s">
        <v>7751</v>
      </c>
      <c r="B495" t="s">
        <v>11912</v>
      </c>
      <c r="C495" t="s">
        <v>7752</v>
      </c>
      <c r="D495" t="s">
        <v>7753</v>
      </c>
      <c r="E495" s="2">
        <v>330</v>
      </c>
      <c r="F495" s="2">
        <v>330</v>
      </c>
      <c r="G495" s="3">
        <v>43282</v>
      </c>
      <c r="H495" s="4">
        <v>0.81319444444444</v>
      </c>
      <c r="I495" s="3">
        <v>43282</v>
      </c>
      <c r="J495" s="4">
        <v>0.86230324074074005</v>
      </c>
      <c r="K495" s="2">
        <v>0</v>
      </c>
      <c r="L495" t="s">
        <v>5856</v>
      </c>
      <c r="M495" t="s">
        <v>7804</v>
      </c>
      <c r="N495" s="3">
        <v>43285</v>
      </c>
      <c r="O495" s="3">
        <v>43284</v>
      </c>
      <c r="P495" t="s">
        <v>7755</v>
      </c>
      <c r="Q495" t="s">
        <v>7818</v>
      </c>
      <c r="R495" t="s">
        <v>6036</v>
      </c>
      <c r="S495" s="3">
        <v>43285</v>
      </c>
      <c r="T495" t="s">
        <v>9938</v>
      </c>
      <c r="U495" t="s">
        <v>7757</v>
      </c>
      <c r="V495" t="s">
        <v>7758</v>
      </c>
      <c r="W495" t="s">
        <v>5857</v>
      </c>
      <c r="X495" s="2">
        <v>280</v>
      </c>
      <c r="Y495" t="s">
        <v>5858</v>
      </c>
      <c r="Z495" t="s">
        <v>6037</v>
      </c>
      <c r="AA495" s="2">
        <v>330</v>
      </c>
      <c r="AB495" t="s">
        <v>5859</v>
      </c>
      <c r="AC495" t="s">
        <v>9981</v>
      </c>
      <c r="AD495" s="32">
        <v>43264</v>
      </c>
      <c r="AI495" t="s">
        <v>9939</v>
      </c>
      <c r="AJ495" t="s">
        <v>9962</v>
      </c>
      <c r="AL495" t="s">
        <v>10790</v>
      </c>
    </row>
    <row r="496" spans="1:38">
      <c r="A496" t="s">
        <v>7751</v>
      </c>
      <c r="B496" t="s">
        <v>11916</v>
      </c>
      <c r="C496" t="s">
        <v>7839</v>
      </c>
      <c r="D496" t="s">
        <v>7840</v>
      </c>
      <c r="E496" s="2">
        <v>1100</v>
      </c>
      <c r="F496" s="2">
        <v>1100</v>
      </c>
      <c r="G496" s="3">
        <v>43283</v>
      </c>
      <c r="H496" s="4">
        <v>0.87797453703703998</v>
      </c>
      <c r="I496" s="3">
        <v>43284</v>
      </c>
      <c r="J496" s="4">
        <v>4.1666666666670002E-2</v>
      </c>
      <c r="K496" s="2">
        <v>20</v>
      </c>
      <c r="L496" t="s">
        <v>5856</v>
      </c>
      <c r="M496" t="s">
        <v>7761</v>
      </c>
      <c r="N496" s="3">
        <v>43290</v>
      </c>
      <c r="O496" s="3">
        <v>43286</v>
      </c>
      <c r="P496" t="s">
        <v>7841</v>
      </c>
      <c r="Q496" t="s">
        <v>7842</v>
      </c>
      <c r="R496" t="s">
        <v>6036</v>
      </c>
      <c r="S496" s="3">
        <v>43290</v>
      </c>
      <c r="T496" t="s">
        <v>9938</v>
      </c>
      <c r="U496" t="s">
        <v>7843</v>
      </c>
      <c r="V496" t="s">
        <v>5916</v>
      </c>
      <c r="W496" t="s">
        <v>5857</v>
      </c>
      <c r="X496" s="2">
        <v>280</v>
      </c>
      <c r="Y496" t="s">
        <v>5858</v>
      </c>
      <c r="Z496" t="s">
        <v>6037</v>
      </c>
      <c r="AA496" s="2">
        <v>1000</v>
      </c>
      <c r="AB496" t="s">
        <v>5859</v>
      </c>
      <c r="AC496" t="s">
        <v>9981</v>
      </c>
      <c r="AD496" s="32">
        <v>43273</v>
      </c>
      <c r="AJ496" t="s">
        <v>9962</v>
      </c>
      <c r="AL496" t="s">
        <v>13942</v>
      </c>
    </row>
    <row r="497" spans="1:38">
      <c r="A497" t="s">
        <v>7751</v>
      </c>
      <c r="B497" t="s">
        <v>11913</v>
      </c>
      <c r="C497" t="s">
        <v>7819</v>
      </c>
      <c r="D497" t="s">
        <v>7820</v>
      </c>
      <c r="E497" s="2">
        <v>325</v>
      </c>
      <c r="F497" s="2">
        <v>325</v>
      </c>
      <c r="G497" s="3">
        <v>43284</v>
      </c>
      <c r="H497" s="4">
        <v>0.50446759259259</v>
      </c>
      <c r="I497" s="3">
        <v>43284</v>
      </c>
      <c r="J497" s="4">
        <v>0.55283564814815001</v>
      </c>
      <c r="K497" s="2">
        <v>0</v>
      </c>
      <c r="L497" t="s">
        <v>5856</v>
      </c>
      <c r="M497" t="s">
        <v>7821</v>
      </c>
      <c r="N497" s="3">
        <v>43286</v>
      </c>
      <c r="O497" s="3">
        <v>43286</v>
      </c>
      <c r="P497" t="s">
        <v>5960</v>
      </c>
      <c r="Q497" t="s">
        <v>7822</v>
      </c>
      <c r="R497" t="s">
        <v>6036</v>
      </c>
      <c r="S497" s="3">
        <v>43286</v>
      </c>
      <c r="T497" t="s">
        <v>9938</v>
      </c>
      <c r="U497" t="s">
        <v>7823</v>
      </c>
      <c r="V497" t="s">
        <v>7824</v>
      </c>
      <c r="W497" t="s">
        <v>5857</v>
      </c>
      <c r="X497" s="2">
        <v>280</v>
      </c>
      <c r="Y497" t="s">
        <v>5858</v>
      </c>
      <c r="Z497" t="s">
        <v>6037</v>
      </c>
      <c r="AA497" s="2">
        <v>325</v>
      </c>
      <c r="AB497" t="s">
        <v>5863</v>
      </c>
      <c r="AC497" t="s">
        <v>9976</v>
      </c>
      <c r="AD497" s="32">
        <v>43265</v>
      </c>
      <c r="AJ497" t="s">
        <v>9967</v>
      </c>
      <c r="AL497" t="s">
        <v>10791</v>
      </c>
    </row>
    <row r="498" spans="1:38">
      <c r="A498" t="s">
        <v>7751</v>
      </c>
      <c r="B498" t="s">
        <v>11914</v>
      </c>
      <c r="C498" t="s">
        <v>7825</v>
      </c>
      <c r="D498" t="s">
        <v>7826</v>
      </c>
      <c r="E498" s="2">
        <v>550</v>
      </c>
      <c r="F498" s="2">
        <v>550</v>
      </c>
      <c r="G498" s="3">
        <v>43285</v>
      </c>
      <c r="H498" s="4">
        <v>2.0833333333330002E-2</v>
      </c>
      <c r="I498" s="3">
        <v>43285</v>
      </c>
      <c r="J498" s="4">
        <v>0.10268518518519</v>
      </c>
      <c r="K498" s="2">
        <v>0</v>
      </c>
      <c r="L498" t="s">
        <v>5856</v>
      </c>
      <c r="M498" t="s">
        <v>13094</v>
      </c>
      <c r="N498" s="3">
        <v>43287</v>
      </c>
      <c r="O498" s="3">
        <v>43287</v>
      </c>
      <c r="P498" t="s">
        <v>7828</v>
      </c>
      <c r="Q498" t="s">
        <v>7829</v>
      </c>
      <c r="R498" t="s">
        <v>6036</v>
      </c>
      <c r="S498" s="3">
        <v>43287</v>
      </c>
      <c r="T498" t="s">
        <v>9938</v>
      </c>
      <c r="U498" t="s">
        <v>7830</v>
      </c>
      <c r="V498" t="s">
        <v>6100</v>
      </c>
      <c r="W498" t="s">
        <v>5857</v>
      </c>
      <c r="X498" s="2">
        <v>280</v>
      </c>
      <c r="Y498" t="s">
        <v>5858</v>
      </c>
      <c r="Z498" t="s">
        <v>6037</v>
      </c>
      <c r="AA498" s="2">
        <v>500</v>
      </c>
      <c r="AB498" t="s">
        <v>5859</v>
      </c>
      <c r="AC498" t="s">
        <v>9982</v>
      </c>
      <c r="AD498" s="32">
        <v>43271</v>
      </c>
      <c r="AI498" t="s">
        <v>9939</v>
      </c>
      <c r="AJ498" t="s">
        <v>9967</v>
      </c>
      <c r="AL498" t="s">
        <v>13943</v>
      </c>
    </row>
    <row r="499" spans="1:38">
      <c r="A499" t="s">
        <v>7751</v>
      </c>
      <c r="B499" t="s">
        <v>13095</v>
      </c>
      <c r="C499" t="s">
        <v>7943</v>
      </c>
      <c r="D499" t="s">
        <v>7944</v>
      </c>
      <c r="E499" s="2">
        <v>330</v>
      </c>
      <c r="F499" s="2">
        <v>330</v>
      </c>
      <c r="G499" s="3">
        <v>43286</v>
      </c>
      <c r="H499" s="4">
        <v>0.30357638888888999</v>
      </c>
      <c r="I499" s="3">
        <v>43286</v>
      </c>
      <c r="J499" s="4">
        <v>0.35268518518518999</v>
      </c>
      <c r="K499" s="2">
        <v>6</v>
      </c>
      <c r="L499" t="s">
        <v>5856</v>
      </c>
      <c r="M499" t="s">
        <v>7804</v>
      </c>
      <c r="N499" s="3"/>
      <c r="O499" s="3">
        <v>43288</v>
      </c>
      <c r="P499" t="s">
        <v>6020</v>
      </c>
      <c r="Q499" t="s">
        <v>13096</v>
      </c>
      <c r="R499" t="s">
        <v>6036</v>
      </c>
      <c r="S499" s="3">
        <v>43284</v>
      </c>
      <c r="T499" t="s">
        <v>9938</v>
      </c>
      <c r="U499" t="s">
        <v>7800</v>
      </c>
      <c r="V499" t="s">
        <v>7832</v>
      </c>
      <c r="W499" t="s">
        <v>5914</v>
      </c>
      <c r="X499" s="2">
        <v>280</v>
      </c>
      <c r="Y499" t="s">
        <v>5858</v>
      </c>
      <c r="Z499" t="s">
        <v>6037</v>
      </c>
      <c r="AA499" s="2">
        <v>300</v>
      </c>
      <c r="AB499" t="s">
        <v>5859</v>
      </c>
      <c r="AC499" t="s">
        <v>9981</v>
      </c>
      <c r="AD499" s="32">
        <v>43279</v>
      </c>
      <c r="AJ499" t="s">
        <v>9964</v>
      </c>
      <c r="AL499" t="s">
        <v>13944</v>
      </c>
    </row>
    <row r="500" spans="1:38">
      <c r="A500" t="s">
        <v>7751</v>
      </c>
      <c r="B500" t="s">
        <v>11915</v>
      </c>
      <c r="C500" t="s">
        <v>7833</v>
      </c>
      <c r="D500" t="s">
        <v>7834</v>
      </c>
      <c r="E500" s="2">
        <v>1628</v>
      </c>
      <c r="F500" s="2">
        <v>1628</v>
      </c>
      <c r="G500" s="3">
        <v>43287</v>
      </c>
      <c r="H500" s="4">
        <v>7.5405092592589998E-2</v>
      </c>
      <c r="I500" s="3">
        <v>43287</v>
      </c>
      <c r="J500" s="4">
        <v>0.31767361111110998</v>
      </c>
      <c r="K500" s="2">
        <v>20</v>
      </c>
      <c r="L500" t="s">
        <v>5856</v>
      </c>
      <c r="M500" t="s">
        <v>7835</v>
      </c>
      <c r="N500" s="3">
        <v>43284</v>
      </c>
      <c r="O500" s="3">
        <v>43289</v>
      </c>
      <c r="P500" t="s">
        <v>5967</v>
      </c>
      <c r="Q500" t="s">
        <v>7836</v>
      </c>
      <c r="R500" t="s">
        <v>6042</v>
      </c>
      <c r="S500" s="3">
        <v>43284</v>
      </c>
      <c r="T500" t="s">
        <v>9938</v>
      </c>
      <c r="U500" t="s">
        <v>7837</v>
      </c>
      <c r="V500" t="s">
        <v>7838</v>
      </c>
      <c r="W500" t="s">
        <v>5914</v>
      </c>
      <c r="X500" s="2">
        <v>280</v>
      </c>
      <c r="Y500" t="s">
        <v>5858</v>
      </c>
      <c r="Z500" t="s">
        <v>6037</v>
      </c>
      <c r="AA500" s="2">
        <v>1480</v>
      </c>
      <c r="AB500" t="s">
        <v>5859</v>
      </c>
      <c r="AC500" t="s">
        <v>9981</v>
      </c>
      <c r="AD500" s="32">
        <v>43251</v>
      </c>
      <c r="AJ500" t="s">
        <v>9962</v>
      </c>
      <c r="AL500" t="s">
        <v>10792</v>
      </c>
    </row>
    <row r="501" spans="1:38">
      <c r="A501" t="s">
        <v>7751</v>
      </c>
      <c r="B501" t="s">
        <v>11920</v>
      </c>
      <c r="C501" t="s">
        <v>7864</v>
      </c>
      <c r="D501" t="s">
        <v>7865</v>
      </c>
      <c r="E501" s="2">
        <v>1100</v>
      </c>
      <c r="F501" s="2">
        <v>1100</v>
      </c>
      <c r="G501" s="3">
        <v>43288</v>
      </c>
      <c r="H501" s="4">
        <v>0.81547453703703998</v>
      </c>
      <c r="I501" s="3">
        <v>43288</v>
      </c>
      <c r="J501" s="4">
        <v>0.97916666666666996</v>
      </c>
      <c r="K501" s="2">
        <v>20</v>
      </c>
      <c r="L501" t="s">
        <v>5856</v>
      </c>
      <c r="M501" t="s">
        <v>7761</v>
      </c>
      <c r="N501" s="3">
        <v>43299</v>
      </c>
      <c r="O501" s="3">
        <v>43290</v>
      </c>
      <c r="P501" t="s">
        <v>6016</v>
      </c>
      <c r="Q501" t="s">
        <v>7866</v>
      </c>
      <c r="R501" t="s">
        <v>6042</v>
      </c>
      <c r="S501" s="3">
        <v>43299</v>
      </c>
      <c r="T501" t="s">
        <v>9938</v>
      </c>
      <c r="U501" t="s">
        <v>7867</v>
      </c>
      <c r="V501" t="s">
        <v>7868</v>
      </c>
      <c r="W501" t="s">
        <v>5914</v>
      </c>
      <c r="X501" s="2">
        <v>280</v>
      </c>
      <c r="Y501" t="s">
        <v>5858</v>
      </c>
      <c r="Z501" t="s">
        <v>6037</v>
      </c>
      <c r="AA501" s="2">
        <v>1000</v>
      </c>
      <c r="AB501" t="s">
        <v>5863</v>
      </c>
      <c r="AC501" t="s">
        <v>9981</v>
      </c>
      <c r="AD501" s="32">
        <v>43278</v>
      </c>
      <c r="AJ501" t="s">
        <v>9962</v>
      </c>
      <c r="AL501" t="s">
        <v>10796</v>
      </c>
    </row>
    <row r="502" spans="1:38">
      <c r="A502" t="s">
        <v>7751</v>
      </c>
      <c r="B502" t="s">
        <v>13097</v>
      </c>
      <c r="C502" t="s">
        <v>9413</v>
      </c>
      <c r="D502" t="s">
        <v>9414</v>
      </c>
      <c r="E502" s="2">
        <v>2200</v>
      </c>
      <c r="F502" s="2">
        <v>2200</v>
      </c>
      <c r="G502" s="3">
        <v>43288</v>
      </c>
      <c r="H502" s="4">
        <v>0.8484837962963</v>
      </c>
      <c r="I502" s="3">
        <v>43289</v>
      </c>
      <c r="J502" s="4">
        <v>0.17586805555556001</v>
      </c>
      <c r="K502" s="2">
        <v>0</v>
      </c>
      <c r="L502" t="s">
        <v>5856</v>
      </c>
      <c r="M502" t="s">
        <v>7771</v>
      </c>
      <c r="N502" s="3">
        <v>43294</v>
      </c>
      <c r="O502" s="3">
        <v>43291</v>
      </c>
      <c r="P502" t="s">
        <v>9416</v>
      </c>
      <c r="Q502" t="s">
        <v>9417</v>
      </c>
      <c r="R502" t="s">
        <v>6036</v>
      </c>
      <c r="S502" s="3">
        <v>43297</v>
      </c>
      <c r="T502" t="s">
        <v>9938</v>
      </c>
      <c r="U502" t="s">
        <v>9418</v>
      </c>
      <c r="V502" t="s">
        <v>9419</v>
      </c>
      <c r="W502" t="s">
        <v>5914</v>
      </c>
      <c r="X502" s="2">
        <v>280</v>
      </c>
      <c r="Y502" t="s">
        <v>5858</v>
      </c>
      <c r="Z502" t="s">
        <v>6037</v>
      </c>
      <c r="AA502" s="2">
        <v>2000</v>
      </c>
      <c r="AB502" t="s">
        <v>5863</v>
      </c>
      <c r="AC502" t="s">
        <v>9981</v>
      </c>
      <c r="AD502" s="32">
        <v>43280</v>
      </c>
      <c r="AJ502" t="s">
        <v>9962</v>
      </c>
      <c r="AL502" t="s">
        <v>13945</v>
      </c>
    </row>
    <row r="503" spans="1:38">
      <c r="A503" t="s">
        <v>7751</v>
      </c>
      <c r="B503" t="s">
        <v>12599</v>
      </c>
      <c r="C503" t="s">
        <v>9219</v>
      </c>
      <c r="D503" t="s">
        <v>9220</v>
      </c>
      <c r="E503" s="2">
        <v>1100</v>
      </c>
      <c r="F503" s="2">
        <v>1100</v>
      </c>
      <c r="G503" s="3">
        <v>43288</v>
      </c>
      <c r="H503" s="4">
        <v>0.92424768518518996</v>
      </c>
      <c r="I503" s="3">
        <v>43289</v>
      </c>
      <c r="J503" s="4">
        <v>8.7939814814810002E-2</v>
      </c>
      <c r="K503" s="2">
        <v>20</v>
      </c>
      <c r="L503" t="s">
        <v>5856</v>
      </c>
      <c r="M503" t="s">
        <v>7761</v>
      </c>
      <c r="N503" s="3">
        <v>43307</v>
      </c>
      <c r="O503" s="3">
        <v>43291</v>
      </c>
      <c r="P503" t="s">
        <v>5862</v>
      </c>
      <c r="Q503" t="s">
        <v>9462</v>
      </c>
      <c r="R503" t="s">
        <v>6036</v>
      </c>
      <c r="S503" s="3">
        <v>43307</v>
      </c>
      <c r="T503" t="s">
        <v>9938</v>
      </c>
      <c r="U503" t="s">
        <v>9222</v>
      </c>
      <c r="V503" t="s">
        <v>9223</v>
      </c>
      <c r="W503" t="s">
        <v>5914</v>
      </c>
      <c r="X503" s="2">
        <v>280</v>
      </c>
      <c r="Y503" t="s">
        <v>5858</v>
      </c>
      <c r="Z503" t="s">
        <v>6037</v>
      </c>
      <c r="AA503" s="2">
        <v>1000</v>
      </c>
      <c r="AB503" t="s">
        <v>5863</v>
      </c>
      <c r="AC503" t="s">
        <v>9981</v>
      </c>
      <c r="AD503" s="32">
        <v>43271</v>
      </c>
      <c r="AJ503" t="s">
        <v>9962</v>
      </c>
      <c r="AL503" t="s">
        <v>13946</v>
      </c>
    </row>
    <row r="504" spans="1:38">
      <c r="A504" t="s">
        <v>7751</v>
      </c>
      <c r="B504" t="s">
        <v>11917</v>
      </c>
      <c r="C504" t="s">
        <v>7849</v>
      </c>
      <c r="D504" t="s">
        <v>7850</v>
      </c>
      <c r="E504" s="2">
        <v>5500</v>
      </c>
      <c r="F504" s="2">
        <v>5500</v>
      </c>
      <c r="G504" s="3">
        <v>43289</v>
      </c>
      <c r="H504" s="4">
        <v>0.32043981481480999</v>
      </c>
      <c r="I504" s="3">
        <v>43290</v>
      </c>
      <c r="J504" s="4">
        <v>0.13888888888889001</v>
      </c>
      <c r="K504" s="2">
        <v>20</v>
      </c>
      <c r="L504" t="s">
        <v>5856</v>
      </c>
      <c r="M504" t="s">
        <v>7851</v>
      </c>
      <c r="N504" s="3">
        <v>43285</v>
      </c>
      <c r="O504" s="3">
        <v>43292</v>
      </c>
      <c r="P504" t="s">
        <v>7852</v>
      </c>
      <c r="Q504" t="s">
        <v>7853</v>
      </c>
      <c r="R504" t="s">
        <v>6036</v>
      </c>
      <c r="S504" s="3">
        <v>43285</v>
      </c>
      <c r="T504" t="s">
        <v>9938</v>
      </c>
      <c r="U504" t="s">
        <v>7854</v>
      </c>
      <c r="V504" t="s">
        <v>7787</v>
      </c>
      <c r="W504" t="s">
        <v>5857</v>
      </c>
      <c r="X504" s="2">
        <v>280</v>
      </c>
      <c r="Y504" t="s">
        <v>5858</v>
      </c>
      <c r="Z504" t="s">
        <v>6037</v>
      </c>
      <c r="AA504" s="2">
        <v>5500</v>
      </c>
      <c r="AB504" t="s">
        <v>5859</v>
      </c>
      <c r="AC504" t="s">
        <v>9981</v>
      </c>
      <c r="AD504" s="32">
        <v>43182</v>
      </c>
      <c r="AJ504" t="s">
        <v>9966</v>
      </c>
      <c r="AL504" t="s">
        <v>10793</v>
      </c>
    </row>
    <row r="505" spans="1:38">
      <c r="A505" t="s">
        <v>7751</v>
      </c>
      <c r="B505" t="s">
        <v>11918</v>
      </c>
      <c r="C505" t="s">
        <v>7855</v>
      </c>
      <c r="D505" t="s">
        <v>7856</v>
      </c>
      <c r="E505" s="2">
        <v>1100</v>
      </c>
      <c r="F505" s="2">
        <v>1100</v>
      </c>
      <c r="G505" s="3">
        <v>43290</v>
      </c>
      <c r="H505" s="4">
        <v>0.13888888888889001</v>
      </c>
      <c r="I505" s="3">
        <v>43290</v>
      </c>
      <c r="J505" s="4">
        <v>0.30258101851851998</v>
      </c>
      <c r="K505" s="2">
        <v>20</v>
      </c>
      <c r="L505" t="s">
        <v>5856</v>
      </c>
      <c r="M505" t="s">
        <v>7761</v>
      </c>
      <c r="N505" s="3">
        <v>43293</v>
      </c>
      <c r="O505" s="3">
        <v>43292</v>
      </c>
      <c r="P505" t="s">
        <v>6038</v>
      </c>
      <c r="Q505" t="s">
        <v>7857</v>
      </c>
      <c r="R505" t="s">
        <v>6036</v>
      </c>
      <c r="S505" s="3">
        <v>43293</v>
      </c>
      <c r="T505" t="s">
        <v>9938</v>
      </c>
      <c r="U505" t="s">
        <v>7858</v>
      </c>
      <c r="V505" t="s">
        <v>6073</v>
      </c>
      <c r="W505" t="s">
        <v>5857</v>
      </c>
      <c r="X505" s="2">
        <v>280</v>
      </c>
      <c r="Y505" t="s">
        <v>5858</v>
      </c>
      <c r="Z505" t="s">
        <v>6037</v>
      </c>
      <c r="AA505" s="2">
        <v>1000</v>
      </c>
      <c r="AB505" t="s">
        <v>5863</v>
      </c>
      <c r="AC505" t="s">
        <v>9982</v>
      </c>
      <c r="AD505" s="32">
        <v>43277</v>
      </c>
      <c r="AJ505" t="s">
        <v>9967</v>
      </c>
      <c r="AL505" t="s">
        <v>10794</v>
      </c>
    </row>
    <row r="506" spans="1:38">
      <c r="A506" t="s">
        <v>7751</v>
      </c>
      <c r="B506" t="s">
        <v>13098</v>
      </c>
      <c r="C506" t="s">
        <v>7764</v>
      </c>
      <c r="D506" t="s">
        <v>7765</v>
      </c>
      <c r="E506" s="2">
        <v>220</v>
      </c>
      <c r="F506" s="2">
        <v>220</v>
      </c>
      <c r="G506" s="3">
        <v>43290</v>
      </c>
      <c r="H506" s="4">
        <v>0.56695601851851996</v>
      </c>
      <c r="I506" s="3">
        <v>43290</v>
      </c>
      <c r="J506" s="4">
        <v>0.59969907407406997</v>
      </c>
      <c r="K506" s="2">
        <v>0</v>
      </c>
      <c r="L506" t="s">
        <v>5856</v>
      </c>
      <c r="M506" t="s">
        <v>13099</v>
      </c>
      <c r="N506" s="3">
        <v>43279</v>
      </c>
      <c r="O506" s="3">
        <v>43295</v>
      </c>
      <c r="P506" t="s">
        <v>7766</v>
      </c>
      <c r="Q506" t="s">
        <v>6038</v>
      </c>
      <c r="R506" t="s">
        <v>6039</v>
      </c>
      <c r="S506" s="3"/>
      <c r="T506" t="s">
        <v>9938</v>
      </c>
      <c r="U506" t="s">
        <v>7767</v>
      </c>
      <c r="V506" t="s">
        <v>7768</v>
      </c>
      <c r="W506" t="s">
        <v>5914</v>
      </c>
      <c r="X506" s="2">
        <v>0</v>
      </c>
      <c r="Y506" t="s">
        <v>5858</v>
      </c>
      <c r="Z506" t="s">
        <v>6037</v>
      </c>
      <c r="AA506" s="2">
        <v>200</v>
      </c>
      <c r="AB506" t="s">
        <v>5915</v>
      </c>
      <c r="AC506" t="s">
        <v>9981</v>
      </c>
      <c r="AD506" s="32"/>
      <c r="AJ506" t="s">
        <v>9961</v>
      </c>
      <c r="AL506" t="s">
        <v>13947</v>
      </c>
    </row>
    <row r="507" spans="1:38">
      <c r="A507" t="s">
        <v>7751</v>
      </c>
      <c r="B507" t="s">
        <v>13100</v>
      </c>
      <c r="C507" t="s">
        <v>7839</v>
      </c>
      <c r="D507" t="s">
        <v>7840</v>
      </c>
      <c r="E507" s="2">
        <v>1100</v>
      </c>
      <c r="F507" s="2">
        <v>1100</v>
      </c>
      <c r="G507" s="3">
        <v>43290</v>
      </c>
      <c r="H507" s="4">
        <v>0.66219907407406997</v>
      </c>
      <c r="I507" s="3">
        <v>43290</v>
      </c>
      <c r="J507" s="4">
        <v>0.82589120370369995</v>
      </c>
      <c r="K507" s="2">
        <v>20</v>
      </c>
      <c r="L507" t="s">
        <v>5856</v>
      </c>
      <c r="M507" t="s">
        <v>7761</v>
      </c>
      <c r="N507" s="3">
        <v>43300</v>
      </c>
      <c r="O507" s="3">
        <v>43292</v>
      </c>
      <c r="P507" t="s">
        <v>7841</v>
      </c>
      <c r="Q507" t="s">
        <v>13101</v>
      </c>
      <c r="R507" t="s">
        <v>6036</v>
      </c>
      <c r="S507" s="3">
        <v>43300</v>
      </c>
      <c r="T507" t="s">
        <v>9938</v>
      </c>
      <c r="U507" t="s">
        <v>7843</v>
      </c>
      <c r="V507" t="s">
        <v>5916</v>
      </c>
      <c r="W507" t="s">
        <v>5857</v>
      </c>
      <c r="X507" s="2">
        <v>280</v>
      </c>
      <c r="Y507" t="s">
        <v>5858</v>
      </c>
      <c r="Z507" t="s">
        <v>6037</v>
      </c>
      <c r="AA507" s="2">
        <v>1000</v>
      </c>
      <c r="AB507" t="s">
        <v>5863</v>
      </c>
      <c r="AC507" t="s">
        <v>9981</v>
      </c>
      <c r="AD507" s="32">
        <v>43280</v>
      </c>
      <c r="AJ507" t="s">
        <v>9962</v>
      </c>
      <c r="AL507" t="s">
        <v>13948</v>
      </c>
    </row>
    <row r="508" spans="1:38">
      <c r="A508" t="s">
        <v>7751</v>
      </c>
      <c r="B508" t="s">
        <v>11919</v>
      </c>
      <c r="C508" t="s">
        <v>7859</v>
      </c>
      <c r="D508" t="s">
        <v>7860</v>
      </c>
      <c r="E508" s="2">
        <v>330</v>
      </c>
      <c r="F508" s="2">
        <v>330</v>
      </c>
      <c r="G508" s="3">
        <v>43290</v>
      </c>
      <c r="H508" s="4">
        <v>0.95089120370369995</v>
      </c>
      <c r="I508" s="3">
        <v>43291</v>
      </c>
      <c r="J508" s="4">
        <v>0</v>
      </c>
      <c r="K508" s="2">
        <v>0</v>
      </c>
      <c r="L508" t="s">
        <v>5856</v>
      </c>
      <c r="M508" t="s">
        <v>7804</v>
      </c>
      <c r="N508" s="3">
        <v>43293</v>
      </c>
      <c r="O508" s="3">
        <v>43292</v>
      </c>
      <c r="P508" t="s">
        <v>7861</v>
      </c>
      <c r="Q508" t="s">
        <v>7862</v>
      </c>
      <c r="R508" t="s">
        <v>6036</v>
      </c>
      <c r="S508" s="3">
        <v>43293</v>
      </c>
      <c r="T508" t="s">
        <v>9938</v>
      </c>
      <c r="U508" t="s">
        <v>7811</v>
      </c>
      <c r="V508" t="s">
        <v>7863</v>
      </c>
      <c r="W508" t="s">
        <v>5857</v>
      </c>
      <c r="X508" s="2">
        <v>280</v>
      </c>
      <c r="Y508" t="s">
        <v>5858</v>
      </c>
      <c r="Z508" t="s">
        <v>6037</v>
      </c>
      <c r="AA508" s="2">
        <v>300</v>
      </c>
      <c r="AB508" t="s">
        <v>5859</v>
      </c>
      <c r="AC508" t="s">
        <v>9981</v>
      </c>
      <c r="AD508" s="32">
        <v>43278</v>
      </c>
      <c r="AJ508" t="s">
        <v>9966</v>
      </c>
      <c r="AL508" t="s">
        <v>10795</v>
      </c>
    </row>
    <row r="509" spans="1:38">
      <c r="A509" t="s">
        <v>7751</v>
      </c>
      <c r="B509" t="s">
        <v>11921</v>
      </c>
      <c r="C509" t="s">
        <v>7869</v>
      </c>
      <c r="D509" t="s">
        <v>7870</v>
      </c>
      <c r="E509" s="2">
        <v>2090</v>
      </c>
      <c r="F509" s="2">
        <v>2090</v>
      </c>
      <c r="G509" s="3">
        <v>43295</v>
      </c>
      <c r="H509" s="4">
        <v>2.0821759259260001E-2</v>
      </c>
      <c r="I509" s="3">
        <v>43295</v>
      </c>
      <c r="J509" s="4">
        <v>0.33184027777778002</v>
      </c>
      <c r="K509" s="2">
        <v>0</v>
      </c>
      <c r="L509" t="s">
        <v>5856</v>
      </c>
      <c r="M509" t="s">
        <v>13102</v>
      </c>
      <c r="N509" s="3">
        <v>43293</v>
      </c>
      <c r="O509" s="3">
        <v>43297</v>
      </c>
      <c r="P509" t="s">
        <v>5912</v>
      </c>
      <c r="Q509" t="s">
        <v>7871</v>
      </c>
      <c r="R509" t="s">
        <v>6036</v>
      </c>
      <c r="S509" s="3">
        <v>43293</v>
      </c>
      <c r="T509" t="s">
        <v>9938</v>
      </c>
      <c r="U509" t="s">
        <v>5865</v>
      </c>
      <c r="V509" t="s">
        <v>7872</v>
      </c>
      <c r="W509" t="s">
        <v>5857</v>
      </c>
      <c r="X509" s="2">
        <v>280</v>
      </c>
      <c r="Y509" t="s">
        <v>5858</v>
      </c>
      <c r="Z509" t="s">
        <v>6037</v>
      </c>
      <c r="AA509" s="2">
        <v>1900</v>
      </c>
      <c r="AB509" t="s">
        <v>5859</v>
      </c>
      <c r="AC509" t="s">
        <v>9974</v>
      </c>
      <c r="AD509" s="32">
        <v>43186</v>
      </c>
      <c r="AI509" t="s">
        <v>9939</v>
      </c>
      <c r="AJ509" t="s">
        <v>9967</v>
      </c>
      <c r="AL509" t="s">
        <v>13949</v>
      </c>
    </row>
    <row r="510" spans="1:38">
      <c r="A510" t="s">
        <v>7751</v>
      </c>
      <c r="B510" t="s">
        <v>13103</v>
      </c>
      <c r="C510" t="s">
        <v>7833</v>
      </c>
      <c r="D510" t="s">
        <v>7834</v>
      </c>
      <c r="E510" s="2">
        <v>550</v>
      </c>
      <c r="F510" s="2">
        <v>550</v>
      </c>
      <c r="G510" s="3">
        <v>43295</v>
      </c>
      <c r="H510" s="4">
        <v>0.35267361111111001</v>
      </c>
      <c r="I510" s="3">
        <v>43295</v>
      </c>
      <c r="J510" s="4">
        <v>0.43451388888888998</v>
      </c>
      <c r="K510" s="2">
        <v>0</v>
      </c>
      <c r="L510" t="s">
        <v>5856</v>
      </c>
      <c r="M510" t="s">
        <v>7810</v>
      </c>
      <c r="N510" s="3">
        <v>43301</v>
      </c>
      <c r="O510" s="3">
        <v>43297</v>
      </c>
      <c r="P510" t="s">
        <v>5967</v>
      </c>
      <c r="Q510" t="s">
        <v>13104</v>
      </c>
      <c r="R510" t="s">
        <v>6036</v>
      </c>
      <c r="S510" s="3">
        <v>43301</v>
      </c>
      <c r="T510" t="s">
        <v>9938</v>
      </c>
      <c r="U510" t="s">
        <v>7837</v>
      </c>
      <c r="V510" t="s">
        <v>7838</v>
      </c>
      <c r="W510" t="s">
        <v>5914</v>
      </c>
      <c r="X510" s="2">
        <v>280</v>
      </c>
      <c r="Y510" t="s">
        <v>5858</v>
      </c>
      <c r="Z510" t="s">
        <v>6037</v>
      </c>
      <c r="AA510" s="2">
        <v>500</v>
      </c>
      <c r="AB510" t="s">
        <v>5863</v>
      </c>
      <c r="AC510" t="s">
        <v>9981</v>
      </c>
      <c r="AD510" s="32">
        <v>43280</v>
      </c>
      <c r="AJ510" t="s">
        <v>9962</v>
      </c>
      <c r="AL510" t="s">
        <v>13950</v>
      </c>
    </row>
    <row r="511" spans="1:38">
      <c r="A511" t="s">
        <v>7751</v>
      </c>
      <c r="B511" t="s">
        <v>13105</v>
      </c>
      <c r="C511" t="s">
        <v>13106</v>
      </c>
      <c r="D511" t="s">
        <v>13107</v>
      </c>
      <c r="E511" s="2">
        <v>330</v>
      </c>
      <c r="F511" s="2">
        <v>330</v>
      </c>
      <c r="G511" s="3">
        <v>43295</v>
      </c>
      <c r="H511" s="4">
        <v>0.46229166666666999</v>
      </c>
      <c r="I511" s="3">
        <v>43295</v>
      </c>
      <c r="J511" s="4">
        <v>0.51140046296296005</v>
      </c>
      <c r="K511" s="2">
        <v>20</v>
      </c>
      <c r="L511" t="s">
        <v>5856</v>
      </c>
      <c r="M511" t="s">
        <v>7804</v>
      </c>
      <c r="N511" s="3">
        <v>43299</v>
      </c>
      <c r="O511" s="3">
        <v>43297</v>
      </c>
      <c r="P511" t="s">
        <v>5967</v>
      </c>
      <c r="Q511" t="s">
        <v>13108</v>
      </c>
      <c r="R511" t="s">
        <v>6036</v>
      </c>
      <c r="S511" s="3">
        <v>43299</v>
      </c>
      <c r="T511" t="s">
        <v>9938</v>
      </c>
      <c r="U511" t="s">
        <v>13109</v>
      </c>
      <c r="V511" t="s">
        <v>5916</v>
      </c>
      <c r="W511" t="s">
        <v>5857</v>
      </c>
      <c r="X511" s="2">
        <v>280</v>
      </c>
      <c r="Y511" t="s">
        <v>5858</v>
      </c>
      <c r="Z511" t="s">
        <v>6037</v>
      </c>
      <c r="AA511" s="2">
        <v>300</v>
      </c>
      <c r="AB511" t="s">
        <v>5863</v>
      </c>
      <c r="AC511" t="s">
        <v>9981</v>
      </c>
      <c r="AD511" s="32">
        <v>43280</v>
      </c>
      <c r="AI511" t="s">
        <v>9939</v>
      </c>
      <c r="AJ511" t="s">
        <v>9965</v>
      </c>
      <c r="AL511" t="s">
        <v>13951</v>
      </c>
    </row>
    <row r="512" spans="1:38">
      <c r="A512" t="s">
        <v>7751</v>
      </c>
      <c r="B512" t="s">
        <v>11922</v>
      </c>
      <c r="C512" t="s">
        <v>7873</v>
      </c>
      <c r="D512" t="s">
        <v>7874</v>
      </c>
      <c r="E512" s="2">
        <v>500</v>
      </c>
      <c r="F512" s="2">
        <v>500</v>
      </c>
      <c r="G512" s="3">
        <v>43295</v>
      </c>
      <c r="H512" s="4">
        <v>0.53223379629629997</v>
      </c>
      <c r="I512" s="3">
        <v>43295</v>
      </c>
      <c r="J512" s="4">
        <v>0.60664351851852005</v>
      </c>
      <c r="K512" s="2">
        <v>20</v>
      </c>
      <c r="L512" t="s">
        <v>5856</v>
      </c>
      <c r="M512" t="s">
        <v>7827</v>
      </c>
      <c r="N512" s="3">
        <v>43301</v>
      </c>
      <c r="O512" s="3">
        <v>43297</v>
      </c>
      <c r="P512" t="s">
        <v>7828</v>
      </c>
      <c r="Q512" t="s">
        <v>7875</v>
      </c>
      <c r="R512" t="s">
        <v>6036</v>
      </c>
      <c r="S512" s="3">
        <v>43301</v>
      </c>
      <c r="T512" t="s">
        <v>9938</v>
      </c>
      <c r="U512" t="s">
        <v>7830</v>
      </c>
      <c r="V512" t="s">
        <v>7876</v>
      </c>
      <c r="W512" t="s">
        <v>5857</v>
      </c>
      <c r="X512" s="2">
        <v>280</v>
      </c>
      <c r="Y512" t="s">
        <v>5858</v>
      </c>
      <c r="Z512" t="s">
        <v>6037</v>
      </c>
      <c r="AA512" s="2">
        <v>500</v>
      </c>
      <c r="AB512" t="s">
        <v>5863</v>
      </c>
      <c r="AC512" t="s">
        <v>9982</v>
      </c>
      <c r="AD512" s="32">
        <v>43273</v>
      </c>
      <c r="AI512" t="s">
        <v>9939</v>
      </c>
      <c r="AJ512" t="s">
        <v>9967</v>
      </c>
      <c r="AL512" t="s">
        <v>10797</v>
      </c>
    </row>
    <row r="513" spans="1:38">
      <c r="A513" t="s">
        <v>7751</v>
      </c>
      <c r="B513" t="s">
        <v>13110</v>
      </c>
      <c r="C513" t="s">
        <v>7864</v>
      </c>
      <c r="D513" t="s">
        <v>7865</v>
      </c>
      <c r="E513" s="2">
        <v>2640</v>
      </c>
      <c r="F513" s="2">
        <v>2640</v>
      </c>
      <c r="G513" s="3">
        <v>43295</v>
      </c>
      <c r="H513" s="4">
        <v>0.66413194444444001</v>
      </c>
      <c r="I513" s="3">
        <v>43296</v>
      </c>
      <c r="J513" s="4">
        <v>5.6990740740740002E-2</v>
      </c>
      <c r="K513" s="2">
        <v>0</v>
      </c>
      <c r="L513" t="s">
        <v>5856</v>
      </c>
      <c r="M513" t="s">
        <v>8018</v>
      </c>
      <c r="N513" s="3"/>
      <c r="O513" s="3">
        <v>43298</v>
      </c>
      <c r="P513" t="s">
        <v>6016</v>
      </c>
      <c r="Q513" t="s">
        <v>13111</v>
      </c>
      <c r="R513" t="s">
        <v>6043</v>
      </c>
      <c r="S513" s="3">
        <v>43284</v>
      </c>
      <c r="T513" t="s">
        <v>9938</v>
      </c>
      <c r="U513" t="s">
        <v>7867</v>
      </c>
      <c r="V513" t="s">
        <v>7868</v>
      </c>
      <c r="W513" t="s">
        <v>5914</v>
      </c>
      <c r="X513" s="2">
        <v>280</v>
      </c>
      <c r="Y513" t="s">
        <v>5858</v>
      </c>
      <c r="Z513" t="s">
        <v>6037</v>
      </c>
      <c r="AA513" s="2">
        <v>2400</v>
      </c>
      <c r="AB513" t="s">
        <v>5863</v>
      </c>
      <c r="AC513" t="s">
        <v>9981</v>
      </c>
      <c r="AD513" s="32">
        <v>43280</v>
      </c>
      <c r="AJ513" t="s">
        <v>9962</v>
      </c>
      <c r="AL513" t="s">
        <v>13952</v>
      </c>
    </row>
    <row r="514" spans="1:38">
      <c r="A514" t="s">
        <v>7751</v>
      </c>
      <c r="B514" t="s">
        <v>11923</v>
      </c>
      <c r="C514" t="s">
        <v>7877</v>
      </c>
      <c r="D514" t="s">
        <v>7878</v>
      </c>
      <c r="E514" s="2">
        <v>330</v>
      </c>
      <c r="F514" s="2">
        <v>330</v>
      </c>
      <c r="G514" s="3">
        <v>43295</v>
      </c>
      <c r="H514" s="4">
        <v>0.67171296296296001</v>
      </c>
      <c r="I514" s="3">
        <v>43295</v>
      </c>
      <c r="J514" s="4">
        <v>0.72082175925925995</v>
      </c>
      <c r="K514" s="2">
        <v>0</v>
      </c>
      <c r="L514" t="s">
        <v>5856</v>
      </c>
      <c r="M514" t="s">
        <v>7804</v>
      </c>
      <c r="N514" s="3">
        <v>43291</v>
      </c>
      <c r="O514" s="3">
        <v>43297</v>
      </c>
      <c r="P514" t="s">
        <v>7879</v>
      </c>
      <c r="Q514" t="s">
        <v>7880</v>
      </c>
      <c r="R514" t="s">
        <v>6036</v>
      </c>
      <c r="S514" s="3">
        <v>43291</v>
      </c>
      <c r="T514" t="s">
        <v>9938</v>
      </c>
      <c r="U514" t="s">
        <v>7881</v>
      </c>
      <c r="V514" t="s">
        <v>7882</v>
      </c>
      <c r="W514" t="s">
        <v>7883</v>
      </c>
      <c r="X514" s="2">
        <v>280</v>
      </c>
      <c r="Y514" t="s">
        <v>5858</v>
      </c>
      <c r="Z514" t="s">
        <v>6037</v>
      </c>
      <c r="AA514" s="2">
        <v>300</v>
      </c>
      <c r="AB514" t="s">
        <v>5863</v>
      </c>
      <c r="AC514" t="s">
        <v>9981</v>
      </c>
      <c r="AD514" s="32">
        <v>43271</v>
      </c>
      <c r="AJ514" t="s">
        <v>9967</v>
      </c>
      <c r="AL514" t="s">
        <v>10798</v>
      </c>
    </row>
    <row r="515" spans="1:38">
      <c r="A515" t="s">
        <v>7751</v>
      </c>
      <c r="B515" t="s">
        <v>11924</v>
      </c>
      <c r="C515" t="s">
        <v>7884</v>
      </c>
      <c r="D515" t="s">
        <v>7885</v>
      </c>
      <c r="E515" s="2">
        <v>500</v>
      </c>
      <c r="F515" s="2">
        <v>500</v>
      </c>
      <c r="G515" s="3">
        <v>43295</v>
      </c>
      <c r="H515" s="4">
        <v>0.71724537037036995</v>
      </c>
      <c r="I515" s="3">
        <v>43295</v>
      </c>
      <c r="J515" s="4">
        <v>0.79165509259259004</v>
      </c>
      <c r="K515" s="2">
        <v>20</v>
      </c>
      <c r="L515" t="s">
        <v>5856</v>
      </c>
      <c r="M515" t="s">
        <v>7827</v>
      </c>
      <c r="N515" s="3">
        <v>43298</v>
      </c>
      <c r="O515" s="3">
        <v>43297</v>
      </c>
      <c r="P515" t="s">
        <v>5952</v>
      </c>
      <c r="Q515" t="s">
        <v>7886</v>
      </c>
      <c r="R515" t="s">
        <v>6036</v>
      </c>
      <c r="S515" s="3">
        <v>43298</v>
      </c>
      <c r="T515" t="s">
        <v>9938</v>
      </c>
      <c r="U515" t="s">
        <v>7887</v>
      </c>
      <c r="V515" t="s">
        <v>7888</v>
      </c>
      <c r="W515" t="s">
        <v>5857</v>
      </c>
      <c r="X515" s="2">
        <v>280</v>
      </c>
      <c r="Y515" t="s">
        <v>5858</v>
      </c>
      <c r="Z515" t="s">
        <v>6037</v>
      </c>
      <c r="AA515" s="2">
        <v>500</v>
      </c>
      <c r="AB515" t="s">
        <v>5863</v>
      </c>
      <c r="AC515" t="s">
        <v>9974</v>
      </c>
      <c r="AD515" s="32">
        <v>43271</v>
      </c>
      <c r="AI515" t="s">
        <v>9939</v>
      </c>
      <c r="AJ515" t="s">
        <v>9967</v>
      </c>
      <c r="AL515" t="s">
        <v>10799</v>
      </c>
    </row>
    <row r="516" spans="1:38">
      <c r="A516" t="s">
        <v>7751</v>
      </c>
      <c r="B516" t="s">
        <v>13112</v>
      </c>
      <c r="C516" t="s">
        <v>13113</v>
      </c>
      <c r="D516" t="s">
        <v>13114</v>
      </c>
      <c r="E516" s="2">
        <v>1000</v>
      </c>
      <c r="F516" s="2">
        <v>1000</v>
      </c>
      <c r="G516" s="3">
        <v>43295</v>
      </c>
      <c r="H516" s="4">
        <v>0.81944444444443998</v>
      </c>
      <c r="I516" s="3">
        <v>43295</v>
      </c>
      <c r="J516" s="4">
        <v>0.96825231481481</v>
      </c>
      <c r="K516" s="2">
        <v>20</v>
      </c>
      <c r="L516" t="s">
        <v>5856</v>
      </c>
      <c r="M516" t="s">
        <v>5939</v>
      </c>
      <c r="N516" s="3">
        <v>43301</v>
      </c>
      <c r="O516" s="3">
        <v>43297</v>
      </c>
      <c r="P516" t="s">
        <v>5952</v>
      </c>
      <c r="Q516" t="s">
        <v>13115</v>
      </c>
      <c r="R516" t="s">
        <v>6036</v>
      </c>
      <c r="S516" s="3">
        <v>43301</v>
      </c>
      <c r="T516" t="s">
        <v>9938</v>
      </c>
      <c r="U516" t="s">
        <v>7923</v>
      </c>
      <c r="V516" t="s">
        <v>13116</v>
      </c>
      <c r="W516" t="s">
        <v>6038</v>
      </c>
      <c r="X516" s="2">
        <v>280</v>
      </c>
      <c r="Y516" t="s">
        <v>5858</v>
      </c>
      <c r="Z516" t="s">
        <v>6037</v>
      </c>
      <c r="AA516" s="2">
        <v>1000</v>
      </c>
      <c r="AB516" t="s">
        <v>5863</v>
      </c>
      <c r="AC516" t="s">
        <v>9976</v>
      </c>
      <c r="AD516" s="32">
        <v>43280</v>
      </c>
      <c r="AJ516" t="s">
        <v>9967</v>
      </c>
      <c r="AL516" t="s">
        <v>13953</v>
      </c>
    </row>
    <row r="517" spans="1:38">
      <c r="A517" t="s">
        <v>7751</v>
      </c>
      <c r="B517" t="s">
        <v>13117</v>
      </c>
      <c r="C517" t="s">
        <v>9219</v>
      </c>
      <c r="D517" t="s">
        <v>9220</v>
      </c>
      <c r="E517" s="2">
        <v>2640</v>
      </c>
      <c r="F517" s="2">
        <v>2640</v>
      </c>
      <c r="G517" s="3">
        <v>43295</v>
      </c>
      <c r="H517" s="4">
        <v>0.84631944444443996</v>
      </c>
      <c r="I517" s="3">
        <v>43296</v>
      </c>
      <c r="J517" s="4">
        <v>0.23917824074074001</v>
      </c>
      <c r="K517" s="2">
        <v>0</v>
      </c>
      <c r="L517" t="s">
        <v>5856</v>
      </c>
      <c r="M517" t="s">
        <v>8018</v>
      </c>
      <c r="N517" s="3"/>
      <c r="O517" s="3">
        <v>43298</v>
      </c>
      <c r="P517" t="s">
        <v>5862</v>
      </c>
      <c r="Q517" t="s">
        <v>9221</v>
      </c>
      <c r="R517" t="s">
        <v>6036</v>
      </c>
      <c r="S517" s="3">
        <v>43279</v>
      </c>
      <c r="T517" t="s">
        <v>9938</v>
      </c>
      <c r="U517" t="s">
        <v>9222</v>
      </c>
      <c r="V517" t="s">
        <v>9223</v>
      </c>
      <c r="W517" t="s">
        <v>5914</v>
      </c>
      <c r="X517" s="2">
        <v>280</v>
      </c>
      <c r="Y517" t="s">
        <v>5858</v>
      </c>
      <c r="Z517" t="s">
        <v>6037</v>
      </c>
      <c r="AA517" s="2">
        <v>2400</v>
      </c>
      <c r="AB517" t="s">
        <v>5863</v>
      </c>
      <c r="AC517" t="s">
        <v>9981</v>
      </c>
      <c r="AD517" s="32">
        <v>43280</v>
      </c>
      <c r="AJ517" t="s">
        <v>9962</v>
      </c>
      <c r="AL517" t="s">
        <v>13954</v>
      </c>
    </row>
    <row r="518" spans="1:38">
      <c r="A518" t="s">
        <v>7751</v>
      </c>
      <c r="B518" t="s">
        <v>11926</v>
      </c>
      <c r="C518" t="s">
        <v>7894</v>
      </c>
      <c r="D518" t="s">
        <v>7895</v>
      </c>
      <c r="E518" s="2">
        <v>20000</v>
      </c>
      <c r="F518" s="2">
        <v>20000</v>
      </c>
      <c r="G518" s="3">
        <v>43296</v>
      </c>
      <c r="H518" s="4">
        <v>2.37962962963E-2</v>
      </c>
      <c r="I518" s="3">
        <v>43298</v>
      </c>
      <c r="J518" s="4">
        <v>0.99998842592592996</v>
      </c>
      <c r="K518" s="2">
        <v>0</v>
      </c>
      <c r="L518" t="s">
        <v>5856</v>
      </c>
      <c r="M518" t="s">
        <v>7896</v>
      </c>
      <c r="N518" s="3">
        <v>43300</v>
      </c>
      <c r="O518" s="3">
        <v>43300</v>
      </c>
      <c r="P518" t="s">
        <v>7805</v>
      </c>
      <c r="Q518" t="s">
        <v>7897</v>
      </c>
      <c r="R518" t="s">
        <v>6036</v>
      </c>
      <c r="S518" s="3">
        <v>43305</v>
      </c>
      <c r="T518" t="s">
        <v>9938</v>
      </c>
      <c r="U518" t="s">
        <v>7898</v>
      </c>
      <c r="V518" t="s">
        <v>7779</v>
      </c>
      <c r="W518" t="s">
        <v>5857</v>
      </c>
      <c r="X518" s="2">
        <v>0</v>
      </c>
      <c r="Y518" t="s">
        <v>5858</v>
      </c>
      <c r="Z518" t="s">
        <v>6037</v>
      </c>
      <c r="AA518" s="2">
        <v>20000</v>
      </c>
      <c r="AB518" t="s">
        <v>5861</v>
      </c>
      <c r="AC518" t="s">
        <v>13768</v>
      </c>
      <c r="AD518" s="32"/>
      <c r="AJ518" t="s">
        <v>9966</v>
      </c>
      <c r="AL518" t="s">
        <v>13955</v>
      </c>
    </row>
    <row r="519" spans="1:38">
      <c r="A519" t="s">
        <v>7751</v>
      </c>
      <c r="B519" t="s">
        <v>11927</v>
      </c>
      <c r="C519" t="s">
        <v>7788</v>
      </c>
      <c r="D519" t="s">
        <v>7789</v>
      </c>
      <c r="E519" s="2">
        <v>6000</v>
      </c>
      <c r="F519" s="2">
        <v>6000</v>
      </c>
      <c r="G519" s="3">
        <v>43296</v>
      </c>
      <c r="H519" s="4">
        <v>0.10714120370370001</v>
      </c>
      <c r="I519" s="3">
        <v>43297</v>
      </c>
      <c r="J519" s="4">
        <v>0</v>
      </c>
      <c r="K519" s="2">
        <v>20</v>
      </c>
      <c r="L519" t="s">
        <v>5856</v>
      </c>
      <c r="M519" t="s">
        <v>5928</v>
      </c>
      <c r="N519" s="3">
        <v>43299</v>
      </c>
      <c r="O519" s="3">
        <v>43298</v>
      </c>
      <c r="P519" t="s">
        <v>7790</v>
      </c>
      <c r="Q519" t="s">
        <v>7899</v>
      </c>
      <c r="R519" t="s">
        <v>6036</v>
      </c>
      <c r="S519" s="3">
        <v>43299</v>
      </c>
      <c r="T519" t="s">
        <v>9938</v>
      </c>
      <c r="U519" t="s">
        <v>7792</v>
      </c>
      <c r="V519" t="s">
        <v>7787</v>
      </c>
      <c r="W519" t="s">
        <v>5914</v>
      </c>
      <c r="X519" s="2">
        <v>280</v>
      </c>
      <c r="Y519" t="s">
        <v>5858</v>
      </c>
      <c r="Z519" t="s">
        <v>6037</v>
      </c>
      <c r="AA519" s="2">
        <v>6000</v>
      </c>
      <c r="AB519" t="s">
        <v>5863</v>
      </c>
      <c r="AC519" t="s">
        <v>9981</v>
      </c>
      <c r="AD519" s="32">
        <v>43248</v>
      </c>
      <c r="AJ519" t="s">
        <v>9965</v>
      </c>
      <c r="AL519" t="s">
        <v>10801</v>
      </c>
    </row>
    <row r="520" spans="1:38">
      <c r="A520" t="s">
        <v>7751</v>
      </c>
      <c r="B520" t="s">
        <v>11928</v>
      </c>
      <c r="C520" t="s">
        <v>7900</v>
      </c>
      <c r="D520" t="s">
        <v>7901</v>
      </c>
      <c r="E520" s="2">
        <v>10000</v>
      </c>
      <c r="F520" s="2">
        <v>10000</v>
      </c>
      <c r="G520" s="3">
        <v>43297</v>
      </c>
      <c r="H520" s="4">
        <v>0.61109953703704001</v>
      </c>
      <c r="I520" s="3">
        <v>43298</v>
      </c>
      <c r="J520" s="4">
        <v>0.99998842592592996</v>
      </c>
      <c r="K520" s="2">
        <v>0</v>
      </c>
      <c r="L520" t="s">
        <v>5856</v>
      </c>
      <c r="M520" t="s">
        <v>7902</v>
      </c>
      <c r="N520" s="3">
        <v>43300</v>
      </c>
      <c r="O520" s="3">
        <v>43300</v>
      </c>
      <c r="P520" t="s">
        <v>5862</v>
      </c>
      <c r="Q520" t="s">
        <v>6038</v>
      </c>
      <c r="R520" t="s">
        <v>6040</v>
      </c>
      <c r="S520" s="3">
        <v>43288</v>
      </c>
      <c r="T520" t="s">
        <v>9938</v>
      </c>
      <c r="U520" t="s">
        <v>7903</v>
      </c>
      <c r="V520" t="s">
        <v>7904</v>
      </c>
      <c r="W520" t="s">
        <v>5857</v>
      </c>
      <c r="X520" s="2">
        <v>0</v>
      </c>
      <c r="Y520" t="s">
        <v>5858</v>
      </c>
      <c r="Z520" t="s">
        <v>6037</v>
      </c>
      <c r="AA520" s="2">
        <v>10000</v>
      </c>
      <c r="AB520" t="s">
        <v>5915</v>
      </c>
      <c r="AC520" t="s">
        <v>9983</v>
      </c>
      <c r="AD520" s="32"/>
      <c r="AJ520" t="s">
        <v>9965</v>
      </c>
      <c r="AL520" t="s">
        <v>10802</v>
      </c>
    </row>
    <row r="521" spans="1:38">
      <c r="A521" t="s">
        <v>7751</v>
      </c>
      <c r="B521" t="s">
        <v>11929</v>
      </c>
      <c r="C521" t="s">
        <v>7905</v>
      </c>
      <c r="D521" t="s">
        <v>7906</v>
      </c>
      <c r="E521" s="2">
        <v>200</v>
      </c>
      <c r="F521" s="2">
        <v>200</v>
      </c>
      <c r="G521" s="3">
        <v>43297</v>
      </c>
      <c r="H521" s="4">
        <v>0.87798611111111002</v>
      </c>
      <c r="I521" s="3">
        <v>43297</v>
      </c>
      <c r="J521" s="4">
        <v>0.90774305555556001</v>
      </c>
      <c r="K521" s="2">
        <v>20</v>
      </c>
      <c r="L521" t="s">
        <v>5856</v>
      </c>
      <c r="M521" t="s">
        <v>5932</v>
      </c>
      <c r="N521" s="3">
        <v>43300</v>
      </c>
      <c r="O521" s="3">
        <v>43299</v>
      </c>
      <c r="P521" t="s">
        <v>7907</v>
      </c>
      <c r="Q521" t="s">
        <v>7908</v>
      </c>
      <c r="R521" t="s">
        <v>6036</v>
      </c>
      <c r="S521" s="3">
        <v>43300</v>
      </c>
      <c r="T521" t="s">
        <v>9938</v>
      </c>
      <c r="U521" t="s">
        <v>7909</v>
      </c>
      <c r="V521" t="s">
        <v>7910</v>
      </c>
      <c r="W521" t="s">
        <v>6038</v>
      </c>
      <c r="X521" s="2">
        <v>280</v>
      </c>
      <c r="Y521" t="s">
        <v>5858</v>
      </c>
      <c r="Z521" t="s">
        <v>6037</v>
      </c>
      <c r="AA521" s="2">
        <v>200</v>
      </c>
      <c r="AB521" t="s">
        <v>5863</v>
      </c>
      <c r="AC521" t="s">
        <v>9981</v>
      </c>
      <c r="AD521" s="32">
        <v>43262</v>
      </c>
      <c r="AJ521" t="s">
        <v>9967</v>
      </c>
      <c r="AL521" t="s">
        <v>10803</v>
      </c>
    </row>
    <row r="522" spans="1:38">
      <c r="A522" t="s">
        <v>7751</v>
      </c>
      <c r="B522" t="s">
        <v>11930</v>
      </c>
      <c r="C522" t="s">
        <v>7911</v>
      </c>
      <c r="D522" t="s">
        <v>7912</v>
      </c>
      <c r="E522" s="2">
        <v>1000</v>
      </c>
      <c r="F522" s="2">
        <v>1000</v>
      </c>
      <c r="G522" s="3">
        <v>43297</v>
      </c>
      <c r="H522" s="4">
        <v>0.88481481481480995</v>
      </c>
      <c r="I522" s="3">
        <v>43298</v>
      </c>
      <c r="J522" s="4">
        <v>3.3622685185190002E-2</v>
      </c>
      <c r="K522" s="2">
        <v>0</v>
      </c>
      <c r="L522" t="s">
        <v>5856</v>
      </c>
      <c r="M522" t="s">
        <v>5939</v>
      </c>
      <c r="N522" s="3">
        <v>43280</v>
      </c>
      <c r="O522" s="3">
        <v>43300</v>
      </c>
      <c r="P522" t="s">
        <v>7913</v>
      </c>
      <c r="Q522" t="s">
        <v>7914</v>
      </c>
      <c r="R522" t="s">
        <v>6036</v>
      </c>
      <c r="S522" s="3">
        <v>43302</v>
      </c>
      <c r="T522" t="s">
        <v>9938</v>
      </c>
      <c r="U522" t="s">
        <v>7915</v>
      </c>
      <c r="V522" t="s">
        <v>6067</v>
      </c>
      <c r="W522" t="s">
        <v>5857</v>
      </c>
      <c r="X522" s="2">
        <v>0</v>
      </c>
      <c r="Y522" t="s">
        <v>5858</v>
      </c>
      <c r="Z522" t="s">
        <v>6037</v>
      </c>
      <c r="AA522" s="2">
        <v>1000</v>
      </c>
      <c r="AB522" t="s">
        <v>5861</v>
      </c>
      <c r="AC522" t="s">
        <v>9982</v>
      </c>
      <c r="AD522" s="32"/>
      <c r="AI522" t="s">
        <v>9939</v>
      </c>
      <c r="AJ522" t="s">
        <v>9967</v>
      </c>
      <c r="AL522" t="s">
        <v>10804</v>
      </c>
    </row>
    <row r="523" spans="1:38">
      <c r="A523" t="s">
        <v>7751</v>
      </c>
      <c r="B523" t="s">
        <v>11931</v>
      </c>
      <c r="C523" t="s">
        <v>7916</v>
      </c>
      <c r="D523" t="s">
        <v>7917</v>
      </c>
      <c r="E523" s="2">
        <v>200</v>
      </c>
      <c r="F523" s="2">
        <v>200</v>
      </c>
      <c r="G523" s="3">
        <v>43297</v>
      </c>
      <c r="H523" s="4">
        <v>0.97024305555556001</v>
      </c>
      <c r="I523" s="3">
        <v>43298</v>
      </c>
      <c r="J523" s="4">
        <v>0</v>
      </c>
      <c r="K523" s="2">
        <v>20</v>
      </c>
      <c r="L523" t="s">
        <v>5856</v>
      </c>
      <c r="M523" t="s">
        <v>5932</v>
      </c>
      <c r="N523" s="3">
        <v>43300</v>
      </c>
      <c r="O523" s="3">
        <v>43299</v>
      </c>
      <c r="P523" t="s">
        <v>7755</v>
      </c>
      <c r="Q523" t="s">
        <v>7918</v>
      </c>
      <c r="R523" t="s">
        <v>6036</v>
      </c>
      <c r="S523" s="3">
        <v>43300</v>
      </c>
      <c r="T523" t="s">
        <v>9938</v>
      </c>
      <c r="U523" t="s">
        <v>7909</v>
      </c>
      <c r="V523" t="s">
        <v>7919</v>
      </c>
      <c r="W523" t="s">
        <v>6038</v>
      </c>
      <c r="X523" s="2">
        <v>280</v>
      </c>
      <c r="Y523" t="s">
        <v>5858</v>
      </c>
      <c r="Z523" t="s">
        <v>6037</v>
      </c>
      <c r="AA523" s="2">
        <v>200</v>
      </c>
      <c r="AB523" t="s">
        <v>5863</v>
      </c>
      <c r="AC523" t="s">
        <v>9981</v>
      </c>
      <c r="AD523" s="32">
        <v>43262</v>
      </c>
      <c r="AJ523" t="s">
        <v>9967</v>
      </c>
      <c r="AL523" t="s">
        <v>10805</v>
      </c>
    </row>
    <row r="524" spans="1:38">
      <c r="A524" t="s">
        <v>7751</v>
      </c>
      <c r="B524" t="s">
        <v>13118</v>
      </c>
      <c r="C524" t="s">
        <v>13119</v>
      </c>
      <c r="D524" t="s">
        <v>13120</v>
      </c>
      <c r="E524" s="2">
        <v>330</v>
      </c>
      <c r="F524" s="2">
        <v>330</v>
      </c>
      <c r="G524" s="3">
        <v>43298</v>
      </c>
      <c r="H524" s="4">
        <v>0.12140046296296</v>
      </c>
      <c r="I524" s="3">
        <v>43298</v>
      </c>
      <c r="J524" s="4">
        <v>0.17050925925926</v>
      </c>
      <c r="K524" s="2">
        <v>20</v>
      </c>
      <c r="L524" t="s">
        <v>5856</v>
      </c>
      <c r="M524" t="s">
        <v>7804</v>
      </c>
      <c r="N524" s="3">
        <v>43300</v>
      </c>
      <c r="O524" s="3">
        <v>43300</v>
      </c>
      <c r="P524" t="s">
        <v>5967</v>
      </c>
      <c r="Q524" t="s">
        <v>13121</v>
      </c>
      <c r="R524" t="s">
        <v>6036</v>
      </c>
      <c r="S524" s="3">
        <v>43298</v>
      </c>
      <c r="T524" t="s">
        <v>9938</v>
      </c>
      <c r="U524" t="s">
        <v>13122</v>
      </c>
      <c r="V524" t="s">
        <v>13123</v>
      </c>
      <c r="W524" t="s">
        <v>5914</v>
      </c>
      <c r="X524" s="2">
        <v>280</v>
      </c>
      <c r="Y524" t="s">
        <v>5858</v>
      </c>
      <c r="Z524" t="s">
        <v>6037</v>
      </c>
      <c r="AA524" s="2">
        <v>300</v>
      </c>
      <c r="AB524" t="s">
        <v>5863</v>
      </c>
      <c r="AC524" t="s">
        <v>9981</v>
      </c>
      <c r="AD524" s="32">
        <v>43279</v>
      </c>
      <c r="AJ524" t="s">
        <v>9964</v>
      </c>
      <c r="AL524" t="s">
        <v>13956</v>
      </c>
    </row>
    <row r="525" spans="1:38">
      <c r="A525" t="s">
        <v>7751</v>
      </c>
      <c r="B525" t="s">
        <v>11932</v>
      </c>
      <c r="C525" t="s">
        <v>7894</v>
      </c>
      <c r="D525" t="s">
        <v>7895</v>
      </c>
      <c r="E525" s="2">
        <v>1050</v>
      </c>
      <c r="F525" s="2">
        <v>1050</v>
      </c>
      <c r="G525" s="3">
        <v>43298</v>
      </c>
      <c r="H525" s="4">
        <v>0.84373842592592996</v>
      </c>
      <c r="I525" s="3">
        <v>43298</v>
      </c>
      <c r="J525" s="4">
        <v>0.99998842592592996</v>
      </c>
      <c r="K525" s="2">
        <v>0</v>
      </c>
      <c r="L525" t="s">
        <v>5856</v>
      </c>
      <c r="M525" t="s">
        <v>7920</v>
      </c>
      <c r="N525" s="3">
        <v>43300</v>
      </c>
      <c r="O525" s="3">
        <v>43300</v>
      </c>
      <c r="P525" t="s">
        <v>7805</v>
      </c>
      <c r="Q525" t="s">
        <v>7897</v>
      </c>
      <c r="R525" t="s">
        <v>6036</v>
      </c>
      <c r="S525" s="3">
        <v>43305</v>
      </c>
      <c r="T525" t="s">
        <v>9938</v>
      </c>
      <c r="U525" t="s">
        <v>7898</v>
      </c>
      <c r="V525" t="s">
        <v>7779</v>
      </c>
      <c r="W525" t="s">
        <v>5857</v>
      </c>
      <c r="X525" s="2">
        <v>0</v>
      </c>
      <c r="Y525" t="s">
        <v>5858</v>
      </c>
      <c r="Z525" t="s">
        <v>6037</v>
      </c>
      <c r="AA525" s="2">
        <v>1000</v>
      </c>
      <c r="AB525" t="s">
        <v>5915</v>
      </c>
      <c r="AC525" t="s">
        <v>13768</v>
      </c>
      <c r="AD525" s="32"/>
      <c r="AJ525" t="s">
        <v>9966</v>
      </c>
      <c r="AL525" t="s">
        <v>13957</v>
      </c>
    </row>
    <row r="526" spans="1:38">
      <c r="A526" t="s">
        <v>7751</v>
      </c>
      <c r="B526" t="s">
        <v>11933</v>
      </c>
      <c r="C526" t="s">
        <v>7921</v>
      </c>
      <c r="D526" t="s">
        <v>7922</v>
      </c>
      <c r="E526" s="2">
        <v>330</v>
      </c>
      <c r="F526" s="2">
        <v>330</v>
      </c>
      <c r="G526" s="3">
        <v>43300</v>
      </c>
      <c r="H526" s="4">
        <v>0.93005787037037002</v>
      </c>
      <c r="I526" s="3">
        <v>43300</v>
      </c>
      <c r="J526" s="4">
        <v>0.97916666666666996</v>
      </c>
      <c r="K526" s="2">
        <v>0</v>
      </c>
      <c r="L526" t="s">
        <v>5856</v>
      </c>
      <c r="M526" t="s">
        <v>7804</v>
      </c>
      <c r="N526" s="3">
        <v>43302</v>
      </c>
      <c r="O526" s="3">
        <v>43306</v>
      </c>
      <c r="P526" t="s">
        <v>5960</v>
      </c>
      <c r="Q526" t="s">
        <v>13124</v>
      </c>
      <c r="R526" t="s">
        <v>6036</v>
      </c>
      <c r="S526" s="3">
        <v>43307</v>
      </c>
      <c r="T526" t="s">
        <v>9938</v>
      </c>
      <c r="U526" t="s">
        <v>7923</v>
      </c>
      <c r="V526" t="s">
        <v>7924</v>
      </c>
      <c r="W526" t="s">
        <v>5857</v>
      </c>
      <c r="X526" s="2">
        <v>0</v>
      </c>
      <c r="Y526" t="s">
        <v>5858</v>
      </c>
      <c r="Z526" t="s">
        <v>6037</v>
      </c>
      <c r="AA526" s="2">
        <v>300</v>
      </c>
      <c r="AB526" t="s">
        <v>5861</v>
      </c>
      <c r="AC526" t="s">
        <v>9976</v>
      </c>
      <c r="AD526" s="32"/>
      <c r="AJ526" t="s">
        <v>9967</v>
      </c>
      <c r="AL526" t="s">
        <v>13958</v>
      </c>
    </row>
    <row r="527" spans="1:38">
      <c r="A527" t="s">
        <v>7751</v>
      </c>
      <c r="B527" t="s">
        <v>11934</v>
      </c>
      <c r="C527" t="s">
        <v>7798</v>
      </c>
      <c r="D527" t="s">
        <v>7799</v>
      </c>
      <c r="E527" s="2">
        <v>440</v>
      </c>
      <c r="F527" s="2">
        <v>440</v>
      </c>
      <c r="G527" s="3">
        <v>43301</v>
      </c>
      <c r="H527" s="4">
        <v>0</v>
      </c>
      <c r="I527" s="3">
        <v>43301</v>
      </c>
      <c r="J527" s="4">
        <v>6.5474537037039995E-2</v>
      </c>
      <c r="K527" s="2">
        <v>0</v>
      </c>
      <c r="L527" t="s">
        <v>5856</v>
      </c>
      <c r="M527" t="s">
        <v>7776</v>
      </c>
      <c r="N527" s="3">
        <v>43305</v>
      </c>
      <c r="O527" s="3">
        <v>43303</v>
      </c>
      <c r="P527" t="s">
        <v>5862</v>
      </c>
      <c r="Q527" t="s">
        <v>7925</v>
      </c>
      <c r="R527" t="s">
        <v>6036</v>
      </c>
      <c r="S527" s="3">
        <v>43305</v>
      </c>
      <c r="T527" t="s">
        <v>9938</v>
      </c>
      <c r="U527" t="s">
        <v>7800</v>
      </c>
      <c r="V527" t="s">
        <v>7801</v>
      </c>
      <c r="W527" t="s">
        <v>6038</v>
      </c>
      <c r="X527" s="2">
        <v>280</v>
      </c>
      <c r="Y527" t="s">
        <v>5858</v>
      </c>
      <c r="Z527" t="s">
        <v>6037</v>
      </c>
      <c r="AA527" s="2">
        <v>400</v>
      </c>
      <c r="AB527" t="s">
        <v>5863</v>
      </c>
      <c r="AC527" t="s">
        <v>9981</v>
      </c>
      <c r="AD527" s="32">
        <v>43263</v>
      </c>
      <c r="AJ527" t="s">
        <v>9964</v>
      </c>
      <c r="AL527" t="s">
        <v>10806</v>
      </c>
    </row>
    <row r="528" spans="1:38">
      <c r="A528" t="s">
        <v>7751</v>
      </c>
      <c r="B528" t="s">
        <v>13125</v>
      </c>
      <c r="C528" t="s">
        <v>13126</v>
      </c>
      <c r="D528" t="s">
        <v>13127</v>
      </c>
      <c r="E528" s="2">
        <v>550</v>
      </c>
      <c r="F528" s="2">
        <v>550</v>
      </c>
      <c r="G528" s="3">
        <v>43301</v>
      </c>
      <c r="H528" s="4">
        <v>0.62350694444443999</v>
      </c>
      <c r="I528" s="3">
        <v>43301</v>
      </c>
      <c r="J528" s="4">
        <v>0.70534722222222002</v>
      </c>
      <c r="K528" s="2">
        <v>0</v>
      </c>
      <c r="L528" t="s">
        <v>5856</v>
      </c>
      <c r="M528" t="s">
        <v>7810</v>
      </c>
      <c r="N528" s="3">
        <v>43308</v>
      </c>
      <c r="O528" s="3">
        <v>43303</v>
      </c>
      <c r="P528" t="s">
        <v>5971</v>
      </c>
      <c r="Q528" t="s">
        <v>13128</v>
      </c>
      <c r="R528" t="s">
        <v>6036</v>
      </c>
      <c r="S528" s="3">
        <v>43308</v>
      </c>
      <c r="T528" t="s">
        <v>9938</v>
      </c>
      <c r="U528" t="s">
        <v>9270</v>
      </c>
      <c r="V528" t="s">
        <v>6057</v>
      </c>
      <c r="W528" t="s">
        <v>5857</v>
      </c>
      <c r="X528" s="2">
        <v>280</v>
      </c>
      <c r="Y528" t="s">
        <v>5858</v>
      </c>
      <c r="Z528" t="s">
        <v>6037</v>
      </c>
      <c r="AA528" s="2">
        <v>500</v>
      </c>
      <c r="AB528" t="s">
        <v>5863</v>
      </c>
      <c r="AC528" t="s">
        <v>9974</v>
      </c>
      <c r="AD528" s="32">
        <v>43280</v>
      </c>
      <c r="AJ528" t="s">
        <v>9967</v>
      </c>
      <c r="AL528" t="s">
        <v>13959</v>
      </c>
    </row>
    <row r="529" spans="1:38">
      <c r="A529" t="s">
        <v>7751</v>
      </c>
      <c r="B529" t="s">
        <v>11935</v>
      </c>
      <c r="C529" t="s">
        <v>7926</v>
      </c>
      <c r="D529" t="s">
        <v>7927</v>
      </c>
      <c r="E529" s="2">
        <v>22000</v>
      </c>
      <c r="F529" s="2">
        <v>22000</v>
      </c>
      <c r="G529" s="3">
        <v>43301</v>
      </c>
      <c r="H529" s="4">
        <v>0.72618055555556005</v>
      </c>
      <c r="I529" s="3">
        <v>43304</v>
      </c>
      <c r="J529" s="4">
        <v>0.99998842592592996</v>
      </c>
      <c r="K529" s="2">
        <v>0</v>
      </c>
      <c r="L529" t="s">
        <v>5856</v>
      </c>
      <c r="M529" t="s">
        <v>7928</v>
      </c>
      <c r="N529" s="3">
        <v>43306</v>
      </c>
      <c r="O529" s="3">
        <v>43306</v>
      </c>
      <c r="P529" t="s">
        <v>5862</v>
      </c>
      <c r="Q529" t="s">
        <v>6038</v>
      </c>
      <c r="R529" t="s">
        <v>6040</v>
      </c>
      <c r="S529" s="3">
        <v>43313</v>
      </c>
      <c r="T529" t="s">
        <v>9938</v>
      </c>
      <c r="U529" t="s">
        <v>7830</v>
      </c>
      <c r="V529" t="s">
        <v>6073</v>
      </c>
      <c r="W529" t="s">
        <v>5857</v>
      </c>
      <c r="X529" s="2">
        <v>0</v>
      </c>
      <c r="Y529" t="s">
        <v>5858</v>
      </c>
      <c r="Z529" t="s">
        <v>6037</v>
      </c>
      <c r="AA529" s="2">
        <v>20000</v>
      </c>
      <c r="AB529" t="s">
        <v>5915</v>
      </c>
      <c r="AC529" t="s">
        <v>9984</v>
      </c>
      <c r="AD529" s="32"/>
      <c r="AI529" t="s">
        <v>9939</v>
      </c>
      <c r="AJ529" t="s">
        <v>9967</v>
      </c>
      <c r="AL529" t="s">
        <v>10807</v>
      </c>
    </row>
    <row r="530" spans="1:38">
      <c r="A530" t="s">
        <v>7751</v>
      </c>
      <c r="B530" t="s">
        <v>11936</v>
      </c>
      <c r="C530" t="s">
        <v>7929</v>
      </c>
      <c r="D530" t="s">
        <v>7930</v>
      </c>
      <c r="E530" s="2">
        <v>1000</v>
      </c>
      <c r="F530" s="2">
        <v>1000</v>
      </c>
      <c r="G530" s="3">
        <v>43301</v>
      </c>
      <c r="H530" s="4">
        <v>0.85119212962962998</v>
      </c>
      <c r="I530" s="3">
        <v>43302</v>
      </c>
      <c r="J530" s="4">
        <v>0</v>
      </c>
      <c r="K530" s="2">
        <v>20</v>
      </c>
      <c r="L530" t="s">
        <v>5856</v>
      </c>
      <c r="M530" t="s">
        <v>5939</v>
      </c>
      <c r="N530" s="3">
        <v>43304</v>
      </c>
      <c r="O530" s="3">
        <v>43303</v>
      </c>
      <c r="P530" t="s">
        <v>5862</v>
      </c>
      <c r="Q530" t="s">
        <v>7931</v>
      </c>
      <c r="R530" t="s">
        <v>6036</v>
      </c>
      <c r="S530" s="3">
        <v>43304</v>
      </c>
      <c r="T530" t="s">
        <v>9938</v>
      </c>
      <c r="U530" t="s">
        <v>7932</v>
      </c>
      <c r="V530" t="s">
        <v>7933</v>
      </c>
      <c r="W530" t="s">
        <v>5914</v>
      </c>
      <c r="X530" s="2">
        <v>280</v>
      </c>
      <c r="Y530" t="s">
        <v>5858</v>
      </c>
      <c r="Z530" t="s">
        <v>6037</v>
      </c>
      <c r="AA530" s="2">
        <v>1000</v>
      </c>
      <c r="AB530" t="s">
        <v>5863</v>
      </c>
      <c r="AC530" t="s">
        <v>9981</v>
      </c>
      <c r="AD530" s="32">
        <v>43256</v>
      </c>
      <c r="AJ530" t="s">
        <v>9962</v>
      </c>
      <c r="AL530" t="s">
        <v>10808</v>
      </c>
    </row>
    <row r="531" spans="1:38">
      <c r="A531" t="s">
        <v>7751</v>
      </c>
      <c r="B531" t="s">
        <v>11937</v>
      </c>
      <c r="C531" t="s">
        <v>7929</v>
      </c>
      <c r="D531" t="s">
        <v>7930</v>
      </c>
      <c r="E531" s="2">
        <v>1100</v>
      </c>
      <c r="F531" s="2">
        <v>1100</v>
      </c>
      <c r="G531" s="3">
        <v>43301</v>
      </c>
      <c r="H531" s="4">
        <v>0.85714120370369995</v>
      </c>
      <c r="I531" s="3">
        <v>43302</v>
      </c>
      <c r="J531" s="4">
        <v>2.0833333333330002E-2</v>
      </c>
      <c r="K531" s="2">
        <v>8</v>
      </c>
      <c r="L531" t="s">
        <v>5856</v>
      </c>
      <c r="M531" t="s">
        <v>7761</v>
      </c>
      <c r="N531" s="3">
        <v>43304</v>
      </c>
      <c r="O531" s="3">
        <v>43304</v>
      </c>
      <c r="P531" t="s">
        <v>5862</v>
      </c>
      <c r="Q531" t="s">
        <v>7934</v>
      </c>
      <c r="R531" t="s">
        <v>6036</v>
      </c>
      <c r="S531" s="3">
        <v>43304</v>
      </c>
      <c r="T531" t="s">
        <v>9938</v>
      </c>
      <c r="U531" t="s">
        <v>7932</v>
      </c>
      <c r="V531" t="s">
        <v>7933</v>
      </c>
      <c r="W531" t="s">
        <v>5914</v>
      </c>
      <c r="X531" s="2">
        <v>280</v>
      </c>
      <c r="Y531" t="s">
        <v>5858</v>
      </c>
      <c r="Z531" t="s">
        <v>6037</v>
      </c>
      <c r="AA531" s="2">
        <v>1000</v>
      </c>
      <c r="AB531" t="s">
        <v>5859</v>
      </c>
      <c r="AC531" t="s">
        <v>9981</v>
      </c>
      <c r="AD531" s="32">
        <v>43276</v>
      </c>
      <c r="AJ531" t="s">
        <v>9962</v>
      </c>
      <c r="AL531" t="s">
        <v>10809</v>
      </c>
    </row>
    <row r="532" spans="1:38">
      <c r="A532" t="s">
        <v>7751</v>
      </c>
      <c r="B532" t="s">
        <v>11938</v>
      </c>
      <c r="C532" t="s">
        <v>7825</v>
      </c>
      <c r="D532" t="s">
        <v>7826</v>
      </c>
      <c r="E532" s="2">
        <v>550</v>
      </c>
      <c r="F532" s="2">
        <v>550</v>
      </c>
      <c r="G532" s="3">
        <v>43302</v>
      </c>
      <c r="H532" s="4">
        <v>0.59465277777778003</v>
      </c>
      <c r="I532" s="3">
        <v>43302</v>
      </c>
      <c r="J532" s="4">
        <v>0.67649305555556005</v>
      </c>
      <c r="K532" s="2">
        <v>0</v>
      </c>
      <c r="L532" t="s">
        <v>5856</v>
      </c>
      <c r="M532" t="s">
        <v>7810</v>
      </c>
      <c r="N532" s="3">
        <v>43306</v>
      </c>
      <c r="O532" s="3">
        <v>43304</v>
      </c>
      <c r="P532" t="s">
        <v>7828</v>
      </c>
      <c r="Q532" t="s">
        <v>7935</v>
      </c>
      <c r="R532" t="s">
        <v>6036</v>
      </c>
      <c r="S532" s="3">
        <v>43306</v>
      </c>
      <c r="T532" t="s">
        <v>9938</v>
      </c>
      <c r="U532" t="s">
        <v>7830</v>
      </c>
      <c r="V532" t="s">
        <v>6100</v>
      </c>
      <c r="W532" t="s">
        <v>5857</v>
      </c>
      <c r="X532" s="2">
        <v>280</v>
      </c>
      <c r="Y532" t="s">
        <v>5858</v>
      </c>
      <c r="Z532" t="s">
        <v>6037</v>
      </c>
      <c r="AA532" s="2">
        <v>500</v>
      </c>
      <c r="AB532" t="s">
        <v>5863</v>
      </c>
      <c r="AC532" t="s">
        <v>9982</v>
      </c>
      <c r="AD532" s="32">
        <v>43278</v>
      </c>
      <c r="AI532" t="s">
        <v>9939</v>
      </c>
      <c r="AJ532" t="s">
        <v>9967</v>
      </c>
      <c r="AL532" t="s">
        <v>10810</v>
      </c>
    </row>
    <row r="533" spans="1:38">
      <c r="A533" t="s">
        <v>7751</v>
      </c>
      <c r="B533" t="s">
        <v>11939</v>
      </c>
      <c r="C533" t="s">
        <v>7936</v>
      </c>
      <c r="D533" t="s">
        <v>7937</v>
      </c>
      <c r="E533" s="2">
        <v>5000</v>
      </c>
      <c r="F533" s="2">
        <v>5000</v>
      </c>
      <c r="G533" s="3">
        <v>43302</v>
      </c>
      <c r="H533" s="4">
        <v>0.78869212962962998</v>
      </c>
      <c r="I533" s="3">
        <v>43303</v>
      </c>
      <c r="J533" s="4">
        <v>0.53274305555556001</v>
      </c>
      <c r="K533" s="2">
        <v>20</v>
      </c>
      <c r="L533" t="s">
        <v>5856</v>
      </c>
      <c r="M533" t="s">
        <v>7938</v>
      </c>
      <c r="N533" s="3">
        <v>43306</v>
      </c>
      <c r="O533" s="3">
        <v>43305</v>
      </c>
      <c r="P533" t="s">
        <v>5971</v>
      </c>
      <c r="Q533" t="s">
        <v>7939</v>
      </c>
      <c r="R533" t="s">
        <v>6036</v>
      </c>
      <c r="S533" s="3">
        <v>43306</v>
      </c>
      <c r="T533" t="s">
        <v>9938</v>
      </c>
      <c r="U533" t="s">
        <v>7940</v>
      </c>
      <c r="V533" t="s">
        <v>6041</v>
      </c>
      <c r="W533" t="s">
        <v>5857</v>
      </c>
      <c r="X533" s="2">
        <v>280</v>
      </c>
      <c r="Y533" t="s">
        <v>5858</v>
      </c>
      <c r="Z533" t="s">
        <v>6037</v>
      </c>
      <c r="AA533" s="2">
        <v>5000</v>
      </c>
      <c r="AB533" t="s">
        <v>5863</v>
      </c>
      <c r="AC533" t="s">
        <v>9974</v>
      </c>
      <c r="AD533" s="32">
        <v>43262</v>
      </c>
      <c r="AJ533" t="s">
        <v>9959</v>
      </c>
      <c r="AL533" t="s">
        <v>10811</v>
      </c>
    </row>
    <row r="534" spans="1:38">
      <c r="A534" t="s">
        <v>7751</v>
      </c>
      <c r="B534" t="s">
        <v>11940</v>
      </c>
      <c r="C534" t="s">
        <v>7929</v>
      </c>
      <c r="D534" t="s">
        <v>7930</v>
      </c>
      <c r="E534" s="2">
        <v>3000</v>
      </c>
      <c r="F534" s="2">
        <v>3000</v>
      </c>
      <c r="G534" s="3">
        <v>43303</v>
      </c>
      <c r="H534" s="4">
        <v>0.55357638888889005</v>
      </c>
      <c r="I534" s="3">
        <v>43304</v>
      </c>
      <c r="J534" s="4">
        <v>0</v>
      </c>
      <c r="K534" s="2">
        <v>20</v>
      </c>
      <c r="L534" t="s">
        <v>5856</v>
      </c>
      <c r="M534" t="s">
        <v>7941</v>
      </c>
      <c r="N534" s="3">
        <v>43306</v>
      </c>
      <c r="O534" s="3">
        <v>43305</v>
      </c>
      <c r="P534" t="s">
        <v>5862</v>
      </c>
      <c r="Q534" t="s">
        <v>7942</v>
      </c>
      <c r="R534" t="s">
        <v>6042</v>
      </c>
      <c r="S534" s="3">
        <v>43306</v>
      </c>
      <c r="T534" t="s">
        <v>9938</v>
      </c>
      <c r="U534" t="s">
        <v>7932</v>
      </c>
      <c r="V534" t="s">
        <v>7933</v>
      </c>
      <c r="W534" t="s">
        <v>5914</v>
      </c>
      <c r="X534" s="2">
        <v>280</v>
      </c>
      <c r="Y534" t="s">
        <v>5858</v>
      </c>
      <c r="Z534" t="s">
        <v>6037</v>
      </c>
      <c r="AA534" s="2">
        <v>3000</v>
      </c>
      <c r="AB534" t="s">
        <v>5863</v>
      </c>
      <c r="AC534" t="s">
        <v>9981</v>
      </c>
      <c r="AD534" s="32">
        <v>43244</v>
      </c>
      <c r="AJ534" t="s">
        <v>9962</v>
      </c>
      <c r="AL534" t="s">
        <v>10812</v>
      </c>
    </row>
    <row r="535" spans="1:38">
      <c r="A535" t="s">
        <v>7751</v>
      </c>
      <c r="B535" t="s">
        <v>11941</v>
      </c>
      <c r="C535" t="s">
        <v>7943</v>
      </c>
      <c r="D535" t="s">
        <v>7944</v>
      </c>
      <c r="E535" s="2">
        <v>700</v>
      </c>
      <c r="F535" s="2">
        <v>700</v>
      </c>
      <c r="G535" s="3">
        <v>43304</v>
      </c>
      <c r="H535" s="4">
        <v>0.58903935185184997</v>
      </c>
      <c r="I535" s="3">
        <v>43304</v>
      </c>
      <c r="J535" s="4">
        <v>0.69320601851852004</v>
      </c>
      <c r="K535" s="2">
        <v>0</v>
      </c>
      <c r="L535" t="s">
        <v>5856</v>
      </c>
      <c r="M535" t="s">
        <v>6984</v>
      </c>
      <c r="N535" s="3">
        <v>43307</v>
      </c>
      <c r="O535" s="3">
        <v>43306</v>
      </c>
      <c r="P535" t="s">
        <v>6020</v>
      </c>
      <c r="Q535" t="s">
        <v>7945</v>
      </c>
      <c r="R535" t="s">
        <v>6036</v>
      </c>
      <c r="S535" s="3">
        <v>43307</v>
      </c>
      <c r="T535" t="s">
        <v>9938</v>
      </c>
      <c r="U535" t="s">
        <v>7800</v>
      </c>
      <c r="V535" t="s">
        <v>7832</v>
      </c>
      <c r="W535" t="s">
        <v>5914</v>
      </c>
      <c r="X535" s="2">
        <v>0</v>
      </c>
      <c r="Y535" t="s">
        <v>5858</v>
      </c>
      <c r="Z535" t="s">
        <v>6037</v>
      </c>
      <c r="AA535" s="2">
        <v>700</v>
      </c>
      <c r="AB535" t="s">
        <v>5915</v>
      </c>
      <c r="AC535" t="s">
        <v>9981</v>
      </c>
      <c r="AD535" s="32"/>
      <c r="AJ535" t="s">
        <v>9964</v>
      </c>
      <c r="AL535" t="s">
        <v>13960</v>
      </c>
    </row>
    <row r="536" spans="1:38">
      <c r="A536" t="s">
        <v>7751</v>
      </c>
      <c r="B536" t="s">
        <v>11942</v>
      </c>
      <c r="C536" t="s">
        <v>7900</v>
      </c>
      <c r="D536" t="s">
        <v>7901</v>
      </c>
      <c r="E536" s="2">
        <v>10000</v>
      </c>
      <c r="F536" s="2">
        <v>10000</v>
      </c>
      <c r="G536" s="3">
        <v>43304</v>
      </c>
      <c r="H536" s="4">
        <v>0.61109953703704001</v>
      </c>
      <c r="I536" s="3">
        <v>43305</v>
      </c>
      <c r="J536" s="4">
        <v>0.99998842592592996</v>
      </c>
      <c r="K536" s="2">
        <v>0</v>
      </c>
      <c r="L536" t="s">
        <v>5856</v>
      </c>
      <c r="M536" t="s">
        <v>7902</v>
      </c>
      <c r="N536" s="3">
        <v>43307</v>
      </c>
      <c r="O536" s="3">
        <v>43307</v>
      </c>
      <c r="P536" t="s">
        <v>5862</v>
      </c>
      <c r="Q536" t="s">
        <v>6038</v>
      </c>
      <c r="R536" t="s">
        <v>6040</v>
      </c>
      <c r="S536" s="3">
        <v>43313</v>
      </c>
      <c r="T536" t="s">
        <v>9938</v>
      </c>
      <c r="U536" t="s">
        <v>7903</v>
      </c>
      <c r="V536" t="s">
        <v>7904</v>
      </c>
      <c r="W536" t="s">
        <v>5857</v>
      </c>
      <c r="X536" s="2">
        <v>0</v>
      </c>
      <c r="Y536" t="s">
        <v>5858</v>
      </c>
      <c r="Z536" t="s">
        <v>6037</v>
      </c>
      <c r="AA536" s="2">
        <v>10000</v>
      </c>
      <c r="AB536" t="s">
        <v>5915</v>
      </c>
      <c r="AC536" t="s">
        <v>9983</v>
      </c>
      <c r="AD536" s="32"/>
      <c r="AJ536" t="s">
        <v>9965</v>
      </c>
      <c r="AL536" t="s">
        <v>10813</v>
      </c>
    </row>
    <row r="537" spans="1:38">
      <c r="A537" t="s">
        <v>7751</v>
      </c>
      <c r="B537" t="s">
        <v>11943</v>
      </c>
      <c r="C537" t="s">
        <v>7946</v>
      </c>
      <c r="D537" t="s">
        <v>7947</v>
      </c>
      <c r="E537" s="2">
        <v>500</v>
      </c>
      <c r="F537" s="2">
        <v>500</v>
      </c>
      <c r="G537" s="3">
        <v>43305</v>
      </c>
      <c r="H537" s="4">
        <v>0.61903935185184999</v>
      </c>
      <c r="I537" s="3">
        <v>43305</v>
      </c>
      <c r="J537" s="4">
        <v>0.69344907407406997</v>
      </c>
      <c r="K537" s="2">
        <v>0</v>
      </c>
      <c r="L537" t="s">
        <v>5856</v>
      </c>
      <c r="M537" t="s">
        <v>7827</v>
      </c>
      <c r="N537" s="3">
        <v>43308</v>
      </c>
      <c r="O537" s="3">
        <v>43307</v>
      </c>
      <c r="P537" t="s">
        <v>7472</v>
      </c>
      <c r="Q537" t="s">
        <v>7948</v>
      </c>
      <c r="R537" t="s">
        <v>6036</v>
      </c>
      <c r="S537" s="3">
        <v>43308</v>
      </c>
      <c r="T537" t="s">
        <v>9938</v>
      </c>
      <c r="U537" t="s">
        <v>7923</v>
      </c>
      <c r="V537" t="s">
        <v>7949</v>
      </c>
      <c r="W537" t="s">
        <v>5857</v>
      </c>
      <c r="X537" s="2">
        <v>280</v>
      </c>
      <c r="Y537" t="s">
        <v>5858</v>
      </c>
      <c r="Z537" t="s">
        <v>6037</v>
      </c>
      <c r="AA537" s="2">
        <v>500</v>
      </c>
      <c r="AB537" t="s">
        <v>5863</v>
      </c>
      <c r="AC537" t="s">
        <v>9976</v>
      </c>
      <c r="AD537" s="32">
        <v>43271</v>
      </c>
      <c r="AJ537" t="s">
        <v>9967</v>
      </c>
      <c r="AL537" t="s">
        <v>10814</v>
      </c>
    </row>
    <row r="538" spans="1:38">
      <c r="A538" t="s">
        <v>7751</v>
      </c>
      <c r="B538" t="s">
        <v>11944</v>
      </c>
      <c r="C538" t="s">
        <v>7950</v>
      </c>
      <c r="D538" t="s">
        <v>7951</v>
      </c>
      <c r="E538" s="2">
        <v>500</v>
      </c>
      <c r="F538" s="2">
        <v>500</v>
      </c>
      <c r="G538" s="3">
        <v>43305</v>
      </c>
      <c r="H538" s="4">
        <v>0.71428240740741</v>
      </c>
      <c r="I538" s="3">
        <v>43305</v>
      </c>
      <c r="J538" s="4">
        <v>0.78869212962962998</v>
      </c>
      <c r="K538" s="2">
        <v>0</v>
      </c>
      <c r="L538" t="s">
        <v>5856</v>
      </c>
      <c r="M538" t="s">
        <v>7827</v>
      </c>
      <c r="N538" s="3">
        <v>43308</v>
      </c>
      <c r="O538" s="3">
        <v>43307</v>
      </c>
      <c r="P538" t="s">
        <v>5967</v>
      </c>
      <c r="Q538" t="s">
        <v>7952</v>
      </c>
      <c r="R538" t="s">
        <v>6036</v>
      </c>
      <c r="S538" s="3">
        <v>43308</v>
      </c>
      <c r="T538" t="s">
        <v>9938</v>
      </c>
      <c r="U538" t="s">
        <v>7953</v>
      </c>
      <c r="V538" t="s">
        <v>7954</v>
      </c>
      <c r="W538" t="s">
        <v>5914</v>
      </c>
      <c r="X538" s="2">
        <v>280</v>
      </c>
      <c r="Y538" t="s">
        <v>5858</v>
      </c>
      <c r="Z538" t="s">
        <v>6037</v>
      </c>
      <c r="AA538" s="2">
        <v>500</v>
      </c>
      <c r="AB538" t="s">
        <v>5863</v>
      </c>
      <c r="AC538" t="s">
        <v>9981</v>
      </c>
      <c r="AD538" s="32">
        <v>43271</v>
      </c>
      <c r="AI538" t="s">
        <v>9939</v>
      </c>
      <c r="AJ538" t="s">
        <v>9962</v>
      </c>
      <c r="AL538" t="s">
        <v>10815</v>
      </c>
    </row>
    <row r="539" spans="1:38">
      <c r="A539" t="s">
        <v>7751</v>
      </c>
      <c r="B539" t="s">
        <v>11945</v>
      </c>
      <c r="C539" t="s">
        <v>7808</v>
      </c>
      <c r="D539" t="s">
        <v>7809</v>
      </c>
      <c r="E539" s="2">
        <v>1000</v>
      </c>
      <c r="F539" s="2">
        <v>1000</v>
      </c>
      <c r="G539" s="3">
        <v>43305</v>
      </c>
      <c r="H539" s="4">
        <v>0.85119212962962998</v>
      </c>
      <c r="I539" s="3">
        <v>43306</v>
      </c>
      <c r="J539" s="4">
        <v>0</v>
      </c>
      <c r="K539" s="2">
        <v>0</v>
      </c>
      <c r="L539" t="s">
        <v>5856</v>
      </c>
      <c r="M539" t="s">
        <v>5939</v>
      </c>
      <c r="N539" s="3">
        <v>43308</v>
      </c>
      <c r="O539" s="3">
        <v>43307</v>
      </c>
      <c r="P539" t="s">
        <v>7805</v>
      </c>
      <c r="Q539" t="s">
        <v>7955</v>
      </c>
      <c r="R539" t="s">
        <v>6036</v>
      </c>
      <c r="S539" s="3">
        <v>43308</v>
      </c>
      <c r="T539" t="s">
        <v>9938</v>
      </c>
      <c r="U539" t="s">
        <v>7811</v>
      </c>
      <c r="V539" t="s">
        <v>7812</v>
      </c>
      <c r="W539" t="s">
        <v>5857</v>
      </c>
      <c r="X539" s="2">
        <v>280</v>
      </c>
      <c r="Y539" t="s">
        <v>5858</v>
      </c>
      <c r="Z539" t="s">
        <v>6037</v>
      </c>
      <c r="AA539" s="2">
        <v>1000</v>
      </c>
      <c r="AB539" t="s">
        <v>5863</v>
      </c>
      <c r="AC539" t="s">
        <v>9981</v>
      </c>
      <c r="AD539" s="32">
        <v>43270</v>
      </c>
      <c r="AJ539" t="s">
        <v>9966</v>
      </c>
      <c r="AL539" t="s">
        <v>10816</v>
      </c>
    </row>
    <row r="540" spans="1:38">
      <c r="A540" t="s">
        <v>7751</v>
      </c>
      <c r="B540" t="s">
        <v>13129</v>
      </c>
      <c r="C540" t="s">
        <v>9857</v>
      </c>
      <c r="D540" t="s">
        <v>9858</v>
      </c>
      <c r="E540" s="2">
        <v>11000</v>
      </c>
      <c r="F540" s="2">
        <v>11000</v>
      </c>
      <c r="G540" s="3">
        <v>43307</v>
      </c>
      <c r="H540" s="4">
        <v>0.36309027777778002</v>
      </c>
      <c r="I540" s="3">
        <v>43309</v>
      </c>
      <c r="J540" s="4">
        <v>0</v>
      </c>
      <c r="K540" s="2">
        <v>20</v>
      </c>
      <c r="L540" t="s">
        <v>5856</v>
      </c>
      <c r="M540" t="s">
        <v>13130</v>
      </c>
      <c r="N540" s="3">
        <v>43311</v>
      </c>
      <c r="O540" s="3">
        <v>43310</v>
      </c>
      <c r="P540" t="s">
        <v>6020</v>
      </c>
      <c r="Q540" t="s">
        <v>13131</v>
      </c>
      <c r="R540" t="s">
        <v>6036</v>
      </c>
      <c r="S540" s="3">
        <v>43311</v>
      </c>
      <c r="T540" t="s">
        <v>9938</v>
      </c>
      <c r="U540" t="s">
        <v>7915</v>
      </c>
      <c r="V540" t="s">
        <v>5860</v>
      </c>
      <c r="W540" t="s">
        <v>5857</v>
      </c>
      <c r="X540" s="2">
        <v>280</v>
      </c>
      <c r="Y540" t="s">
        <v>5858</v>
      </c>
      <c r="Z540" t="s">
        <v>6037</v>
      </c>
      <c r="AA540" s="2">
        <v>10000</v>
      </c>
      <c r="AB540" t="s">
        <v>5863</v>
      </c>
      <c r="AC540" t="s">
        <v>9982</v>
      </c>
      <c r="AD540" s="32">
        <v>43280</v>
      </c>
      <c r="AI540" t="s">
        <v>9939</v>
      </c>
      <c r="AJ540" t="s">
        <v>9967</v>
      </c>
      <c r="AL540" t="s">
        <v>13961</v>
      </c>
    </row>
    <row r="541" spans="1:38">
      <c r="A541" t="s">
        <v>7751</v>
      </c>
      <c r="B541" t="s">
        <v>11946</v>
      </c>
      <c r="C541" t="s">
        <v>7956</v>
      </c>
      <c r="D541" t="s">
        <v>7957</v>
      </c>
      <c r="E541" s="2">
        <v>1000</v>
      </c>
      <c r="F541" s="2">
        <v>1000</v>
      </c>
      <c r="G541" s="3">
        <v>43309</v>
      </c>
      <c r="H541" s="4">
        <v>0.85118055555556005</v>
      </c>
      <c r="I541" s="3">
        <v>43309</v>
      </c>
      <c r="J541" s="4">
        <v>0.99998842592592996</v>
      </c>
      <c r="K541" s="2">
        <v>0</v>
      </c>
      <c r="L541" t="s">
        <v>5856</v>
      </c>
      <c r="M541" t="s">
        <v>5939</v>
      </c>
      <c r="N541" s="3">
        <v>43311</v>
      </c>
      <c r="O541" s="3">
        <v>43311</v>
      </c>
      <c r="P541" t="s">
        <v>7766</v>
      </c>
      <c r="Q541" t="s">
        <v>6038</v>
      </c>
      <c r="R541" t="s">
        <v>6040</v>
      </c>
      <c r="S541" s="3">
        <v>43374</v>
      </c>
      <c r="T541" t="s">
        <v>9938</v>
      </c>
      <c r="U541" t="s">
        <v>7958</v>
      </c>
      <c r="V541" t="s">
        <v>7779</v>
      </c>
      <c r="W541" t="s">
        <v>5914</v>
      </c>
      <c r="X541" s="2">
        <v>0</v>
      </c>
      <c r="Y541" t="s">
        <v>5858</v>
      </c>
      <c r="Z541" t="s">
        <v>6037</v>
      </c>
      <c r="AA541" s="2">
        <v>1000</v>
      </c>
      <c r="AB541" t="s">
        <v>5861</v>
      </c>
      <c r="AC541" t="s">
        <v>9981</v>
      </c>
      <c r="AD541" s="32"/>
      <c r="AJ541" t="s">
        <v>9962</v>
      </c>
      <c r="AL541" t="s">
        <v>10817</v>
      </c>
    </row>
    <row r="542" spans="1:38">
      <c r="A542" t="s">
        <v>7751</v>
      </c>
      <c r="B542" t="s">
        <v>11947</v>
      </c>
      <c r="C542" t="s">
        <v>7959</v>
      </c>
      <c r="D542" t="s">
        <v>7960</v>
      </c>
      <c r="E542" s="2">
        <v>500</v>
      </c>
      <c r="F542" s="2">
        <v>500</v>
      </c>
      <c r="G542" s="3">
        <v>43309</v>
      </c>
      <c r="H542" s="4">
        <v>0.92559027777778002</v>
      </c>
      <c r="I542" s="3">
        <v>43310</v>
      </c>
      <c r="J542" s="4">
        <v>0</v>
      </c>
      <c r="K542" s="2">
        <v>20</v>
      </c>
      <c r="L542" t="s">
        <v>5856</v>
      </c>
      <c r="M542" t="s">
        <v>7827</v>
      </c>
      <c r="N542" s="3">
        <v>43312</v>
      </c>
      <c r="O542" s="3">
        <v>43311</v>
      </c>
      <c r="P542" t="s">
        <v>5967</v>
      </c>
      <c r="Q542" t="s">
        <v>7961</v>
      </c>
      <c r="R542" t="s">
        <v>6036</v>
      </c>
      <c r="S542" s="3">
        <v>43313</v>
      </c>
      <c r="T542" t="s">
        <v>9938</v>
      </c>
      <c r="U542" t="s">
        <v>7962</v>
      </c>
      <c r="V542" t="s">
        <v>6041</v>
      </c>
      <c r="W542" t="s">
        <v>5914</v>
      </c>
      <c r="X542" s="2">
        <v>280</v>
      </c>
      <c r="Y542" t="s">
        <v>5858</v>
      </c>
      <c r="Z542" t="s">
        <v>6037</v>
      </c>
      <c r="AA542" s="2">
        <v>500</v>
      </c>
      <c r="AB542" t="s">
        <v>5863</v>
      </c>
      <c r="AC542" t="s">
        <v>9981</v>
      </c>
      <c r="AD542" s="32">
        <v>43256</v>
      </c>
      <c r="AJ542" t="s">
        <v>9967</v>
      </c>
      <c r="AL542" t="s">
        <v>10818</v>
      </c>
    </row>
    <row r="543" spans="1:38">
      <c r="A543" t="s">
        <v>7751</v>
      </c>
      <c r="B543" t="s">
        <v>11948</v>
      </c>
      <c r="C543" t="s">
        <v>7963</v>
      </c>
      <c r="D543" t="s">
        <v>7964</v>
      </c>
      <c r="E543" s="2">
        <v>2000</v>
      </c>
      <c r="F543" s="2">
        <v>2000</v>
      </c>
      <c r="G543" s="3">
        <v>43310</v>
      </c>
      <c r="H543" s="4">
        <v>0.46131944444444001</v>
      </c>
      <c r="I543" s="3">
        <v>43310</v>
      </c>
      <c r="J543" s="4">
        <v>0.75893518518518999</v>
      </c>
      <c r="K543" s="2">
        <v>20</v>
      </c>
      <c r="L543" t="s">
        <v>5856</v>
      </c>
      <c r="M543" t="s">
        <v>5926</v>
      </c>
      <c r="N543" s="3">
        <v>43314</v>
      </c>
      <c r="O543" s="3">
        <v>43312</v>
      </c>
      <c r="P543" t="s">
        <v>7846</v>
      </c>
      <c r="Q543" t="s">
        <v>7965</v>
      </c>
      <c r="R543" t="s">
        <v>6036</v>
      </c>
      <c r="S543" s="3">
        <v>43314</v>
      </c>
      <c r="T543" t="s">
        <v>9938</v>
      </c>
      <c r="U543" t="s">
        <v>7966</v>
      </c>
      <c r="V543" t="s">
        <v>7779</v>
      </c>
      <c r="W543" t="s">
        <v>5914</v>
      </c>
      <c r="X543" s="2">
        <v>280</v>
      </c>
      <c r="Y543" t="s">
        <v>5858</v>
      </c>
      <c r="Z543" t="s">
        <v>6037</v>
      </c>
      <c r="AA543" s="2">
        <v>2000</v>
      </c>
      <c r="AB543" t="s">
        <v>5863</v>
      </c>
      <c r="AC543" t="s">
        <v>9981</v>
      </c>
      <c r="AD543" s="32">
        <v>43259</v>
      </c>
      <c r="AJ543" t="s">
        <v>9968</v>
      </c>
      <c r="AL543" t="s">
        <v>10819</v>
      </c>
    </row>
    <row r="544" spans="1:38">
      <c r="A544" t="s">
        <v>7751</v>
      </c>
      <c r="B544" t="s">
        <v>13132</v>
      </c>
      <c r="C544" t="s">
        <v>7793</v>
      </c>
      <c r="D544" t="s">
        <v>7794</v>
      </c>
      <c r="E544" s="2">
        <v>2200</v>
      </c>
      <c r="F544" s="2">
        <v>2200</v>
      </c>
      <c r="G544" s="3">
        <v>43310</v>
      </c>
      <c r="H544" s="4">
        <v>0.92350694444444004</v>
      </c>
      <c r="I544" s="3">
        <v>43311</v>
      </c>
      <c r="J544" s="4">
        <v>0.25089120370369999</v>
      </c>
      <c r="K544" s="2">
        <v>20</v>
      </c>
      <c r="L544" t="s">
        <v>5856</v>
      </c>
      <c r="M544" t="s">
        <v>7771</v>
      </c>
      <c r="N544" s="3">
        <v>43314</v>
      </c>
      <c r="O544" s="3">
        <v>43313</v>
      </c>
      <c r="P544" t="s">
        <v>7790</v>
      </c>
      <c r="Q544" t="s">
        <v>13133</v>
      </c>
      <c r="R544" t="s">
        <v>6036</v>
      </c>
      <c r="S544" s="3">
        <v>43314</v>
      </c>
      <c r="T544" t="s">
        <v>9938</v>
      </c>
      <c r="U544" t="s">
        <v>7797</v>
      </c>
      <c r="V544" t="s">
        <v>7787</v>
      </c>
      <c r="W544" t="s">
        <v>5914</v>
      </c>
      <c r="X544" s="2">
        <v>280</v>
      </c>
      <c r="Y544" t="s">
        <v>5858</v>
      </c>
      <c r="Z544" t="s">
        <v>6037</v>
      </c>
      <c r="AA544" s="2">
        <v>2000</v>
      </c>
      <c r="AB544" t="s">
        <v>5863</v>
      </c>
      <c r="AC544" t="s">
        <v>9981</v>
      </c>
      <c r="AD544" s="32">
        <v>43279</v>
      </c>
      <c r="AJ544" t="s">
        <v>9962</v>
      </c>
      <c r="AL544" t="s">
        <v>13962</v>
      </c>
    </row>
    <row r="545" spans="1:38">
      <c r="A545" t="s">
        <v>7751</v>
      </c>
      <c r="B545" t="s">
        <v>11949</v>
      </c>
      <c r="C545" t="s">
        <v>7967</v>
      </c>
      <c r="D545" t="s">
        <v>7968</v>
      </c>
      <c r="E545" s="2">
        <v>330</v>
      </c>
      <c r="F545" s="2">
        <v>330</v>
      </c>
      <c r="G545" s="3">
        <v>43311</v>
      </c>
      <c r="H545" s="4">
        <v>0.27172453703704003</v>
      </c>
      <c r="I545" s="3">
        <v>43311</v>
      </c>
      <c r="J545" s="4">
        <v>0.32083333333332997</v>
      </c>
      <c r="K545" s="2">
        <v>0</v>
      </c>
      <c r="L545" t="s">
        <v>5856</v>
      </c>
      <c r="M545" t="s">
        <v>7804</v>
      </c>
      <c r="N545" s="3">
        <v>43314</v>
      </c>
      <c r="O545" s="3">
        <v>43313</v>
      </c>
      <c r="P545" t="s">
        <v>5862</v>
      </c>
      <c r="Q545" t="s">
        <v>7969</v>
      </c>
      <c r="R545" t="s">
        <v>6036</v>
      </c>
      <c r="S545" s="3">
        <v>43314</v>
      </c>
      <c r="T545" t="s">
        <v>9938</v>
      </c>
      <c r="U545" t="s">
        <v>7800</v>
      </c>
      <c r="V545" t="s">
        <v>7970</v>
      </c>
      <c r="W545" t="s">
        <v>5914</v>
      </c>
      <c r="X545" s="2">
        <v>280</v>
      </c>
      <c r="Y545" t="s">
        <v>5858</v>
      </c>
      <c r="Z545" t="s">
        <v>6037</v>
      </c>
      <c r="AA545" s="2">
        <v>300</v>
      </c>
      <c r="AB545" t="s">
        <v>5863</v>
      </c>
      <c r="AC545" t="s">
        <v>9981</v>
      </c>
      <c r="AD545" s="32">
        <v>43272</v>
      </c>
      <c r="AJ545" t="s">
        <v>9964</v>
      </c>
      <c r="AL545" t="s">
        <v>10820</v>
      </c>
    </row>
    <row r="546" spans="1:38">
      <c r="A546" t="s">
        <v>7751</v>
      </c>
      <c r="B546" t="s">
        <v>11950</v>
      </c>
      <c r="C546" t="s">
        <v>7967</v>
      </c>
      <c r="D546" t="s">
        <v>7968</v>
      </c>
      <c r="E546" s="2">
        <v>300</v>
      </c>
      <c r="F546" s="2">
        <v>300</v>
      </c>
      <c r="G546" s="3">
        <v>43311</v>
      </c>
      <c r="H546" s="4">
        <v>0.42262731481480997</v>
      </c>
      <c r="I546" s="3">
        <v>43311</v>
      </c>
      <c r="J546" s="4">
        <v>0.46726851851852003</v>
      </c>
      <c r="K546" s="2">
        <v>0</v>
      </c>
      <c r="L546" t="s">
        <v>5856</v>
      </c>
      <c r="M546" t="s">
        <v>7971</v>
      </c>
      <c r="N546" s="3">
        <v>43314</v>
      </c>
      <c r="O546" s="3">
        <v>43313</v>
      </c>
      <c r="P546" t="s">
        <v>5862</v>
      </c>
      <c r="Q546" t="s">
        <v>7972</v>
      </c>
      <c r="R546" t="s">
        <v>6036</v>
      </c>
      <c r="S546" s="3">
        <v>43314</v>
      </c>
      <c r="T546" t="s">
        <v>9938</v>
      </c>
      <c r="U546" t="s">
        <v>7800</v>
      </c>
      <c r="V546" t="s">
        <v>7970</v>
      </c>
      <c r="W546" t="s">
        <v>5914</v>
      </c>
      <c r="X546" s="2">
        <v>280</v>
      </c>
      <c r="Y546" t="s">
        <v>5858</v>
      </c>
      <c r="Z546" t="s">
        <v>6037</v>
      </c>
      <c r="AA546" s="2">
        <v>300</v>
      </c>
      <c r="AB546" t="s">
        <v>5863</v>
      </c>
      <c r="AC546" t="s">
        <v>9981</v>
      </c>
      <c r="AD546" s="32">
        <v>43272</v>
      </c>
      <c r="AJ546" t="s">
        <v>9964</v>
      </c>
      <c r="AL546" t="s">
        <v>10821</v>
      </c>
    </row>
    <row r="547" spans="1:38">
      <c r="A547" t="s">
        <v>7751</v>
      </c>
      <c r="B547" t="s">
        <v>11951</v>
      </c>
      <c r="C547" t="s">
        <v>7973</v>
      </c>
      <c r="D547" t="s">
        <v>7974</v>
      </c>
      <c r="E547" s="2">
        <v>2000</v>
      </c>
      <c r="F547" s="2">
        <v>2000</v>
      </c>
      <c r="G547" s="3">
        <v>43311</v>
      </c>
      <c r="H547" s="4">
        <v>0.55357638888889005</v>
      </c>
      <c r="I547" s="3">
        <v>43311</v>
      </c>
      <c r="J547" s="4">
        <v>0.85119212962962998</v>
      </c>
      <c r="K547" s="2">
        <v>20</v>
      </c>
      <c r="L547" t="s">
        <v>5856</v>
      </c>
      <c r="M547" t="s">
        <v>5926</v>
      </c>
      <c r="N547" s="3">
        <v>43314</v>
      </c>
      <c r="O547" s="3">
        <v>43313</v>
      </c>
      <c r="P547" t="s">
        <v>5873</v>
      </c>
      <c r="Q547" t="s">
        <v>7975</v>
      </c>
      <c r="R547" t="s">
        <v>6036</v>
      </c>
      <c r="S547" s="3">
        <v>43314</v>
      </c>
      <c r="T547" t="s">
        <v>9938</v>
      </c>
      <c r="U547" t="s">
        <v>6082</v>
      </c>
      <c r="V547" t="s">
        <v>6046</v>
      </c>
      <c r="W547" t="s">
        <v>5857</v>
      </c>
      <c r="X547" s="2">
        <v>280</v>
      </c>
      <c r="Y547" t="s">
        <v>5858</v>
      </c>
      <c r="Z547" t="s">
        <v>6037</v>
      </c>
      <c r="AA547" s="2">
        <v>2000</v>
      </c>
      <c r="AB547" t="s">
        <v>5863</v>
      </c>
      <c r="AC547" t="s">
        <v>9974</v>
      </c>
      <c r="AD547" s="32">
        <v>43249</v>
      </c>
      <c r="AI547" t="s">
        <v>9939</v>
      </c>
      <c r="AJ547" t="s">
        <v>9967</v>
      </c>
      <c r="AL547" t="s">
        <v>10822</v>
      </c>
    </row>
    <row r="548" spans="1:38">
      <c r="A548" t="s">
        <v>7751</v>
      </c>
      <c r="B548" t="s">
        <v>11952</v>
      </c>
      <c r="C548" t="s">
        <v>7943</v>
      </c>
      <c r="D548" t="s">
        <v>7944</v>
      </c>
      <c r="E548" s="2">
        <v>800</v>
      </c>
      <c r="F548" s="2">
        <v>800</v>
      </c>
      <c r="G548" s="3">
        <v>43311</v>
      </c>
      <c r="H548" s="4">
        <v>0.88094907407406997</v>
      </c>
      <c r="I548" s="3">
        <v>43312</v>
      </c>
      <c r="J548" s="4">
        <v>0</v>
      </c>
      <c r="K548" s="2">
        <v>0</v>
      </c>
      <c r="L548" t="s">
        <v>5856</v>
      </c>
      <c r="M548" t="s">
        <v>7976</v>
      </c>
      <c r="N548" s="3">
        <v>43314</v>
      </c>
      <c r="O548" s="3">
        <v>43313</v>
      </c>
      <c r="P548" t="s">
        <v>6020</v>
      </c>
      <c r="Q548" t="s">
        <v>7977</v>
      </c>
      <c r="R548" t="s">
        <v>6036</v>
      </c>
      <c r="S548" s="3">
        <v>43314</v>
      </c>
      <c r="T548" t="s">
        <v>9938</v>
      </c>
      <c r="U548" t="s">
        <v>7800</v>
      </c>
      <c r="V548" t="s">
        <v>7832</v>
      </c>
      <c r="W548" t="s">
        <v>5914</v>
      </c>
      <c r="X548" s="2">
        <v>0</v>
      </c>
      <c r="Y548" t="s">
        <v>5858</v>
      </c>
      <c r="Z548" t="s">
        <v>6037</v>
      </c>
      <c r="AA548" s="2">
        <v>800</v>
      </c>
      <c r="AB548" t="s">
        <v>5915</v>
      </c>
      <c r="AC548" t="s">
        <v>9981</v>
      </c>
      <c r="AD548" s="32"/>
      <c r="AJ548" t="s">
        <v>9964</v>
      </c>
      <c r="AL548" t="s">
        <v>13963</v>
      </c>
    </row>
    <row r="549" spans="1:38">
      <c r="A549" t="s">
        <v>7751</v>
      </c>
      <c r="B549" t="s">
        <v>11953</v>
      </c>
      <c r="C549" t="s">
        <v>7978</v>
      </c>
      <c r="D549" t="s">
        <v>7979</v>
      </c>
      <c r="E549" s="2">
        <v>1100</v>
      </c>
      <c r="F549" s="2">
        <v>1100</v>
      </c>
      <c r="G549" s="3">
        <v>43312</v>
      </c>
      <c r="H549" s="4">
        <v>0.83630787037037002</v>
      </c>
      <c r="I549" s="3">
        <v>43313</v>
      </c>
      <c r="J549" s="4">
        <v>0</v>
      </c>
      <c r="K549" s="2">
        <v>0</v>
      </c>
      <c r="L549" t="s">
        <v>5856</v>
      </c>
      <c r="M549" t="s">
        <v>7761</v>
      </c>
      <c r="N549" s="3">
        <v>43315</v>
      </c>
      <c r="O549" s="3">
        <v>43314</v>
      </c>
      <c r="P549" t="s">
        <v>7980</v>
      </c>
      <c r="Q549" t="s">
        <v>7981</v>
      </c>
      <c r="R549" t="s">
        <v>6036</v>
      </c>
      <c r="S549" s="3">
        <v>43315</v>
      </c>
      <c r="T549" t="s">
        <v>9938</v>
      </c>
      <c r="U549" t="s">
        <v>7982</v>
      </c>
      <c r="V549" t="s">
        <v>5899</v>
      </c>
      <c r="W549" t="s">
        <v>5857</v>
      </c>
      <c r="X549" s="2">
        <v>280</v>
      </c>
      <c r="Y549" t="s">
        <v>5858</v>
      </c>
      <c r="Z549" t="s">
        <v>6037</v>
      </c>
      <c r="AA549" s="2">
        <v>1000</v>
      </c>
      <c r="AB549" t="s">
        <v>5863</v>
      </c>
      <c r="AC549" t="s">
        <v>9981</v>
      </c>
      <c r="AD549" s="32">
        <v>43276</v>
      </c>
      <c r="AJ549" t="s">
        <v>9962</v>
      </c>
      <c r="AL549" t="s">
        <v>10824</v>
      </c>
    </row>
    <row r="550" spans="1:38">
      <c r="A550" t="s">
        <v>7751</v>
      </c>
      <c r="B550" t="s">
        <v>11954</v>
      </c>
      <c r="C550" t="s">
        <v>7929</v>
      </c>
      <c r="D550" t="s">
        <v>7930</v>
      </c>
      <c r="E550" s="2">
        <v>500</v>
      </c>
      <c r="F550" s="2">
        <v>500</v>
      </c>
      <c r="G550" s="3">
        <v>43315</v>
      </c>
      <c r="H550" s="4">
        <v>0.92559027777778002</v>
      </c>
      <c r="I550" s="3">
        <v>43316</v>
      </c>
      <c r="J550" s="4">
        <v>0</v>
      </c>
      <c r="K550" s="2">
        <v>0</v>
      </c>
      <c r="L550" t="s">
        <v>5856</v>
      </c>
      <c r="M550" t="s">
        <v>7827</v>
      </c>
      <c r="N550" s="3">
        <v>43318</v>
      </c>
      <c r="O550" s="3">
        <v>43317</v>
      </c>
      <c r="P550" t="s">
        <v>5862</v>
      </c>
      <c r="Q550" t="s">
        <v>7983</v>
      </c>
      <c r="R550" t="s">
        <v>6036</v>
      </c>
      <c r="S550" s="3">
        <v>43318</v>
      </c>
      <c r="T550" t="s">
        <v>9938</v>
      </c>
      <c r="U550" t="s">
        <v>7932</v>
      </c>
      <c r="V550" t="s">
        <v>7933</v>
      </c>
      <c r="W550" t="s">
        <v>5914</v>
      </c>
      <c r="X550" s="2">
        <v>280</v>
      </c>
      <c r="Y550" t="s">
        <v>5858</v>
      </c>
      <c r="Z550" t="s">
        <v>6037</v>
      </c>
      <c r="AA550" s="2">
        <v>500</v>
      </c>
      <c r="AB550" t="s">
        <v>5863</v>
      </c>
      <c r="AC550" t="s">
        <v>9981</v>
      </c>
      <c r="AD550" s="32">
        <v>43270</v>
      </c>
      <c r="AJ550" t="s">
        <v>9962</v>
      </c>
      <c r="AL550" t="s">
        <v>10825</v>
      </c>
    </row>
    <row r="551" spans="1:38">
      <c r="A551" t="s">
        <v>7751</v>
      </c>
      <c r="B551" t="s">
        <v>13134</v>
      </c>
      <c r="C551" t="s">
        <v>7943</v>
      </c>
      <c r="D551" t="s">
        <v>7944</v>
      </c>
      <c r="E551" s="2">
        <v>2200</v>
      </c>
      <c r="F551" s="2">
        <v>2200</v>
      </c>
      <c r="G551" s="3">
        <v>43317</v>
      </c>
      <c r="H551" s="4">
        <v>0.18452546296295999</v>
      </c>
      <c r="I551" s="3">
        <v>43317</v>
      </c>
      <c r="J551" s="4">
        <v>0.51190972222221998</v>
      </c>
      <c r="K551" s="2">
        <v>0</v>
      </c>
      <c r="L551" t="s">
        <v>5856</v>
      </c>
      <c r="M551" t="s">
        <v>7771</v>
      </c>
      <c r="N551" s="3">
        <v>43321</v>
      </c>
      <c r="O551" s="3">
        <v>43319</v>
      </c>
      <c r="P551" t="s">
        <v>6020</v>
      </c>
      <c r="Q551" t="s">
        <v>13135</v>
      </c>
      <c r="R551" t="s">
        <v>6036</v>
      </c>
      <c r="S551" s="3">
        <v>43321</v>
      </c>
      <c r="T551" t="s">
        <v>9938</v>
      </c>
      <c r="U551" t="s">
        <v>7800</v>
      </c>
      <c r="V551" t="s">
        <v>7832</v>
      </c>
      <c r="W551" t="s">
        <v>5914</v>
      </c>
      <c r="X551" s="2">
        <v>280</v>
      </c>
      <c r="Y551" t="s">
        <v>5858</v>
      </c>
      <c r="Z551" t="s">
        <v>6037</v>
      </c>
      <c r="AA551" s="2">
        <v>2000</v>
      </c>
      <c r="AB551" t="s">
        <v>5863</v>
      </c>
      <c r="AC551" t="s">
        <v>9981</v>
      </c>
      <c r="AD551" s="32">
        <v>43279</v>
      </c>
      <c r="AJ551" t="s">
        <v>9964</v>
      </c>
      <c r="AL551" t="s">
        <v>13964</v>
      </c>
    </row>
    <row r="552" spans="1:38">
      <c r="A552" t="s">
        <v>7751</v>
      </c>
      <c r="B552" t="s">
        <v>13136</v>
      </c>
      <c r="C552" t="s">
        <v>7943</v>
      </c>
      <c r="D552" t="s">
        <v>7944</v>
      </c>
      <c r="E552" s="2">
        <v>1980</v>
      </c>
      <c r="F552" s="2">
        <v>1980</v>
      </c>
      <c r="G552" s="3">
        <v>43317</v>
      </c>
      <c r="H552" s="4">
        <v>0.53274305555556001</v>
      </c>
      <c r="I552" s="3">
        <v>43317</v>
      </c>
      <c r="J552" s="4">
        <v>0.82738425925925996</v>
      </c>
      <c r="K552" s="2">
        <v>0</v>
      </c>
      <c r="L552" t="s">
        <v>5856</v>
      </c>
      <c r="M552" t="s">
        <v>13137</v>
      </c>
      <c r="N552" s="3">
        <v>43321</v>
      </c>
      <c r="O552" s="3">
        <v>43319</v>
      </c>
      <c r="P552" t="s">
        <v>6020</v>
      </c>
      <c r="Q552" t="s">
        <v>13138</v>
      </c>
      <c r="R552" t="s">
        <v>6036</v>
      </c>
      <c r="S552" s="3">
        <v>43321</v>
      </c>
      <c r="T552" t="s">
        <v>9938</v>
      </c>
      <c r="U552" t="s">
        <v>7800</v>
      </c>
      <c r="V552" t="s">
        <v>7832</v>
      </c>
      <c r="W552" t="s">
        <v>5914</v>
      </c>
      <c r="X552" s="2">
        <v>280</v>
      </c>
      <c r="Y552" t="s">
        <v>5858</v>
      </c>
      <c r="Z552" t="s">
        <v>6037</v>
      </c>
      <c r="AA552" s="2">
        <v>1800</v>
      </c>
      <c r="AB552" t="s">
        <v>5863</v>
      </c>
      <c r="AC552" t="s">
        <v>9981</v>
      </c>
      <c r="AD552" s="32">
        <v>43279</v>
      </c>
      <c r="AJ552" t="s">
        <v>9964</v>
      </c>
      <c r="AL552" t="s">
        <v>13965</v>
      </c>
    </row>
    <row r="553" spans="1:38">
      <c r="A553" t="s">
        <v>7751</v>
      </c>
      <c r="B553" t="s">
        <v>11955</v>
      </c>
      <c r="C553" t="s">
        <v>7943</v>
      </c>
      <c r="D553" t="s">
        <v>7944</v>
      </c>
      <c r="E553" s="2">
        <v>330</v>
      </c>
      <c r="F553" s="2">
        <v>330</v>
      </c>
      <c r="G553" s="3">
        <v>43317</v>
      </c>
      <c r="H553" s="4">
        <v>0.84821759259259</v>
      </c>
      <c r="I553" s="3">
        <v>43317</v>
      </c>
      <c r="J553" s="4">
        <v>0.89732638888889005</v>
      </c>
      <c r="K553" s="2">
        <v>0</v>
      </c>
      <c r="L553" t="s">
        <v>5856</v>
      </c>
      <c r="M553" t="s">
        <v>7804</v>
      </c>
      <c r="N553" s="3">
        <v>43320</v>
      </c>
      <c r="O553" s="3">
        <v>43319</v>
      </c>
      <c r="P553" t="s">
        <v>6020</v>
      </c>
      <c r="Q553" t="s">
        <v>7984</v>
      </c>
      <c r="R553" t="s">
        <v>6036</v>
      </c>
      <c r="S553" s="3">
        <v>43320</v>
      </c>
      <c r="T553" t="s">
        <v>9938</v>
      </c>
      <c r="U553" t="s">
        <v>7800</v>
      </c>
      <c r="V553" t="s">
        <v>7832</v>
      </c>
      <c r="W553" t="s">
        <v>5914</v>
      </c>
      <c r="X553" s="2">
        <v>0</v>
      </c>
      <c r="Y553" t="s">
        <v>5858</v>
      </c>
      <c r="Z553" t="s">
        <v>6037</v>
      </c>
      <c r="AA553" s="2">
        <v>300</v>
      </c>
      <c r="AB553" t="s">
        <v>5915</v>
      </c>
      <c r="AC553" t="s">
        <v>9981</v>
      </c>
      <c r="AD553" s="32"/>
      <c r="AJ553" t="s">
        <v>9964</v>
      </c>
      <c r="AL553" t="s">
        <v>13966</v>
      </c>
    </row>
    <row r="554" spans="1:38">
      <c r="A554" t="s">
        <v>7751</v>
      </c>
      <c r="B554" t="s">
        <v>13139</v>
      </c>
      <c r="C554" t="s">
        <v>7943</v>
      </c>
      <c r="D554" t="s">
        <v>7944</v>
      </c>
      <c r="E554" s="2">
        <v>550</v>
      </c>
      <c r="F554" s="2">
        <v>550</v>
      </c>
      <c r="G554" s="3">
        <v>43318</v>
      </c>
      <c r="H554" s="4">
        <v>2.0833333333330002E-2</v>
      </c>
      <c r="I554" s="3">
        <v>43318</v>
      </c>
      <c r="J554" s="4">
        <v>0.10268518518519</v>
      </c>
      <c r="K554" s="2">
        <v>4</v>
      </c>
      <c r="L554" t="s">
        <v>5856</v>
      </c>
      <c r="M554" t="s">
        <v>13094</v>
      </c>
      <c r="N554" s="3">
        <v>43320</v>
      </c>
      <c r="O554" s="3">
        <v>43320</v>
      </c>
      <c r="P554" t="s">
        <v>6020</v>
      </c>
      <c r="Q554" t="s">
        <v>7985</v>
      </c>
      <c r="R554" t="s">
        <v>6042</v>
      </c>
      <c r="S554" s="3">
        <v>43320</v>
      </c>
      <c r="T554" t="s">
        <v>9938</v>
      </c>
      <c r="U554" t="s">
        <v>7800</v>
      </c>
      <c r="V554" t="s">
        <v>7832</v>
      </c>
      <c r="W554" t="s">
        <v>5914</v>
      </c>
      <c r="X554" s="2">
        <v>280</v>
      </c>
      <c r="Y554" t="s">
        <v>5858</v>
      </c>
      <c r="Z554" t="s">
        <v>6037</v>
      </c>
      <c r="AA554" s="2">
        <v>500</v>
      </c>
      <c r="AB554" t="s">
        <v>5859</v>
      </c>
      <c r="AC554" t="s">
        <v>9981</v>
      </c>
      <c r="AD554" s="32">
        <v>43279</v>
      </c>
      <c r="AJ554" t="s">
        <v>9964</v>
      </c>
      <c r="AL554" t="s">
        <v>13967</v>
      </c>
    </row>
    <row r="555" spans="1:38">
      <c r="A555" t="s">
        <v>7751</v>
      </c>
      <c r="B555" t="s">
        <v>13140</v>
      </c>
      <c r="C555" t="s">
        <v>7943</v>
      </c>
      <c r="D555" t="s">
        <v>7944</v>
      </c>
      <c r="E555" s="2">
        <v>1100</v>
      </c>
      <c r="F555" s="2">
        <v>1100</v>
      </c>
      <c r="G555" s="3">
        <v>43318</v>
      </c>
      <c r="H555" s="4">
        <v>0.12351851851852</v>
      </c>
      <c r="I555" s="3">
        <v>43318</v>
      </c>
      <c r="J555" s="4">
        <v>0.28721064814815001</v>
      </c>
      <c r="K555" s="2">
        <v>0</v>
      </c>
      <c r="L555" t="s">
        <v>5856</v>
      </c>
      <c r="M555" t="s">
        <v>7761</v>
      </c>
      <c r="N555" s="3">
        <v>43321</v>
      </c>
      <c r="O555" s="3">
        <v>43320</v>
      </c>
      <c r="P555" t="s">
        <v>6020</v>
      </c>
      <c r="Q555" t="s">
        <v>13141</v>
      </c>
      <c r="R555" t="s">
        <v>6036</v>
      </c>
      <c r="S555" s="3">
        <v>43321</v>
      </c>
      <c r="T555" t="s">
        <v>9938</v>
      </c>
      <c r="U555" t="s">
        <v>7800</v>
      </c>
      <c r="V555" t="s">
        <v>7832</v>
      </c>
      <c r="W555" t="s">
        <v>5914</v>
      </c>
      <c r="X555" s="2">
        <v>280</v>
      </c>
      <c r="Y555" t="s">
        <v>5858</v>
      </c>
      <c r="Z555" t="s">
        <v>6037</v>
      </c>
      <c r="AA555" s="2">
        <v>1000</v>
      </c>
      <c r="AB555" t="s">
        <v>5863</v>
      </c>
      <c r="AC555" t="s">
        <v>9981</v>
      </c>
      <c r="AD555" s="32">
        <v>43279</v>
      </c>
      <c r="AJ555" t="s">
        <v>9964</v>
      </c>
      <c r="AL555" t="s">
        <v>13968</v>
      </c>
    </row>
    <row r="556" spans="1:38">
      <c r="A556" t="s">
        <v>7751</v>
      </c>
      <c r="B556" t="s">
        <v>13142</v>
      </c>
      <c r="C556" t="s">
        <v>7943</v>
      </c>
      <c r="D556" t="s">
        <v>7944</v>
      </c>
      <c r="E556" s="2">
        <v>3300</v>
      </c>
      <c r="F556" s="2">
        <v>3300</v>
      </c>
      <c r="G556" s="3">
        <v>43318</v>
      </c>
      <c r="H556" s="4">
        <v>0.30804398148147999</v>
      </c>
      <c r="I556" s="3">
        <v>43318</v>
      </c>
      <c r="J556" s="4">
        <v>0.79912037037036998</v>
      </c>
      <c r="K556" s="2">
        <v>0</v>
      </c>
      <c r="L556" t="s">
        <v>5856</v>
      </c>
      <c r="M556" t="s">
        <v>13143</v>
      </c>
      <c r="N556" s="3">
        <v>43321</v>
      </c>
      <c r="O556" s="3">
        <v>43320</v>
      </c>
      <c r="P556" t="s">
        <v>6020</v>
      </c>
      <c r="Q556" t="s">
        <v>13144</v>
      </c>
      <c r="R556" t="s">
        <v>6036</v>
      </c>
      <c r="S556" s="3">
        <v>43321</v>
      </c>
      <c r="T556" t="s">
        <v>9938</v>
      </c>
      <c r="U556" t="s">
        <v>7800</v>
      </c>
      <c r="V556" t="s">
        <v>7832</v>
      </c>
      <c r="W556" t="s">
        <v>5914</v>
      </c>
      <c r="X556" s="2">
        <v>280</v>
      </c>
      <c r="Y556" t="s">
        <v>5858</v>
      </c>
      <c r="Z556" t="s">
        <v>6037</v>
      </c>
      <c r="AA556" s="2">
        <v>3000</v>
      </c>
      <c r="AB556" t="s">
        <v>5863</v>
      </c>
      <c r="AC556" t="s">
        <v>9981</v>
      </c>
      <c r="AD556" s="32">
        <v>43279</v>
      </c>
      <c r="AJ556" t="s">
        <v>9964</v>
      </c>
      <c r="AL556" t="s">
        <v>13969</v>
      </c>
    </row>
    <row r="557" spans="1:38">
      <c r="A557" t="s">
        <v>7751</v>
      </c>
      <c r="B557" t="s">
        <v>11956</v>
      </c>
      <c r="C557" t="s">
        <v>7864</v>
      </c>
      <c r="D557" t="s">
        <v>7865</v>
      </c>
      <c r="E557" s="2">
        <v>1760</v>
      </c>
      <c r="F557" s="2">
        <v>1760</v>
      </c>
      <c r="G557" s="3">
        <v>43318</v>
      </c>
      <c r="H557" s="4">
        <v>0.81995370370370002</v>
      </c>
      <c r="I557" s="3">
        <v>43319</v>
      </c>
      <c r="J557" s="4">
        <v>8.1863425925930003E-2</v>
      </c>
      <c r="K557" s="2">
        <v>0</v>
      </c>
      <c r="L557" t="s">
        <v>5856</v>
      </c>
      <c r="M557" t="s">
        <v>7831</v>
      </c>
      <c r="N557" s="3">
        <v>43321</v>
      </c>
      <c r="O557" s="3">
        <v>43321</v>
      </c>
      <c r="P557" t="s">
        <v>6016</v>
      </c>
      <c r="Q557" t="s">
        <v>13145</v>
      </c>
      <c r="R557" t="s">
        <v>6036</v>
      </c>
      <c r="S557" s="3">
        <v>43321</v>
      </c>
      <c r="T557" t="s">
        <v>9938</v>
      </c>
      <c r="U557" t="s">
        <v>7867</v>
      </c>
      <c r="V557" t="s">
        <v>7868</v>
      </c>
      <c r="W557" t="s">
        <v>5914</v>
      </c>
      <c r="X557" s="2">
        <v>0</v>
      </c>
      <c r="Y557" t="s">
        <v>5858</v>
      </c>
      <c r="Z557" t="s">
        <v>6037</v>
      </c>
      <c r="AA557" s="2">
        <v>1600</v>
      </c>
      <c r="AB557" t="s">
        <v>5861</v>
      </c>
      <c r="AC557" t="s">
        <v>9981</v>
      </c>
      <c r="AD557" s="32"/>
      <c r="AJ557" t="s">
        <v>9962</v>
      </c>
      <c r="AL557" t="s">
        <v>10828</v>
      </c>
    </row>
    <row r="558" spans="1:38">
      <c r="A558" t="s">
        <v>7751</v>
      </c>
      <c r="B558" t="s">
        <v>11957</v>
      </c>
      <c r="C558" t="s">
        <v>7788</v>
      </c>
      <c r="D558" t="s">
        <v>7789</v>
      </c>
      <c r="E558" s="2">
        <v>2200</v>
      </c>
      <c r="F558" s="2">
        <v>2200</v>
      </c>
      <c r="G558" s="3">
        <v>43322</v>
      </c>
      <c r="H558" s="4">
        <v>0.35416666666667002</v>
      </c>
      <c r="I558" s="3">
        <v>43322</v>
      </c>
      <c r="J558" s="4">
        <v>0.68155092592593003</v>
      </c>
      <c r="K558" s="2">
        <v>20</v>
      </c>
      <c r="L558" t="s">
        <v>5856</v>
      </c>
      <c r="M558" t="s">
        <v>7771</v>
      </c>
      <c r="N558" s="3">
        <v>43325</v>
      </c>
      <c r="O558" s="3">
        <v>43324</v>
      </c>
      <c r="P558" t="s">
        <v>7790</v>
      </c>
      <c r="Q558" t="s">
        <v>7986</v>
      </c>
      <c r="R558" t="s">
        <v>6036</v>
      </c>
      <c r="S558" s="3">
        <v>43325</v>
      </c>
      <c r="T558" t="s">
        <v>9938</v>
      </c>
      <c r="U558" t="s">
        <v>7792</v>
      </c>
      <c r="V558" t="s">
        <v>7787</v>
      </c>
      <c r="W558" t="s">
        <v>5914</v>
      </c>
      <c r="X558" s="2">
        <v>280</v>
      </c>
      <c r="Y558" t="s">
        <v>5858</v>
      </c>
      <c r="Z558" t="s">
        <v>6037</v>
      </c>
      <c r="AA558" s="2">
        <v>2000</v>
      </c>
      <c r="AB558" t="s">
        <v>5863</v>
      </c>
      <c r="AC558" t="s">
        <v>9981</v>
      </c>
      <c r="AD558" s="32"/>
      <c r="AJ558" t="s">
        <v>9965</v>
      </c>
      <c r="AL558" t="s">
        <v>10829</v>
      </c>
    </row>
    <row r="559" spans="1:38">
      <c r="A559" t="s">
        <v>7751</v>
      </c>
      <c r="B559" t="s">
        <v>11958</v>
      </c>
      <c r="C559" t="s">
        <v>7929</v>
      </c>
      <c r="D559" t="s">
        <v>7930</v>
      </c>
      <c r="E559" s="2">
        <v>2000</v>
      </c>
      <c r="F559" s="2">
        <v>2000</v>
      </c>
      <c r="G559" s="3">
        <v>43322</v>
      </c>
      <c r="H559" s="4">
        <v>0.70238425925925996</v>
      </c>
      <c r="I559" s="3">
        <v>43323</v>
      </c>
      <c r="J559" s="4">
        <v>0</v>
      </c>
      <c r="K559" s="2">
        <v>20</v>
      </c>
      <c r="L559" t="s">
        <v>5856</v>
      </c>
      <c r="M559" t="s">
        <v>5926</v>
      </c>
      <c r="N559" s="3">
        <v>43328</v>
      </c>
      <c r="O559" s="3">
        <v>43324</v>
      </c>
      <c r="P559" t="s">
        <v>5862</v>
      </c>
      <c r="Q559" t="s">
        <v>7987</v>
      </c>
      <c r="R559" t="s">
        <v>6036</v>
      </c>
      <c r="S559" s="3">
        <v>43328</v>
      </c>
      <c r="T559" t="s">
        <v>9938</v>
      </c>
      <c r="U559" t="s">
        <v>7932</v>
      </c>
      <c r="V559" t="s">
        <v>7933</v>
      </c>
      <c r="W559" t="s">
        <v>5914</v>
      </c>
      <c r="X559" s="2">
        <v>280</v>
      </c>
      <c r="Y559" t="s">
        <v>5858</v>
      </c>
      <c r="Z559" t="s">
        <v>6037</v>
      </c>
      <c r="AA559" s="2">
        <v>2000</v>
      </c>
      <c r="AB559" t="s">
        <v>5863</v>
      </c>
      <c r="AC559" t="s">
        <v>9981</v>
      </c>
      <c r="AD559" s="32"/>
      <c r="AJ559" t="s">
        <v>9962</v>
      </c>
      <c r="AL559" t="s">
        <v>10830</v>
      </c>
    </row>
    <row r="560" spans="1:38">
      <c r="A560" t="s">
        <v>7751</v>
      </c>
      <c r="B560" t="s">
        <v>13146</v>
      </c>
      <c r="C560" t="s">
        <v>13147</v>
      </c>
      <c r="D560" t="s">
        <v>13148</v>
      </c>
      <c r="E560" s="2">
        <v>1100</v>
      </c>
      <c r="F560" s="2">
        <v>1100</v>
      </c>
      <c r="G560" s="3">
        <v>43323</v>
      </c>
      <c r="H560" s="4">
        <v>0.65178240740741</v>
      </c>
      <c r="I560" s="3">
        <v>43323</v>
      </c>
      <c r="J560" s="4">
        <v>0.81547453703703998</v>
      </c>
      <c r="K560" s="2">
        <v>0</v>
      </c>
      <c r="L560" t="s">
        <v>5856</v>
      </c>
      <c r="M560" t="s">
        <v>7761</v>
      </c>
      <c r="N560" s="3">
        <v>43326</v>
      </c>
      <c r="O560" s="3">
        <v>43325</v>
      </c>
      <c r="P560" t="s">
        <v>5967</v>
      </c>
      <c r="Q560" t="s">
        <v>13149</v>
      </c>
      <c r="R560" t="s">
        <v>6036</v>
      </c>
      <c r="S560" s="3">
        <v>43326</v>
      </c>
      <c r="T560" t="s">
        <v>9938</v>
      </c>
      <c r="U560" t="s">
        <v>13150</v>
      </c>
      <c r="V560" t="s">
        <v>5916</v>
      </c>
      <c r="W560" t="s">
        <v>5914</v>
      </c>
      <c r="X560" s="2">
        <v>280</v>
      </c>
      <c r="Y560" t="s">
        <v>5858</v>
      </c>
      <c r="Z560" t="s">
        <v>6037</v>
      </c>
      <c r="AA560" s="2">
        <v>1000</v>
      </c>
      <c r="AB560" t="s">
        <v>5863</v>
      </c>
      <c r="AD560" s="32"/>
      <c r="AI560" t="s">
        <v>9939</v>
      </c>
      <c r="AJ560" t="s">
        <v>9962</v>
      </c>
      <c r="AL560" t="s">
        <v>13970</v>
      </c>
    </row>
    <row r="561" spans="1:38">
      <c r="A561" t="s">
        <v>7751</v>
      </c>
      <c r="B561" t="s">
        <v>11959</v>
      </c>
      <c r="C561" t="s">
        <v>7864</v>
      </c>
      <c r="D561" t="s">
        <v>7865</v>
      </c>
      <c r="E561" s="2">
        <v>1100</v>
      </c>
      <c r="F561" s="2">
        <v>1100</v>
      </c>
      <c r="G561" s="3">
        <v>43323</v>
      </c>
      <c r="H561" s="4">
        <v>0.83630787037037002</v>
      </c>
      <c r="I561" s="3">
        <v>43324</v>
      </c>
      <c r="J561" s="4">
        <v>0</v>
      </c>
      <c r="K561" s="2">
        <v>20</v>
      </c>
      <c r="L561" t="s">
        <v>5856</v>
      </c>
      <c r="M561" t="s">
        <v>7761</v>
      </c>
      <c r="N561" s="3">
        <v>43326</v>
      </c>
      <c r="O561" s="3">
        <v>43325</v>
      </c>
      <c r="P561" t="s">
        <v>6016</v>
      </c>
      <c r="Q561" t="s">
        <v>7988</v>
      </c>
      <c r="R561" t="s">
        <v>6036</v>
      </c>
      <c r="S561" s="3">
        <v>43326</v>
      </c>
      <c r="T561" t="s">
        <v>9938</v>
      </c>
      <c r="U561" t="s">
        <v>7867</v>
      </c>
      <c r="V561" t="s">
        <v>7868</v>
      </c>
      <c r="W561" t="s">
        <v>5914</v>
      </c>
      <c r="X561" s="2">
        <v>280</v>
      </c>
      <c r="Y561" t="s">
        <v>5858</v>
      </c>
      <c r="Z561" t="s">
        <v>6037</v>
      </c>
      <c r="AA561" s="2">
        <v>1000</v>
      </c>
      <c r="AB561" t="s">
        <v>5863</v>
      </c>
      <c r="AC561" t="s">
        <v>9981</v>
      </c>
      <c r="AD561" s="32"/>
      <c r="AJ561" t="s">
        <v>9962</v>
      </c>
      <c r="AL561" t="s">
        <v>10831</v>
      </c>
    </row>
    <row r="562" spans="1:38">
      <c r="A562" t="s">
        <v>7751</v>
      </c>
      <c r="B562" t="s">
        <v>11960</v>
      </c>
      <c r="C562" t="s">
        <v>7844</v>
      </c>
      <c r="D562" t="s">
        <v>7845</v>
      </c>
      <c r="E562" s="2">
        <v>2500</v>
      </c>
      <c r="F562" s="2">
        <v>2500</v>
      </c>
      <c r="G562" s="3">
        <v>43324</v>
      </c>
      <c r="H562" s="4">
        <v>0.62797453703703998</v>
      </c>
      <c r="I562" s="3">
        <v>43325</v>
      </c>
      <c r="J562" s="4">
        <v>0</v>
      </c>
      <c r="K562" s="2">
        <v>0</v>
      </c>
      <c r="L562" t="s">
        <v>5856</v>
      </c>
      <c r="M562" t="s">
        <v>7989</v>
      </c>
      <c r="N562" s="3">
        <v>43327</v>
      </c>
      <c r="O562" s="3">
        <v>43326</v>
      </c>
      <c r="P562" t="s">
        <v>7846</v>
      </c>
      <c r="Q562" t="s">
        <v>7990</v>
      </c>
      <c r="R562" t="s">
        <v>6036</v>
      </c>
      <c r="S562" s="3">
        <v>43327</v>
      </c>
      <c r="T562" t="s">
        <v>9938</v>
      </c>
      <c r="U562" t="s">
        <v>7847</v>
      </c>
      <c r="V562" t="s">
        <v>7848</v>
      </c>
      <c r="W562" t="s">
        <v>5857</v>
      </c>
      <c r="X562" s="2">
        <v>280</v>
      </c>
      <c r="Y562" t="s">
        <v>5858</v>
      </c>
      <c r="Z562" t="s">
        <v>6037</v>
      </c>
      <c r="AA562" s="2">
        <v>2500</v>
      </c>
      <c r="AB562" t="s">
        <v>5863</v>
      </c>
      <c r="AC562" t="s">
        <v>9981</v>
      </c>
      <c r="AD562" s="32"/>
      <c r="AJ562" t="s">
        <v>9965</v>
      </c>
      <c r="AL562" t="s">
        <v>10832</v>
      </c>
    </row>
    <row r="563" spans="1:38">
      <c r="A563" t="s">
        <v>7751</v>
      </c>
      <c r="B563" t="s">
        <v>11961</v>
      </c>
      <c r="C563" t="s">
        <v>7991</v>
      </c>
      <c r="D563" t="s">
        <v>7992</v>
      </c>
      <c r="E563" s="2">
        <v>300</v>
      </c>
      <c r="F563" s="2">
        <v>300</v>
      </c>
      <c r="G563" s="3">
        <v>43329</v>
      </c>
      <c r="H563" s="4">
        <v>0.50981481481480995</v>
      </c>
      <c r="I563" s="3">
        <v>43329</v>
      </c>
      <c r="J563" s="4">
        <v>0.55445601851852</v>
      </c>
      <c r="K563" s="2">
        <v>0</v>
      </c>
      <c r="L563" t="s">
        <v>5856</v>
      </c>
      <c r="M563" t="s">
        <v>7971</v>
      </c>
      <c r="N563" s="3"/>
      <c r="O563" s="3">
        <v>43331</v>
      </c>
      <c r="P563" t="s">
        <v>7755</v>
      </c>
      <c r="Q563" t="s">
        <v>8025</v>
      </c>
      <c r="R563" t="s">
        <v>6036</v>
      </c>
      <c r="S563" s="3">
        <v>43363</v>
      </c>
      <c r="T563" t="s">
        <v>9938</v>
      </c>
      <c r="U563" t="s">
        <v>7993</v>
      </c>
      <c r="V563" t="s">
        <v>7994</v>
      </c>
      <c r="W563" t="s">
        <v>5914</v>
      </c>
      <c r="X563" s="2">
        <v>0</v>
      </c>
      <c r="Y563" t="s">
        <v>5858</v>
      </c>
      <c r="Z563" t="s">
        <v>6037</v>
      </c>
      <c r="AA563" s="2">
        <v>300</v>
      </c>
      <c r="AB563" t="s">
        <v>5861</v>
      </c>
      <c r="AC563" t="s">
        <v>9981</v>
      </c>
      <c r="AD563" s="32"/>
      <c r="AI563" t="s">
        <v>9939</v>
      </c>
      <c r="AJ563" t="s">
        <v>9962</v>
      </c>
      <c r="AL563" t="s">
        <v>13971</v>
      </c>
    </row>
    <row r="564" spans="1:38">
      <c r="A564" t="s">
        <v>7751</v>
      </c>
      <c r="B564" t="s">
        <v>11962</v>
      </c>
      <c r="C564" t="s">
        <v>7839</v>
      </c>
      <c r="D564" t="s">
        <v>7840</v>
      </c>
      <c r="E564" s="2">
        <v>1100</v>
      </c>
      <c r="F564" s="2">
        <v>1100</v>
      </c>
      <c r="G564" s="3">
        <v>43330</v>
      </c>
      <c r="H564" s="4">
        <v>0.83630787037037002</v>
      </c>
      <c r="I564" s="3">
        <v>43331</v>
      </c>
      <c r="J564" s="4">
        <v>0</v>
      </c>
      <c r="K564" s="2">
        <v>20</v>
      </c>
      <c r="L564" t="s">
        <v>5856</v>
      </c>
      <c r="M564" t="s">
        <v>7761</v>
      </c>
      <c r="N564" s="3">
        <v>43333</v>
      </c>
      <c r="O564" s="3">
        <v>43332</v>
      </c>
      <c r="P564" t="s">
        <v>7841</v>
      </c>
      <c r="Q564" t="s">
        <v>7995</v>
      </c>
      <c r="R564" t="s">
        <v>6036</v>
      </c>
      <c r="S564" s="3">
        <v>43333</v>
      </c>
      <c r="T564" t="s">
        <v>9938</v>
      </c>
      <c r="U564" t="s">
        <v>7843</v>
      </c>
      <c r="V564" t="s">
        <v>5916</v>
      </c>
      <c r="W564" t="s">
        <v>5857</v>
      </c>
      <c r="X564" s="2">
        <v>280</v>
      </c>
      <c r="Y564" t="s">
        <v>5858</v>
      </c>
      <c r="Z564" t="s">
        <v>6037</v>
      </c>
      <c r="AA564" s="2">
        <v>1000</v>
      </c>
      <c r="AB564" t="s">
        <v>5863</v>
      </c>
      <c r="AC564" t="s">
        <v>9981</v>
      </c>
      <c r="AD564" s="32"/>
      <c r="AJ564" t="s">
        <v>9962</v>
      </c>
      <c r="AL564" t="s">
        <v>10834</v>
      </c>
    </row>
    <row r="565" spans="1:38">
      <c r="A565" t="s">
        <v>7751</v>
      </c>
      <c r="B565" t="s">
        <v>11963</v>
      </c>
      <c r="C565" t="s">
        <v>7996</v>
      </c>
      <c r="D565" t="s">
        <v>7997</v>
      </c>
      <c r="E565" s="2">
        <v>1000</v>
      </c>
      <c r="F565" s="2">
        <v>1000</v>
      </c>
      <c r="G565" s="3">
        <v>43330</v>
      </c>
      <c r="H565" s="4">
        <v>0.85119212962962998</v>
      </c>
      <c r="I565" s="3">
        <v>43331</v>
      </c>
      <c r="J565" s="4">
        <v>0</v>
      </c>
      <c r="K565" s="2">
        <v>20</v>
      </c>
      <c r="L565" t="s">
        <v>5856</v>
      </c>
      <c r="M565" t="s">
        <v>5939</v>
      </c>
      <c r="N565" s="3">
        <v>43333</v>
      </c>
      <c r="O565" s="3">
        <v>43332</v>
      </c>
      <c r="P565" t="s">
        <v>5967</v>
      </c>
      <c r="Q565" t="s">
        <v>7998</v>
      </c>
      <c r="R565" t="s">
        <v>6036</v>
      </c>
      <c r="S565" s="3">
        <v>43333</v>
      </c>
      <c r="T565" t="s">
        <v>9938</v>
      </c>
      <c r="U565" t="s">
        <v>7999</v>
      </c>
      <c r="V565" t="s">
        <v>7779</v>
      </c>
      <c r="W565" t="s">
        <v>5857</v>
      </c>
      <c r="X565" s="2">
        <v>280</v>
      </c>
      <c r="Y565" t="s">
        <v>5858</v>
      </c>
      <c r="Z565" t="s">
        <v>6037</v>
      </c>
      <c r="AA565" s="2">
        <v>1000</v>
      </c>
      <c r="AB565" t="s">
        <v>5863</v>
      </c>
      <c r="AD565" s="32"/>
      <c r="AI565" t="s">
        <v>9939</v>
      </c>
      <c r="AJ565" t="s">
        <v>9968</v>
      </c>
      <c r="AL565" t="s">
        <v>10835</v>
      </c>
    </row>
    <row r="566" spans="1:38">
      <c r="A566" t="s">
        <v>7751</v>
      </c>
      <c r="B566" t="s">
        <v>11964</v>
      </c>
      <c r="C566" t="s">
        <v>7759</v>
      </c>
      <c r="D566" t="s">
        <v>7760</v>
      </c>
      <c r="E566" s="2">
        <v>1100</v>
      </c>
      <c r="F566" s="2">
        <v>1100</v>
      </c>
      <c r="G566" s="3">
        <v>43332</v>
      </c>
      <c r="H566" s="4">
        <v>0.72469907407406997</v>
      </c>
      <c r="I566" s="3">
        <v>43332</v>
      </c>
      <c r="J566" s="4">
        <v>0.88839120370369995</v>
      </c>
      <c r="K566" s="2">
        <v>20</v>
      </c>
      <c r="L566" t="s">
        <v>5856</v>
      </c>
      <c r="M566" t="s">
        <v>7761</v>
      </c>
      <c r="N566" s="3">
        <v>43335</v>
      </c>
      <c r="O566" s="3">
        <v>43334</v>
      </c>
      <c r="P566" t="s">
        <v>5967</v>
      </c>
      <c r="Q566" t="s">
        <v>8000</v>
      </c>
      <c r="R566" t="s">
        <v>6036</v>
      </c>
      <c r="S566" s="3">
        <v>43335</v>
      </c>
      <c r="T566" t="s">
        <v>9938</v>
      </c>
      <c r="U566" t="s">
        <v>7762</v>
      </c>
      <c r="V566" t="s">
        <v>7763</v>
      </c>
      <c r="W566" t="s">
        <v>5914</v>
      </c>
      <c r="X566" s="2">
        <v>280</v>
      </c>
      <c r="Y566" t="s">
        <v>5858</v>
      </c>
      <c r="Z566" t="s">
        <v>6037</v>
      </c>
      <c r="AA566" s="2">
        <v>1000</v>
      </c>
      <c r="AB566" t="s">
        <v>5863</v>
      </c>
      <c r="AC566" t="s">
        <v>9981</v>
      </c>
      <c r="AD566" s="32"/>
      <c r="AJ566" t="s">
        <v>9963</v>
      </c>
      <c r="AL566" t="s">
        <v>10836</v>
      </c>
    </row>
    <row r="567" spans="1:38">
      <c r="A567" t="s">
        <v>7751</v>
      </c>
      <c r="B567" t="s">
        <v>11965</v>
      </c>
      <c r="C567" t="s">
        <v>7802</v>
      </c>
      <c r="D567" t="s">
        <v>7803</v>
      </c>
      <c r="E567" s="2">
        <v>330</v>
      </c>
      <c r="F567" s="2">
        <v>330</v>
      </c>
      <c r="G567" s="3">
        <v>43332</v>
      </c>
      <c r="H567" s="4">
        <v>0.95089120370369995</v>
      </c>
      <c r="I567" s="3">
        <v>43333</v>
      </c>
      <c r="J567" s="4">
        <v>0</v>
      </c>
      <c r="K567" s="2">
        <v>20</v>
      </c>
      <c r="L567" t="s">
        <v>5856</v>
      </c>
      <c r="M567" t="s">
        <v>7804</v>
      </c>
      <c r="N567" s="3">
        <v>43335</v>
      </c>
      <c r="O567" s="3">
        <v>43334</v>
      </c>
      <c r="P567" t="s">
        <v>7805</v>
      </c>
      <c r="Q567" t="s">
        <v>8001</v>
      </c>
      <c r="R567" t="s">
        <v>6036</v>
      </c>
      <c r="S567" s="3">
        <v>43335</v>
      </c>
      <c r="T567" t="s">
        <v>9938</v>
      </c>
      <c r="U567" t="s">
        <v>7806</v>
      </c>
      <c r="V567" t="s">
        <v>7807</v>
      </c>
      <c r="W567" t="s">
        <v>5857</v>
      </c>
      <c r="X567" s="2">
        <v>280</v>
      </c>
      <c r="Y567" t="s">
        <v>5858</v>
      </c>
      <c r="Z567" t="s">
        <v>6037</v>
      </c>
      <c r="AA567" s="2">
        <v>300</v>
      </c>
      <c r="AB567" t="s">
        <v>5863</v>
      </c>
      <c r="AC567" t="s">
        <v>9981</v>
      </c>
      <c r="AD567" s="32"/>
      <c r="AJ567" t="s">
        <v>9966</v>
      </c>
      <c r="AL567" t="s">
        <v>10837</v>
      </c>
    </row>
    <row r="568" spans="1:38">
      <c r="A568" t="s">
        <v>7751</v>
      </c>
      <c r="B568" t="s">
        <v>11966</v>
      </c>
      <c r="C568" t="s">
        <v>7808</v>
      </c>
      <c r="D568" t="s">
        <v>7809</v>
      </c>
      <c r="E568" s="2">
        <v>500</v>
      </c>
      <c r="F568" s="2">
        <v>500</v>
      </c>
      <c r="G568" s="3">
        <v>43333</v>
      </c>
      <c r="H568" s="4">
        <v>0.92559027777778002</v>
      </c>
      <c r="I568" s="3">
        <v>43334</v>
      </c>
      <c r="J568" s="4">
        <v>0</v>
      </c>
      <c r="K568" s="2">
        <v>0</v>
      </c>
      <c r="L568" t="s">
        <v>5856</v>
      </c>
      <c r="M568" t="s">
        <v>7827</v>
      </c>
      <c r="N568" s="3">
        <v>43336</v>
      </c>
      <c r="O568" s="3">
        <v>43335</v>
      </c>
      <c r="P568" t="s">
        <v>7805</v>
      </c>
      <c r="Q568" t="s">
        <v>8002</v>
      </c>
      <c r="R568" t="s">
        <v>6036</v>
      </c>
      <c r="S568" s="3">
        <v>43336</v>
      </c>
      <c r="T568" t="s">
        <v>9938</v>
      </c>
      <c r="U568" t="s">
        <v>7811</v>
      </c>
      <c r="V568" t="s">
        <v>7812</v>
      </c>
      <c r="W568" t="s">
        <v>5857</v>
      </c>
      <c r="X568" s="2">
        <v>280</v>
      </c>
      <c r="Y568" t="s">
        <v>5858</v>
      </c>
      <c r="Z568" t="s">
        <v>6037</v>
      </c>
      <c r="AA568" s="2">
        <v>500</v>
      </c>
      <c r="AB568" t="s">
        <v>5863</v>
      </c>
      <c r="AC568" t="s">
        <v>9981</v>
      </c>
      <c r="AD568" s="32"/>
      <c r="AJ568" t="s">
        <v>9966</v>
      </c>
      <c r="AL568" t="s">
        <v>10838</v>
      </c>
    </row>
    <row r="569" spans="1:38">
      <c r="A569" t="s">
        <v>7751</v>
      </c>
      <c r="B569" t="s">
        <v>11967</v>
      </c>
      <c r="C569" t="s">
        <v>7991</v>
      </c>
      <c r="D569" t="s">
        <v>7992</v>
      </c>
      <c r="E569" s="2">
        <v>300</v>
      </c>
      <c r="F569" s="2">
        <v>300</v>
      </c>
      <c r="G569" s="3">
        <v>43335</v>
      </c>
      <c r="H569" s="4">
        <v>0.95534722222222002</v>
      </c>
      <c r="I569" s="3">
        <v>43335</v>
      </c>
      <c r="J569" s="4">
        <v>0.99998842592592996</v>
      </c>
      <c r="K569" s="2">
        <v>0</v>
      </c>
      <c r="L569" t="s">
        <v>5856</v>
      </c>
      <c r="M569" t="s">
        <v>7971</v>
      </c>
      <c r="N569" s="3"/>
      <c r="O569" s="3">
        <v>43337</v>
      </c>
      <c r="P569" t="s">
        <v>7755</v>
      </c>
      <c r="Q569" t="s">
        <v>6038</v>
      </c>
      <c r="R569" t="s">
        <v>6040</v>
      </c>
      <c r="S569" s="3">
        <v>43374</v>
      </c>
      <c r="T569" t="s">
        <v>9938</v>
      </c>
      <c r="U569" t="s">
        <v>7993</v>
      </c>
      <c r="V569" t="s">
        <v>7994</v>
      </c>
      <c r="W569" t="s">
        <v>5914</v>
      </c>
      <c r="X569" s="2">
        <v>0</v>
      </c>
      <c r="Y569" t="s">
        <v>5858</v>
      </c>
      <c r="Z569" t="s">
        <v>6037</v>
      </c>
      <c r="AA569" s="2">
        <v>300</v>
      </c>
      <c r="AB569" t="s">
        <v>5861</v>
      </c>
      <c r="AC569" t="s">
        <v>9981</v>
      </c>
      <c r="AD569" s="32"/>
      <c r="AI569" t="s">
        <v>9939</v>
      </c>
      <c r="AJ569" t="s">
        <v>9962</v>
      </c>
      <c r="AL569" t="s">
        <v>13972</v>
      </c>
    </row>
    <row r="570" spans="1:38">
      <c r="A570" t="s">
        <v>7751</v>
      </c>
      <c r="B570" t="s">
        <v>13151</v>
      </c>
      <c r="C570" t="s">
        <v>7793</v>
      </c>
      <c r="D570" t="s">
        <v>7794</v>
      </c>
      <c r="E570" s="2">
        <v>2200</v>
      </c>
      <c r="F570" s="2">
        <v>2200</v>
      </c>
      <c r="G570" s="3">
        <v>43340</v>
      </c>
      <c r="H570" s="4">
        <v>0.67261574074074004</v>
      </c>
      <c r="I570" s="3">
        <v>43341</v>
      </c>
      <c r="J570" s="4">
        <v>0</v>
      </c>
      <c r="K570" s="2">
        <v>20</v>
      </c>
      <c r="L570" t="s">
        <v>5856</v>
      </c>
      <c r="M570" t="s">
        <v>7771</v>
      </c>
      <c r="N570" s="3">
        <v>43343</v>
      </c>
      <c r="O570" s="3">
        <v>43342</v>
      </c>
      <c r="P570" t="s">
        <v>7790</v>
      </c>
      <c r="Q570" t="s">
        <v>13152</v>
      </c>
      <c r="R570" t="s">
        <v>6036</v>
      </c>
      <c r="S570" s="3">
        <v>43343</v>
      </c>
      <c r="T570" t="s">
        <v>9938</v>
      </c>
      <c r="U570" t="s">
        <v>7797</v>
      </c>
      <c r="V570" t="s">
        <v>7787</v>
      </c>
      <c r="W570" t="s">
        <v>5914</v>
      </c>
      <c r="X570" s="2">
        <v>280</v>
      </c>
      <c r="Y570" t="s">
        <v>5858</v>
      </c>
      <c r="Z570" t="s">
        <v>6037</v>
      </c>
      <c r="AA570" s="2">
        <v>2000</v>
      </c>
      <c r="AB570" t="s">
        <v>5863</v>
      </c>
      <c r="AC570" t="s">
        <v>9981</v>
      </c>
      <c r="AD570" s="32"/>
      <c r="AJ570" t="s">
        <v>9962</v>
      </c>
      <c r="AL570" t="s">
        <v>13973</v>
      </c>
    </row>
    <row r="571" spans="1:38">
      <c r="A571" t="s">
        <v>7751</v>
      </c>
      <c r="B571" t="s">
        <v>11968</v>
      </c>
      <c r="C571" t="s">
        <v>8003</v>
      </c>
      <c r="D571" t="s">
        <v>8004</v>
      </c>
      <c r="E571" s="2">
        <v>5000</v>
      </c>
      <c r="F571" s="2">
        <v>5000</v>
      </c>
      <c r="G571" s="3">
        <v>43341</v>
      </c>
      <c r="H571" s="4">
        <v>0.30357638888888999</v>
      </c>
      <c r="I571" s="3">
        <v>43342</v>
      </c>
      <c r="J571" s="4">
        <v>4.7627314814810001E-2</v>
      </c>
      <c r="K571" s="2">
        <v>0</v>
      </c>
      <c r="L571" t="s">
        <v>5856</v>
      </c>
      <c r="M571" t="s">
        <v>7938</v>
      </c>
      <c r="N571" s="3">
        <v>43346</v>
      </c>
      <c r="O571" s="3">
        <v>43344</v>
      </c>
      <c r="P571" t="s">
        <v>5967</v>
      </c>
      <c r="Q571" t="s">
        <v>8005</v>
      </c>
      <c r="R571" t="s">
        <v>6036</v>
      </c>
      <c r="S571" s="3">
        <v>43346</v>
      </c>
      <c r="T571" t="s">
        <v>9938</v>
      </c>
      <c r="U571" t="s">
        <v>8006</v>
      </c>
      <c r="V571" t="s">
        <v>6041</v>
      </c>
      <c r="W571" t="s">
        <v>5914</v>
      </c>
      <c r="X571" s="2">
        <v>280</v>
      </c>
      <c r="Y571" t="s">
        <v>5858</v>
      </c>
      <c r="Z571" t="s">
        <v>6037</v>
      </c>
      <c r="AA571" s="2">
        <v>5000</v>
      </c>
      <c r="AB571" t="s">
        <v>5863</v>
      </c>
      <c r="AC571" t="s">
        <v>9981</v>
      </c>
      <c r="AD571" s="32"/>
      <c r="AJ571" t="s">
        <v>9967</v>
      </c>
      <c r="AL571" t="s">
        <v>10840</v>
      </c>
    </row>
    <row r="572" spans="1:38">
      <c r="A572" t="s">
        <v>7751</v>
      </c>
      <c r="B572" t="s">
        <v>11969</v>
      </c>
      <c r="C572" t="s">
        <v>8003</v>
      </c>
      <c r="D572" t="s">
        <v>8004</v>
      </c>
      <c r="E572" s="2">
        <v>5000</v>
      </c>
      <c r="F572" s="2">
        <v>5000</v>
      </c>
      <c r="G572" s="3">
        <v>43342</v>
      </c>
      <c r="H572" s="4">
        <v>8.6307870370369993E-2</v>
      </c>
      <c r="I572" s="3">
        <v>43342</v>
      </c>
      <c r="J572" s="4">
        <v>0.83035879629630005</v>
      </c>
      <c r="K572" s="2">
        <v>0</v>
      </c>
      <c r="L572" t="s">
        <v>5856</v>
      </c>
      <c r="M572" t="s">
        <v>7938</v>
      </c>
      <c r="N572" s="3">
        <v>43346</v>
      </c>
      <c r="O572" s="3">
        <v>43344</v>
      </c>
      <c r="P572" t="s">
        <v>5967</v>
      </c>
      <c r="Q572" t="s">
        <v>8007</v>
      </c>
      <c r="R572" t="s">
        <v>6036</v>
      </c>
      <c r="S572" s="3">
        <v>43346</v>
      </c>
      <c r="T572" t="s">
        <v>9938</v>
      </c>
      <c r="U572" t="s">
        <v>8006</v>
      </c>
      <c r="V572" t="s">
        <v>6041</v>
      </c>
      <c r="W572" t="s">
        <v>5914</v>
      </c>
      <c r="X572" s="2">
        <v>280</v>
      </c>
      <c r="Y572" t="s">
        <v>5858</v>
      </c>
      <c r="Z572" t="s">
        <v>6037</v>
      </c>
      <c r="AA572" s="2">
        <v>5000</v>
      </c>
      <c r="AB572" t="s">
        <v>5863</v>
      </c>
      <c r="AC572" t="s">
        <v>9981</v>
      </c>
      <c r="AD572" s="32"/>
      <c r="AJ572" t="s">
        <v>9967</v>
      </c>
      <c r="AL572" t="s">
        <v>10841</v>
      </c>
    </row>
    <row r="573" spans="1:38">
      <c r="A573" t="s">
        <v>7751</v>
      </c>
      <c r="B573" t="s">
        <v>11970</v>
      </c>
      <c r="C573" t="s">
        <v>8008</v>
      </c>
      <c r="D573" t="s">
        <v>8009</v>
      </c>
      <c r="E573" s="2">
        <v>22000</v>
      </c>
      <c r="F573" s="2">
        <v>22000</v>
      </c>
      <c r="G573" s="3">
        <v>43342</v>
      </c>
      <c r="H573" s="4">
        <v>0.37797453703703998</v>
      </c>
      <c r="I573" s="3">
        <v>43345</v>
      </c>
      <c r="J573" s="4">
        <v>0.65178240740741</v>
      </c>
      <c r="K573" s="2">
        <v>20</v>
      </c>
      <c r="L573" t="s">
        <v>5856</v>
      </c>
      <c r="M573" t="s">
        <v>7928</v>
      </c>
      <c r="N573" s="3">
        <v>43348</v>
      </c>
      <c r="O573" s="3">
        <v>43347</v>
      </c>
      <c r="P573" t="s">
        <v>8010</v>
      </c>
      <c r="Q573" t="s">
        <v>8011</v>
      </c>
      <c r="R573" t="s">
        <v>6036</v>
      </c>
      <c r="S573" s="3">
        <v>43348</v>
      </c>
      <c r="T573" t="s">
        <v>9938</v>
      </c>
      <c r="U573" t="s">
        <v>5906</v>
      </c>
      <c r="V573" t="s">
        <v>8012</v>
      </c>
      <c r="W573" t="s">
        <v>5857</v>
      </c>
      <c r="X573" s="2">
        <v>280</v>
      </c>
      <c r="Y573" t="s">
        <v>5858</v>
      </c>
      <c r="Z573" t="s">
        <v>6037</v>
      </c>
      <c r="AA573" s="2">
        <v>20000</v>
      </c>
      <c r="AB573" t="s">
        <v>5863</v>
      </c>
      <c r="AC573" t="s">
        <v>9974</v>
      </c>
      <c r="AD573" s="32"/>
      <c r="AI573" t="s">
        <v>9943</v>
      </c>
      <c r="AJ573" t="s">
        <v>9967</v>
      </c>
      <c r="AL573" t="s">
        <v>10842</v>
      </c>
    </row>
    <row r="574" spans="1:38">
      <c r="A574" t="s">
        <v>7751</v>
      </c>
      <c r="B574" t="s">
        <v>11971</v>
      </c>
      <c r="C574" t="s">
        <v>8013</v>
      </c>
      <c r="D574" t="s">
        <v>8014</v>
      </c>
      <c r="E574" s="2">
        <v>2200</v>
      </c>
      <c r="F574" s="2">
        <v>2200</v>
      </c>
      <c r="G574" s="3">
        <v>43345</v>
      </c>
      <c r="H574" s="4">
        <v>0.67261574074074004</v>
      </c>
      <c r="I574" s="3">
        <v>43346</v>
      </c>
      <c r="J574" s="4">
        <v>0</v>
      </c>
      <c r="K574" s="2">
        <v>0</v>
      </c>
      <c r="L574" t="s">
        <v>5856</v>
      </c>
      <c r="M574" t="s">
        <v>7771</v>
      </c>
      <c r="N574" s="3">
        <v>43348</v>
      </c>
      <c r="O574" s="3">
        <v>43347</v>
      </c>
      <c r="P574" t="s">
        <v>5864</v>
      </c>
      <c r="Q574" t="s">
        <v>8015</v>
      </c>
      <c r="R574" t="s">
        <v>6036</v>
      </c>
      <c r="S574" s="3">
        <v>43348</v>
      </c>
      <c r="T574" t="s">
        <v>9938</v>
      </c>
      <c r="U574" t="s">
        <v>8016</v>
      </c>
      <c r="V574" t="s">
        <v>8017</v>
      </c>
      <c r="W574" t="s">
        <v>5857</v>
      </c>
      <c r="X574" s="2">
        <v>280</v>
      </c>
      <c r="Y574" t="s">
        <v>5858</v>
      </c>
      <c r="Z574" t="s">
        <v>6037</v>
      </c>
      <c r="AA574" s="2">
        <v>2000</v>
      </c>
      <c r="AB574" t="s">
        <v>5863</v>
      </c>
      <c r="AD574" s="32"/>
      <c r="AJ574" t="s">
        <v>9967</v>
      </c>
      <c r="AL574" t="s">
        <v>10843</v>
      </c>
    </row>
    <row r="575" spans="1:38">
      <c r="A575" t="s">
        <v>7751</v>
      </c>
      <c r="B575" t="s">
        <v>11972</v>
      </c>
      <c r="C575" t="s">
        <v>7864</v>
      </c>
      <c r="D575" t="s">
        <v>7865</v>
      </c>
      <c r="E575" s="2">
        <v>2640</v>
      </c>
      <c r="F575" s="2">
        <v>2640</v>
      </c>
      <c r="G575" s="3">
        <v>43350</v>
      </c>
      <c r="H575" s="4">
        <v>0.21428240740741</v>
      </c>
      <c r="I575" s="3">
        <v>43350</v>
      </c>
      <c r="J575" s="4">
        <v>0.60714120370369995</v>
      </c>
      <c r="K575" s="2">
        <v>0</v>
      </c>
      <c r="L575" t="s">
        <v>5856</v>
      </c>
      <c r="M575" t="s">
        <v>8018</v>
      </c>
      <c r="N575" s="3">
        <v>43352</v>
      </c>
      <c r="O575" s="3">
        <v>43352</v>
      </c>
      <c r="P575" t="s">
        <v>6016</v>
      </c>
      <c r="Q575" t="s">
        <v>6038</v>
      </c>
      <c r="R575" t="s">
        <v>6040</v>
      </c>
      <c r="S575" s="3">
        <v>43344</v>
      </c>
      <c r="T575" t="s">
        <v>9938</v>
      </c>
      <c r="U575" t="s">
        <v>7867</v>
      </c>
      <c r="V575" t="s">
        <v>7868</v>
      </c>
      <c r="W575" t="s">
        <v>5914</v>
      </c>
      <c r="X575" s="2">
        <v>0</v>
      </c>
      <c r="Y575" t="s">
        <v>5858</v>
      </c>
      <c r="Z575" t="s">
        <v>6037</v>
      </c>
      <c r="AA575" s="2">
        <v>2400</v>
      </c>
      <c r="AB575" t="s">
        <v>5861</v>
      </c>
      <c r="AC575" t="s">
        <v>9981</v>
      </c>
      <c r="AD575" s="32"/>
      <c r="AJ575" t="s">
        <v>9962</v>
      </c>
      <c r="AL575" t="s">
        <v>10844</v>
      </c>
    </row>
    <row r="576" spans="1:38">
      <c r="A576" t="s">
        <v>7751</v>
      </c>
      <c r="B576" t="s">
        <v>11973</v>
      </c>
      <c r="C576" t="s">
        <v>7844</v>
      </c>
      <c r="D576" t="s">
        <v>7845</v>
      </c>
      <c r="E576" s="2">
        <v>2500</v>
      </c>
      <c r="F576" s="2">
        <v>2500</v>
      </c>
      <c r="G576" s="3">
        <v>43350</v>
      </c>
      <c r="H576" s="4">
        <v>0.62797453703703998</v>
      </c>
      <c r="I576" s="3">
        <v>43351</v>
      </c>
      <c r="J576" s="4">
        <v>0</v>
      </c>
      <c r="K576" s="2">
        <v>0</v>
      </c>
      <c r="L576" t="s">
        <v>5856</v>
      </c>
      <c r="M576" t="s">
        <v>7989</v>
      </c>
      <c r="N576" s="3">
        <v>43353</v>
      </c>
      <c r="O576" s="3">
        <v>43352</v>
      </c>
      <c r="P576" t="s">
        <v>7846</v>
      </c>
      <c r="Q576" t="s">
        <v>8019</v>
      </c>
      <c r="R576" t="s">
        <v>6036</v>
      </c>
      <c r="S576" s="3">
        <v>43353</v>
      </c>
      <c r="T576" t="s">
        <v>9938</v>
      </c>
      <c r="U576" t="s">
        <v>7847</v>
      </c>
      <c r="V576" t="s">
        <v>7848</v>
      </c>
      <c r="W576" t="s">
        <v>5857</v>
      </c>
      <c r="X576" s="2">
        <v>280</v>
      </c>
      <c r="Y576" t="s">
        <v>5858</v>
      </c>
      <c r="Z576" t="s">
        <v>6037</v>
      </c>
      <c r="AA576" s="2">
        <v>2500</v>
      </c>
      <c r="AB576" t="s">
        <v>5863</v>
      </c>
      <c r="AC576" t="s">
        <v>9981</v>
      </c>
      <c r="AD576" s="32"/>
      <c r="AJ576" t="s">
        <v>9965</v>
      </c>
      <c r="AL576" t="s">
        <v>10845</v>
      </c>
    </row>
    <row r="577" spans="1:38">
      <c r="A577" t="s">
        <v>7751</v>
      </c>
      <c r="B577" t="s">
        <v>11974</v>
      </c>
      <c r="C577" t="s">
        <v>8020</v>
      </c>
      <c r="D577" t="s">
        <v>8021</v>
      </c>
      <c r="E577" s="2">
        <v>1000</v>
      </c>
      <c r="F577" s="2">
        <v>1000</v>
      </c>
      <c r="G577" s="3">
        <v>43355</v>
      </c>
      <c r="H577" s="4">
        <v>0.68155092592593003</v>
      </c>
      <c r="I577" s="3">
        <v>43355</v>
      </c>
      <c r="J577" s="4">
        <v>0.83035879629630005</v>
      </c>
      <c r="K577" s="2">
        <v>20</v>
      </c>
      <c r="L577" t="s">
        <v>5856</v>
      </c>
      <c r="M577" t="s">
        <v>5939</v>
      </c>
      <c r="N577" s="3">
        <v>43358</v>
      </c>
      <c r="O577" s="3">
        <v>43357</v>
      </c>
      <c r="P577" t="s">
        <v>5862</v>
      </c>
      <c r="Q577" t="s">
        <v>8022</v>
      </c>
      <c r="R577" t="s">
        <v>6036</v>
      </c>
      <c r="S577" s="3">
        <v>43357</v>
      </c>
      <c r="T577" t="s">
        <v>9938</v>
      </c>
      <c r="U577" t="s">
        <v>8023</v>
      </c>
      <c r="V577" t="s">
        <v>8024</v>
      </c>
      <c r="W577" t="s">
        <v>5914</v>
      </c>
      <c r="X577" s="2">
        <v>280</v>
      </c>
      <c r="Y577" t="s">
        <v>5858</v>
      </c>
      <c r="Z577" t="s">
        <v>6037</v>
      </c>
      <c r="AA577" s="2">
        <v>1000</v>
      </c>
      <c r="AB577" t="s">
        <v>5863</v>
      </c>
      <c r="AC577" t="s">
        <v>9981</v>
      </c>
      <c r="AD577" s="32"/>
      <c r="AJ577" t="s">
        <v>9962</v>
      </c>
      <c r="AL577" t="s">
        <v>10846</v>
      </c>
    </row>
    <row r="578" spans="1:38">
      <c r="A578" t="s">
        <v>7751</v>
      </c>
      <c r="B578" t="s">
        <v>11975</v>
      </c>
      <c r="C578" t="s">
        <v>7991</v>
      </c>
      <c r="D578" t="s">
        <v>7992</v>
      </c>
      <c r="E578" s="2">
        <v>300</v>
      </c>
      <c r="F578" s="2">
        <v>300</v>
      </c>
      <c r="G578" s="3">
        <v>43359</v>
      </c>
      <c r="H578" s="4">
        <v>0.95534722222222002</v>
      </c>
      <c r="I578" s="3">
        <v>43359</v>
      </c>
      <c r="J578" s="4">
        <v>0.99998842592592996</v>
      </c>
      <c r="K578" s="2">
        <v>0</v>
      </c>
      <c r="L578" t="s">
        <v>5856</v>
      </c>
      <c r="M578" t="s">
        <v>7971</v>
      </c>
      <c r="N578" s="3"/>
      <c r="O578" s="3">
        <v>43361</v>
      </c>
      <c r="P578" t="s">
        <v>7755</v>
      </c>
      <c r="Q578" t="s">
        <v>13153</v>
      </c>
      <c r="R578" t="s">
        <v>6036</v>
      </c>
      <c r="S578" s="3">
        <v>43421</v>
      </c>
      <c r="T578" t="s">
        <v>9938</v>
      </c>
      <c r="U578" t="s">
        <v>7993</v>
      </c>
      <c r="V578" t="s">
        <v>7994</v>
      </c>
      <c r="W578" t="s">
        <v>5914</v>
      </c>
      <c r="X578" s="2">
        <v>0</v>
      </c>
      <c r="Y578" t="s">
        <v>5858</v>
      </c>
      <c r="Z578" t="s">
        <v>6037</v>
      </c>
      <c r="AA578" s="2">
        <v>300</v>
      </c>
      <c r="AB578" t="s">
        <v>5861</v>
      </c>
      <c r="AC578" t="s">
        <v>9981</v>
      </c>
      <c r="AD578" s="32"/>
      <c r="AI578" t="s">
        <v>9939</v>
      </c>
      <c r="AJ578" t="s">
        <v>9962</v>
      </c>
      <c r="AL578" t="s">
        <v>13974</v>
      </c>
    </row>
    <row r="579" spans="1:38">
      <c r="A579" t="s">
        <v>7751</v>
      </c>
      <c r="B579" t="s">
        <v>11976</v>
      </c>
      <c r="C579" t="s">
        <v>7889</v>
      </c>
      <c r="D579" t="s">
        <v>7890</v>
      </c>
      <c r="E579" s="2">
        <v>4500</v>
      </c>
      <c r="F579" s="2">
        <v>4500</v>
      </c>
      <c r="G579" s="3">
        <v>43360</v>
      </c>
      <c r="H579" s="4">
        <v>0.88393518518518999</v>
      </c>
      <c r="I579" s="3">
        <v>43361</v>
      </c>
      <c r="J579" s="4">
        <v>0.55357638888889005</v>
      </c>
      <c r="K579" s="2">
        <v>0</v>
      </c>
      <c r="L579" t="s">
        <v>5856</v>
      </c>
      <c r="M579" t="s">
        <v>8026</v>
      </c>
      <c r="N579" s="3">
        <v>43363</v>
      </c>
      <c r="O579" s="3">
        <v>43363</v>
      </c>
      <c r="P579" t="s">
        <v>7891</v>
      </c>
      <c r="Q579" t="s">
        <v>8027</v>
      </c>
      <c r="R579" t="s">
        <v>6036</v>
      </c>
      <c r="S579" s="3">
        <v>43363</v>
      </c>
      <c r="T579" t="s">
        <v>9938</v>
      </c>
      <c r="U579" t="s">
        <v>7893</v>
      </c>
      <c r="V579" t="s">
        <v>5899</v>
      </c>
      <c r="W579" t="s">
        <v>7883</v>
      </c>
      <c r="X579" s="2">
        <v>280</v>
      </c>
      <c r="Y579" t="s">
        <v>5858</v>
      </c>
      <c r="Z579" t="s">
        <v>6037</v>
      </c>
      <c r="AA579" s="2">
        <v>4500</v>
      </c>
      <c r="AB579" t="s">
        <v>5863</v>
      </c>
      <c r="AC579" t="s">
        <v>9981</v>
      </c>
      <c r="AD579" s="32"/>
      <c r="AJ579" t="s">
        <v>9965</v>
      </c>
      <c r="AL579" t="s">
        <v>10848</v>
      </c>
    </row>
    <row r="580" spans="1:38">
      <c r="A580" t="s">
        <v>7751</v>
      </c>
      <c r="B580" t="s">
        <v>11977</v>
      </c>
      <c r="C580" t="s">
        <v>7889</v>
      </c>
      <c r="D580" t="s">
        <v>7890</v>
      </c>
      <c r="E580" s="2">
        <v>2000</v>
      </c>
      <c r="F580" s="2">
        <v>2000</v>
      </c>
      <c r="G580" s="3">
        <v>43361</v>
      </c>
      <c r="H580" s="4">
        <v>0.33621527777777999</v>
      </c>
      <c r="I580" s="3">
        <v>43361</v>
      </c>
      <c r="J580" s="4">
        <v>0.63383101851851997</v>
      </c>
      <c r="K580" s="2">
        <v>0</v>
      </c>
      <c r="L580" t="s">
        <v>5856</v>
      </c>
      <c r="M580" t="s">
        <v>5926</v>
      </c>
      <c r="N580" s="3">
        <v>43363</v>
      </c>
      <c r="O580" s="3">
        <v>43363</v>
      </c>
      <c r="P580" t="s">
        <v>7891</v>
      </c>
      <c r="Q580" t="s">
        <v>8028</v>
      </c>
      <c r="R580" t="s">
        <v>6036</v>
      </c>
      <c r="S580" s="3">
        <v>43363</v>
      </c>
      <c r="T580" t="s">
        <v>9938</v>
      </c>
      <c r="U580" t="s">
        <v>7893</v>
      </c>
      <c r="V580" t="s">
        <v>5899</v>
      </c>
      <c r="W580" t="s">
        <v>7883</v>
      </c>
      <c r="X580" s="2">
        <v>280</v>
      </c>
      <c r="Y580" t="s">
        <v>5858</v>
      </c>
      <c r="Z580" t="s">
        <v>6037</v>
      </c>
      <c r="AA580" s="2">
        <v>2000</v>
      </c>
      <c r="AB580" t="s">
        <v>5863</v>
      </c>
      <c r="AC580" t="s">
        <v>9981</v>
      </c>
      <c r="AD580" s="32"/>
      <c r="AJ580" t="s">
        <v>9965</v>
      </c>
      <c r="AL580" t="s">
        <v>10849</v>
      </c>
    </row>
    <row r="581" spans="1:38">
      <c r="A581" t="s">
        <v>7751</v>
      </c>
      <c r="B581" t="s">
        <v>11978</v>
      </c>
      <c r="C581" t="s">
        <v>8029</v>
      </c>
      <c r="D581" t="s">
        <v>8030</v>
      </c>
      <c r="E581" s="2">
        <v>330</v>
      </c>
      <c r="F581" s="2">
        <v>330</v>
      </c>
      <c r="G581" s="3">
        <v>43361</v>
      </c>
      <c r="H581" s="4">
        <v>0.47519675925926003</v>
      </c>
      <c r="I581" s="3">
        <v>43361</v>
      </c>
      <c r="J581" s="4">
        <v>0.52430555555556002</v>
      </c>
      <c r="K581" s="2">
        <v>0</v>
      </c>
      <c r="L581" t="s">
        <v>5856</v>
      </c>
      <c r="M581" t="s">
        <v>7804</v>
      </c>
      <c r="N581" s="3">
        <v>43273</v>
      </c>
      <c r="O581" s="3">
        <v>43363</v>
      </c>
      <c r="P581" t="s">
        <v>7790</v>
      </c>
      <c r="Q581" t="s">
        <v>8031</v>
      </c>
      <c r="R581" t="s">
        <v>6036</v>
      </c>
      <c r="S581" s="3">
        <v>43363</v>
      </c>
      <c r="T581" t="s">
        <v>9938</v>
      </c>
      <c r="U581" t="s">
        <v>8032</v>
      </c>
      <c r="V581" t="s">
        <v>7787</v>
      </c>
      <c r="W581" t="s">
        <v>7883</v>
      </c>
      <c r="X581" s="2">
        <v>280</v>
      </c>
      <c r="Y581" t="s">
        <v>5858</v>
      </c>
      <c r="Z581" t="s">
        <v>6037</v>
      </c>
      <c r="AA581" s="2">
        <v>330</v>
      </c>
      <c r="AB581" t="s">
        <v>5859</v>
      </c>
      <c r="AD581" s="32"/>
      <c r="AJ581" t="s">
        <v>9965</v>
      </c>
      <c r="AL581" t="s">
        <v>10850</v>
      </c>
    </row>
    <row r="582" spans="1:38">
      <c r="A582" t="s">
        <v>7751</v>
      </c>
      <c r="B582" t="s">
        <v>11979</v>
      </c>
      <c r="C582" t="s">
        <v>7889</v>
      </c>
      <c r="D582" t="s">
        <v>7890</v>
      </c>
      <c r="E582" s="2">
        <v>2000</v>
      </c>
      <c r="F582" s="2">
        <v>2000</v>
      </c>
      <c r="G582" s="3">
        <v>43361</v>
      </c>
      <c r="H582" s="4">
        <v>0.70238425925925996</v>
      </c>
      <c r="I582" s="3">
        <v>43362</v>
      </c>
      <c r="J582" s="4">
        <v>0</v>
      </c>
      <c r="K582" s="2">
        <v>0</v>
      </c>
      <c r="L582" t="s">
        <v>5856</v>
      </c>
      <c r="M582" t="s">
        <v>5926</v>
      </c>
      <c r="N582" s="3">
        <v>43364</v>
      </c>
      <c r="O582" s="3">
        <v>43363</v>
      </c>
      <c r="P582" t="s">
        <v>7891</v>
      </c>
      <c r="Q582" t="s">
        <v>8033</v>
      </c>
      <c r="R582" t="s">
        <v>6036</v>
      </c>
      <c r="S582" s="3">
        <v>43364</v>
      </c>
      <c r="T582" t="s">
        <v>9938</v>
      </c>
      <c r="U582" t="s">
        <v>7893</v>
      </c>
      <c r="V582" t="s">
        <v>5899</v>
      </c>
      <c r="W582" t="s">
        <v>7883</v>
      </c>
      <c r="X582" s="2">
        <v>280</v>
      </c>
      <c r="Y582" t="s">
        <v>5858</v>
      </c>
      <c r="Z582" t="s">
        <v>6037</v>
      </c>
      <c r="AA582" s="2">
        <v>2000</v>
      </c>
      <c r="AB582" t="s">
        <v>5863</v>
      </c>
      <c r="AC582" t="s">
        <v>9981</v>
      </c>
      <c r="AD582" s="32"/>
      <c r="AJ582" t="s">
        <v>9965</v>
      </c>
      <c r="AL582" t="s">
        <v>10851</v>
      </c>
    </row>
    <row r="583" spans="1:38">
      <c r="A583" t="s">
        <v>7751</v>
      </c>
      <c r="B583" t="s">
        <v>11925</v>
      </c>
      <c r="C583" t="s">
        <v>7889</v>
      </c>
      <c r="D583" t="s">
        <v>7890</v>
      </c>
      <c r="E583" s="2">
        <v>1000</v>
      </c>
      <c r="F583" s="2">
        <v>1000</v>
      </c>
      <c r="G583" s="3">
        <v>43361</v>
      </c>
      <c r="H583" s="4">
        <v>0.81248842592592996</v>
      </c>
      <c r="I583" s="3">
        <v>43361</v>
      </c>
      <c r="J583" s="4">
        <v>0.96129629629629998</v>
      </c>
      <c r="K583" s="2">
        <v>0</v>
      </c>
      <c r="L583" t="s">
        <v>5856</v>
      </c>
      <c r="M583" t="s">
        <v>5939</v>
      </c>
      <c r="N583" s="3">
        <v>43300</v>
      </c>
      <c r="O583" s="3">
        <v>43363</v>
      </c>
      <c r="P583" t="s">
        <v>7891</v>
      </c>
      <c r="Q583" t="s">
        <v>7892</v>
      </c>
      <c r="R583" t="s">
        <v>6036</v>
      </c>
      <c r="S583" s="3">
        <v>43363</v>
      </c>
      <c r="T583" t="s">
        <v>9938</v>
      </c>
      <c r="U583" t="s">
        <v>7893</v>
      </c>
      <c r="V583" t="s">
        <v>5899</v>
      </c>
      <c r="W583" t="s">
        <v>7883</v>
      </c>
      <c r="X583" s="2">
        <v>280</v>
      </c>
      <c r="Y583" t="s">
        <v>5858</v>
      </c>
      <c r="Z583" t="s">
        <v>6037</v>
      </c>
      <c r="AA583" s="2">
        <v>1000</v>
      </c>
      <c r="AB583" t="s">
        <v>5863</v>
      </c>
      <c r="AC583" t="s">
        <v>9981</v>
      </c>
      <c r="AD583" s="32"/>
      <c r="AJ583" t="s">
        <v>9965</v>
      </c>
      <c r="AL583" t="s">
        <v>10800</v>
      </c>
    </row>
    <row r="584" spans="1:38">
      <c r="A584" t="s">
        <v>7751</v>
      </c>
      <c r="B584" t="s">
        <v>11980</v>
      </c>
      <c r="C584" t="s">
        <v>7889</v>
      </c>
      <c r="D584" t="s">
        <v>7890</v>
      </c>
      <c r="E584" s="2">
        <v>1000</v>
      </c>
      <c r="F584" s="2">
        <v>1000</v>
      </c>
      <c r="G584" s="3">
        <v>43367</v>
      </c>
      <c r="H584" s="4">
        <v>0.85119212962962998</v>
      </c>
      <c r="I584" s="3">
        <v>43368</v>
      </c>
      <c r="J584" s="4">
        <v>0</v>
      </c>
      <c r="K584" s="2">
        <v>0</v>
      </c>
      <c r="L584" t="s">
        <v>5856</v>
      </c>
      <c r="M584" t="s">
        <v>5939</v>
      </c>
      <c r="N584" s="3">
        <v>43370</v>
      </c>
      <c r="O584" s="3">
        <v>43369</v>
      </c>
      <c r="P584" t="s">
        <v>7891</v>
      </c>
      <c r="Q584" t="s">
        <v>8034</v>
      </c>
      <c r="R584" t="s">
        <v>6036</v>
      </c>
      <c r="S584" s="3">
        <v>43370</v>
      </c>
      <c r="T584" t="s">
        <v>9938</v>
      </c>
      <c r="U584" t="s">
        <v>7893</v>
      </c>
      <c r="V584" t="s">
        <v>5899</v>
      </c>
      <c r="W584" t="s">
        <v>7883</v>
      </c>
      <c r="X584" s="2">
        <v>280</v>
      </c>
      <c r="Y584" t="s">
        <v>5858</v>
      </c>
      <c r="Z584" t="s">
        <v>6037</v>
      </c>
      <c r="AA584" s="2">
        <v>1000</v>
      </c>
      <c r="AB584" t="s">
        <v>5863</v>
      </c>
      <c r="AC584" t="s">
        <v>9981</v>
      </c>
      <c r="AD584" s="32"/>
      <c r="AJ584" t="s">
        <v>9965</v>
      </c>
      <c r="AL584" t="s">
        <v>10852</v>
      </c>
    </row>
    <row r="585" spans="1:38">
      <c r="A585" t="s">
        <v>8035</v>
      </c>
      <c r="B585" t="s">
        <v>11981</v>
      </c>
      <c r="C585" t="s">
        <v>8036</v>
      </c>
      <c r="D585" t="s">
        <v>8037</v>
      </c>
      <c r="E585" s="2">
        <v>15000</v>
      </c>
      <c r="F585" s="2">
        <v>15000</v>
      </c>
      <c r="G585" s="3">
        <v>43278</v>
      </c>
      <c r="H585" s="4">
        <v>0.10685185185185</v>
      </c>
      <c r="I585" s="3">
        <v>43280</v>
      </c>
      <c r="J585" s="4">
        <v>2.9930555555559998E-2</v>
      </c>
      <c r="K585" s="2">
        <v>0</v>
      </c>
      <c r="L585" t="s">
        <v>5856</v>
      </c>
      <c r="M585" t="s">
        <v>8038</v>
      </c>
      <c r="N585" s="3">
        <v>43368</v>
      </c>
      <c r="O585" s="3">
        <v>43282</v>
      </c>
      <c r="P585" t="s">
        <v>7980</v>
      </c>
      <c r="Q585" t="s">
        <v>8039</v>
      </c>
      <c r="R585" t="s">
        <v>6036</v>
      </c>
      <c r="S585" s="3">
        <v>43368</v>
      </c>
      <c r="T585" t="s">
        <v>9938</v>
      </c>
      <c r="U585" t="s">
        <v>8040</v>
      </c>
      <c r="V585" t="s">
        <v>5899</v>
      </c>
      <c r="W585" t="s">
        <v>8041</v>
      </c>
      <c r="X585" s="2">
        <v>325</v>
      </c>
      <c r="Y585" t="s">
        <v>5858</v>
      </c>
      <c r="Z585" t="s">
        <v>6037</v>
      </c>
      <c r="AA585" s="2">
        <v>15000</v>
      </c>
      <c r="AB585" t="s">
        <v>5859</v>
      </c>
      <c r="AC585" t="s">
        <v>9981</v>
      </c>
      <c r="AD585" s="32">
        <v>43173</v>
      </c>
      <c r="AJ585" t="s">
        <v>9968</v>
      </c>
      <c r="AL585" t="s">
        <v>10853</v>
      </c>
    </row>
    <row r="586" spans="1:38">
      <c r="A586" t="s">
        <v>8035</v>
      </c>
      <c r="B586" t="s">
        <v>11982</v>
      </c>
      <c r="C586" t="s">
        <v>8036</v>
      </c>
      <c r="D586" t="s">
        <v>8037</v>
      </c>
      <c r="E586" s="2">
        <v>14700</v>
      </c>
      <c r="F586" s="2">
        <v>14700</v>
      </c>
      <c r="G586" s="3">
        <v>43280</v>
      </c>
      <c r="H586" s="4">
        <v>0.15386574074074</v>
      </c>
      <c r="I586" s="3">
        <v>43282</v>
      </c>
      <c r="J586" s="4">
        <v>3.8483796296299999E-2</v>
      </c>
      <c r="K586" s="2">
        <v>0</v>
      </c>
      <c r="L586" t="s">
        <v>5856</v>
      </c>
      <c r="M586" t="s">
        <v>8042</v>
      </c>
      <c r="N586" s="3">
        <v>43336</v>
      </c>
      <c r="O586" s="3">
        <v>43284</v>
      </c>
      <c r="P586" t="s">
        <v>7980</v>
      </c>
      <c r="Q586" t="s">
        <v>8043</v>
      </c>
      <c r="R586" t="s">
        <v>6036</v>
      </c>
      <c r="S586" s="3">
        <v>43336</v>
      </c>
      <c r="T586" t="s">
        <v>9938</v>
      </c>
      <c r="U586" t="s">
        <v>8040</v>
      </c>
      <c r="V586" t="s">
        <v>5899</v>
      </c>
      <c r="W586" t="s">
        <v>8041</v>
      </c>
      <c r="X586" s="2">
        <v>325</v>
      </c>
      <c r="Y586" t="s">
        <v>5858</v>
      </c>
      <c r="Z586" t="s">
        <v>6037</v>
      </c>
      <c r="AA586" s="2">
        <v>14700</v>
      </c>
      <c r="AB586" t="s">
        <v>5859</v>
      </c>
      <c r="AC586" t="s">
        <v>9981</v>
      </c>
      <c r="AD586" s="32">
        <v>43173</v>
      </c>
      <c r="AJ586" t="s">
        <v>9968</v>
      </c>
      <c r="AL586" t="s">
        <v>10854</v>
      </c>
    </row>
    <row r="587" spans="1:38">
      <c r="A587" t="s">
        <v>8035</v>
      </c>
      <c r="B587" t="s">
        <v>11983</v>
      </c>
      <c r="C587" t="s">
        <v>8047</v>
      </c>
      <c r="D587" t="s">
        <v>8048</v>
      </c>
      <c r="E587" s="2">
        <v>525</v>
      </c>
      <c r="F587" s="2">
        <v>525</v>
      </c>
      <c r="G587" s="3">
        <v>43282</v>
      </c>
      <c r="H587" s="4">
        <v>0.66385416666666996</v>
      </c>
      <c r="I587" s="3">
        <v>43282</v>
      </c>
      <c r="J587" s="4">
        <v>0.73115740740740998</v>
      </c>
      <c r="K587" s="2">
        <v>0</v>
      </c>
      <c r="L587" t="s">
        <v>5856</v>
      </c>
      <c r="M587" t="s">
        <v>8049</v>
      </c>
      <c r="N587" s="3">
        <v>43293</v>
      </c>
      <c r="O587" s="3">
        <v>43284</v>
      </c>
      <c r="P587" t="s">
        <v>5967</v>
      </c>
      <c r="Q587" t="s">
        <v>8050</v>
      </c>
      <c r="R587" t="s">
        <v>6036</v>
      </c>
      <c r="S587" s="3">
        <v>43285</v>
      </c>
      <c r="T587" t="s">
        <v>9938</v>
      </c>
      <c r="U587" t="s">
        <v>8051</v>
      </c>
      <c r="V587" t="s">
        <v>7779</v>
      </c>
      <c r="W587" t="s">
        <v>5857</v>
      </c>
      <c r="X587" s="2">
        <v>325</v>
      </c>
      <c r="Y587" t="s">
        <v>5858</v>
      </c>
      <c r="Z587" t="s">
        <v>6037</v>
      </c>
      <c r="AA587" s="2">
        <v>500</v>
      </c>
      <c r="AB587" t="s">
        <v>5863</v>
      </c>
      <c r="AC587" t="s">
        <v>9981</v>
      </c>
      <c r="AD587" s="32">
        <v>43277</v>
      </c>
      <c r="AJ587" t="s">
        <v>9966</v>
      </c>
      <c r="AL587" t="s">
        <v>10855</v>
      </c>
    </row>
    <row r="588" spans="1:38">
      <c r="A588" t="s">
        <v>8035</v>
      </c>
      <c r="B588" t="s">
        <v>13154</v>
      </c>
      <c r="C588" t="s">
        <v>8044</v>
      </c>
      <c r="D588" t="s">
        <v>8045</v>
      </c>
      <c r="E588" s="2">
        <v>265</v>
      </c>
      <c r="F588" s="2">
        <v>10500</v>
      </c>
      <c r="G588" s="3">
        <v>43286</v>
      </c>
      <c r="H588" s="4">
        <v>2.777777777778E-2</v>
      </c>
      <c r="I588" s="3">
        <v>43287</v>
      </c>
      <c r="J588" s="4">
        <v>0.37392361111111</v>
      </c>
      <c r="K588" s="2">
        <v>0</v>
      </c>
      <c r="L588" t="s">
        <v>5856</v>
      </c>
      <c r="M588" t="s">
        <v>13155</v>
      </c>
      <c r="N588" s="3"/>
      <c r="O588" s="3">
        <v>43289</v>
      </c>
      <c r="P588" t="s">
        <v>5967</v>
      </c>
      <c r="Q588" t="s">
        <v>6038</v>
      </c>
      <c r="R588" t="s">
        <v>6039</v>
      </c>
      <c r="S588" s="3"/>
      <c r="T588" t="s">
        <v>9938</v>
      </c>
      <c r="U588" t="s">
        <v>8046</v>
      </c>
      <c r="V588" t="s">
        <v>7779</v>
      </c>
      <c r="W588" t="s">
        <v>8041</v>
      </c>
      <c r="X588" s="2">
        <v>325</v>
      </c>
      <c r="Y588" t="s">
        <v>5858</v>
      </c>
      <c r="Z588" t="s">
        <v>6037</v>
      </c>
      <c r="AA588" s="2">
        <v>0</v>
      </c>
      <c r="AB588" t="s">
        <v>5859</v>
      </c>
      <c r="AC588" t="s">
        <v>9983</v>
      </c>
      <c r="AD588" s="32">
        <v>43279</v>
      </c>
      <c r="AJ588" t="s">
        <v>9969</v>
      </c>
      <c r="AL588" t="s">
        <v>13975</v>
      </c>
    </row>
    <row r="589" spans="1:38">
      <c r="A589" t="s">
        <v>8035</v>
      </c>
      <c r="B589" t="s">
        <v>13156</v>
      </c>
      <c r="C589" t="s">
        <v>8044</v>
      </c>
      <c r="D589" t="s">
        <v>8045</v>
      </c>
      <c r="E589" s="2">
        <v>3500</v>
      </c>
      <c r="F589" s="2">
        <v>10500</v>
      </c>
      <c r="G589" s="3">
        <v>43295</v>
      </c>
      <c r="H589" s="4">
        <v>2.7766203703700001E-2</v>
      </c>
      <c r="I589" s="3">
        <v>43296</v>
      </c>
      <c r="J589" s="4">
        <v>0.37391203703704001</v>
      </c>
      <c r="K589" s="2">
        <v>0</v>
      </c>
      <c r="L589" t="s">
        <v>5856</v>
      </c>
      <c r="M589" t="s">
        <v>13155</v>
      </c>
      <c r="N589" s="3"/>
      <c r="O589" s="3">
        <v>43298</v>
      </c>
      <c r="P589" t="s">
        <v>5967</v>
      </c>
      <c r="Q589" t="s">
        <v>6038</v>
      </c>
      <c r="R589" t="s">
        <v>6039</v>
      </c>
      <c r="S589" s="3"/>
      <c r="T589" t="s">
        <v>9938</v>
      </c>
      <c r="U589" t="s">
        <v>8046</v>
      </c>
      <c r="V589" t="s">
        <v>7779</v>
      </c>
      <c r="W589" t="s">
        <v>8041</v>
      </c>
      <c r="X589" s="2">
        <v>325</v>
      </c>
      <c r="Y589" t="s">
        <v>5858</v>
      </c>
      <c r="Z589" t="s">
        <v>6037</v>
      </c>
      <c r="AA589" s="2">
        <v>3000</v>
      </c>
      <c r="AB589" t="s">
        <v>5859</v>
      </c>
      <c r="AC589" t="s">
        <v>9983</v>
      </c>
      <c r="AD589" s="32">
        <v>43279</v>
      </c>
      <c r="AJ589" t="s">
        <v>9969</v>
      </c>
      <c r="AL589" t="s">
        <v>13976</v>
      </c>
    </row>
    <row r="590" spans="1:38">
      <c r="A590" t="s">
        <v>8035</v>
      </c>
      <c r="B590" t="s">
        <v>11984</v>
      </c>
      <c r="C590" t="s">
        <v>8053</v>
      </c>
      <c r="D590" t="s">
        <v>8054</v>
      </c>
      <c r="E590" s="2">
        <v>7350</v>
      </c>
      <c r="F590" s="2">
        <v>7350</v>
      </c>
      <c r="G590" s="3">
        <v>43296</v>
      </c>
      <c r="H590" s="4">
        <v>0.51280092592592996</v>
      </c>
      <c r="I590" s="3">
        <v>43297</v>
      </c>
      <c r="J590" s="4">
        <v>0.45510416666666997</v>
      </c>
      <c r="K590" s="2">
        <v>0</v>
      </c>
      <c r="L590" t="s">
        <v>5856</v>
      </c>
      <c r="M590" t="s">
        <v>8055</v>
      </c>
      <c r="N590" s="3">
        <v>43299</v>
      </c>
      <c r="O590" s="3">
        <v>43299</v>
      </c>
      <c r="P590" t="s">
        <v>7980</v>
      </c>
      <c r="Q590" t="s">
        <v>8056</v>
      </c>
      <c r="R590" t="s">
        <v>6036</v>
      </c>
      <c r="S590" s="3">
        <v>43299</v>
      </c>
      <c r="T590" t="s">
        <v>9938</v>
      </c>
      <c r="U590" t="s">
        <v>8057</v>
      </c>
      <c r="V590" t="s">
        <v>5899</v>
      </c>
      <c r="W590" t="s">
        <v>5857</v>
      </c>
      <c r="X590" s="2">
        <v>325</v>
      </c>
      <c r="Y590" t="s">
        <v>5858</v>
      </c>
      <c r="Z590" t="s">
        <v>6037</v>
      </c>
      <c r="AA590" s="2">
        <v>7000</v>
      </c>
      <c r="AB590" t="s">
        <v>5863</v>
      </c>
      <c r="AC590" t="s">
        <v>9981</v>
      </c>
      <c r="AD590" s="32">
        <v>43278</v>
      </c>
      <c r="AJ590" t="s">
        <v>9968</v>
      </c>
      <c r="AL590" t="s">
        <v>10856</v>
      </c>
    </row>
    <row r="591" spans="1:38">
      <c r="A591" t="s">
        <v>8035</v>
      </c>
      <c r="B591" t="s">
        <v>11985</v>
      </c>
      <c r="C591" t="s">
        <v>8036</v>
      </c>
      <c r="D591" t="s">
        <v>8037</v>
      </c>
      <c r="E591" s="2">
        <v>15000</v>
      </c>
      <c r="F591" s="2">
        <v>15000</v>
      </c>
      <c r="G591" s="3">
        <v>43303</v>
      </c>
      <c r="H591" s="4">
        <v>0.75212962962963004</v>
      </c>
      <c r="I591" s="3">
        <v>43305</v>
      </c>
      <c r="J591" s="4">
        <v>0.67520833333332997</v>
      </c>
      <c r="K591" s="2">
        <v>0</v>
      </c>
      <c r="L591" t="s">
        <v>5856</v>
      </c>
      <c r="M591" t="s">
        <v>8038</v>
      </c>
      <c r="N591" s="3">
        <v>43306</v>
      </c>
      <c r="O591" s="3">
        <v>43307</v>
      </c>
      <c r="P591" t="s">
        <v>7980</v>
      </c>
      <c r="Q591" t="s">
        <v>8058</v>
      </c>
      <c r="R591" t="s">
        <v>6036</v>
      </c>
      <c r="S591" s="3">
        <v>43306</v>
      </c>
      <c r="T591" t="s">
        <v>9938</v>
      </c>
      <c r="U591" t="s">
        <v>8040</v>
      </c>
      <c r="V591" t="s">
        <v>5899</v>
      </c>
      <c r="W591" t="s">
        <v>8041</v>
      </c>
      <c r="X591" s="2">
        <v>325</v>
      </c>
      <c r="Y591" t="s">
        <v>5858</v>
      </c>
      <c r="Z591" t="s">
        <v>6037</v>
      </c>
      <c r="AA591" s="2">
        <v>15000</v>
      </c>
      <c r="AB591" t="s">
        <v>5863</v>
      </c>
      <c r="AC591" t="s">
        <v>9981</v>
      </c>
      <c r="AD591" s="32">
        <v>43173</v>
      </c>
      <c r="AJ591" t="s">
        <v>9968</v>
      </c>
      <c r="AL591" t="s">
        <v>10857</v>
      </c>
    </row>
    <row r="592" spans="1:38">
      <c r="A592" t="s">
        <v>8035</v>
      </c>
      <c r="B592" t="s">
        <v>13157</v>
      </c>
      <c r="C592" t="s">
        <v>8044</v>
      </c>
      <c r="D592" t="s">
        <v>8045</v>
      </c>
      <c r="E592" s="2">
        <v>10500</v>
      </c>
      <c r="F592" s="2">
        <v>10500</v>
      </c>
      <c r="G592" s="3">
        <v>43307</v>
      </c>
      <c r="H592" s="4">
        <v>2.777777777778E-2</v>
      </c>
      <c r="I592" s="3">
        <v>43308</v>
      </c>
      <c r="J592" s="4">
        <v>0.37392361111111</v>
      </c>
      <c r="K592" s="2">
        <v>0</v>
      </c>
      <c r="L592" t="s">
        <v>5856</v>
      </c>
      <c r="M592" t="s">
        <v>13155</v>
      </c>
      <c r="N592" s="3"/>
      <c r="O592" s="3">
        <v>43310</v>
      </c>
      <c r="P592" t="s">
        <v>5967</v>
      </c>
      <c r="Q592" t="s">
        <v>6038</v>
      </c>
      <c r="R592" t="s">
        <v>6039</v>
      </c>
      <c r="S592" s="3"/>
      <c r="T592" t="s">
        <v>9938</v>
      </c>
      <c r="U592" t="s">
        <v>8046</v>
      </c>
      <c r="V592" t="s">
        <v>7779</v>
      </c>
      <c r="W592" t="s">
        <v>8041</v>
      </c>
      <c r="X592" s="2">
        <v>325</v>
      </c>
      <c r="Y592" t="s">
        <v>5858</v>
      </c>
      <c r="Z592" t="s">
        <v>6037</v>
      </c>
      <c r="AA592" s="2">
        <v>10000</v>
      </c>
      <c r="AB592" t="s">
        <v>5859</v>
      </c>
      <c r="AC592" t="s">
        <v>9983</v>
      </c>
      <c r="AD592" s="32">
        <v>43279</v>
      </c>
      <c r="AJ592" t="s">
        <v>9969</v>
      </c>
      <c r="AL592" t="s">
        <v>13977</v>
      </c>
    </row>
    <row r="593" spans="1:38">
      <c r="A593" t="s">
        <v>8035</v>
      </c>
      <c r="B593" t="s">
        <v>13158</v>
      </c>
      <c r="C593" t="s">
        <v>8044</v>
      </c>
      <c r="D593" t="s">
        <v>8045</v>
      </c>
      <c r="E593" s="2">
        <v>10500</v>
      </c>
      <c r="F593" s="2">
        <v>10500</v>
      </c>
      <c r="G593" s="3">
        <v>43309</v>
      </c>
      <c r="H593" s="4">
        <v>2.777777777778E-2</v>
      </c>
      <c r="I593" s="3">
        <v>43310</v>
      </c>
      <c r="J593" s="4">
        <v>0.37392361111111</v>
      </c>
      <c r="K593" s="2">
        <v>0</v>
      </c>
      <c r="L593" t="s">
        <v>5856</v>
      </c>
      <c r="M593" t="s">
        <v>13155</v>
      </c>
      <c r="N593" s="3"/>
      <c r="O593" s="3">
        <v>43312</v>
      </c>
      <c r="P593" t="s">
        <v>5967</v>
      </c>
      <c r="Q593" t="s">
        <v>6038</v>
      </c>
      <c r="R593" t="s">
        <v>6039</v>
      </c>
      <c r="S593" s="3"/>
      <c r="T593" t="s">
        <v>9938</v>
      </c>
      <c r="U593" t="s">
        <v>8046</v>
      </c>
      <c r="V593" t="s">
        <v>7779</v>
      </c>
      <c r="W593" t="s">
        <v>8041</v>
      </c>
      <c r="X593" s="2">
        <v>325</v>
      </c>
      <c r="Y593" t="s">
        <v>5858</v>
      </c>
      <c r="Z593" t="s">
        <v>6037</v>
      </c>
      <c r="AA593" s="2">
        <v>10000</v>
      </c>
      <c r="AB593" t="s">
        <v>5859</v>
      </c>
      <c r="AC593" t="s">
        <v>9983</v>
      </c>
      <c r="AD593" s="32">
        <v>43280</v>
      </c>
      <c r="AJ593" t="s">
        <v>9969</v>
      </c>
      <c r="AL593" t="s">
        <v>13978</v>
      </c>
    </row>
    <row r="594" spans="1:38">
      <c r="A594" t="s">
        <v>8035</v>
      </c>
      <c r="B594" t="s">
        <v>13159</v>
      </c>
      <c r="C594" t="s">
        <v>8044</v>
      </c>
      <c r="D594" t="s">
        <v>8045</v>
      </c>
      <c r="E594" s="2">
        <v>10000</v>
      </c>
      <c r="F594" s="2">
        <v>10000</v>
      </c>
      <c r="G594" s="3">
        <v>43310</v>
      </c>
      <c r="H594" s="4">
        <v>0.40170138888889001</v>
      </c>
      <c r="I594" s="3">
        <v>43311</v>
      </c>
      <c r="J594" s="4">
        <v>0.68374999999999997</v>
      </c>
      <c r="K594" s="2">
        <v>0</v>
      </c>
      <c r="L594" t="s">
        <v>5856</v>
      </c>
      <c r="M594" t="s">
        <v>8052</v>
      </c>
      <c r="N594" s="3"/>
      <c r="O594" s="3">
        <v>43313</v>
      </c>
      <c r="P594" t="s">
        <v>5967</v>
      </c>
      <c r="Q594" t="s">
        <v>13160</v>
      </c>
      <c r="R594" t="s">
        <v>6036</v>
      </c>
      <c r="S594" s="3">
        <v>43320</v>
      </c>
      <c r="T594" t="s">
        <v>9938</v>
      </c>
      <c r="U594" t="s">
        <v>8046</v>
      </c>
      <c r="V594" t="s">
        <v>7779</v>
      </c>
      <c r="W594" t="s">
        <v>8041</v>
      </c>
      <c r="X594" s="2">
        <v>325</v>
      </c>
      <c r="Y594" t="s">
        <v>5858</v>
      </c>
      <c r="Z594" t="s">
        <v>6037</v>
      </c>
      <c r="AA594" s="2">
        <v>10000</v>
      </c>
      <c r="AB594" t="s">
        <v>5863</v>
      </c>
      <c r="AC594" t="s">
        <v>9983</v>
      </c>
      <c r="AD594" s="32">
        <v>43280</v>
      </c>
      <c r="AJ594" t="s">
        <v>9969</v>
      </c>
      <c r="AL594" t="s">
        <v>13979</v>
      </c>
    </row>
    <row r="595" spans="1:38">
      <c r="A595" t="s">
        <v>8035</v>
      </c>
      <c r="B595" t="s">
        <v>13161</v>
      </c>
      <c r="C595" t="s">
        <v>8044</v>
      </c>
      <c r="D595" t="s">
        <v>8045</v>
      </c>
      <c r="E595" s="2">
        <v>10000</v>
      </c>
      <c r="F595" s="2">
        <v>10000</v>
      </c>
      <c r="G595" s="3">
        <v>43311</v>
      </c>
      <c r="H595" s="4">
        <v>0.73929398148147996</v>
      </c>
      <c r="I595" s="3">
        <v>43313</v>
      </c>
      <c r="J595" s="4">
        <v>2.1342592592589998E-2</v>
      </c>
      <c r="K595" s="2">
        <v>0</v>
      </c>
      <c r="L595" t="s">
        <v>5856</v>
      </c>
      <c r="M595" t="s">
        <v>8052</v>
      </c>
      <c r="N595" s="3"/>
      <c r="O595" s="3">
        <v>43315</v>
      </c>
      <c r="P595" t="s">
        <v>5967</v>
      </c>
      <c r="Q595" t="s">
        <v>13160</v>
      </c>
      <c r="R595" t="s">
        <v>6036</v>
      </c>
      <c r="S595" s="3">
        <v>43320</v>
      </c>
      <c r="T595" t="s">
        <v>9938</v>
      </c>
      <c r="U595" t="s">
        <v>8046</v>
      </c>
      <c r="V595" t="s">
        <v>7779</v>
      </c>
      <c r="W595" t="s">
        <v>8041</v>
      </c>
      <c r="X595" s="2">
        <v>325</v>
      </c>
      <c r="Y595" t="s">
        <v>5858</v>
      </c>
      <c r="Z595" t="s">
        <v>6037</v>
      </c>
      <c r="AA595" s="2">
        <v>10000</v>
      </c>
      <c r="AB595" t="s">
        <v>5863</v>
      </c>
      <c r="AC595" t="s">
        <v>9983</v>
      </c>
      <c r="AD595" s="32">
        <v>43280</v>
      </c>
      <c r="AJ595" t="s">
        <v>9969</v>
      </c>
      <c r="AL595" t="s">
        <v>13980</v>
      </c>
    </row>
    <row r="596" spans="1:38">
      <c r="A596" t="s">
        <v>8035</v>
      </c>
      <c r="B596" t="s">
        <v>13162</v>
      </c>
      <c r="C596" t="s">
        <v>8044</v>
      </c>
      <c r="D596" t="s">
        <v>8045</v>
      </c>
      <c r="E596" s="2">
        <v>10000</v>
      </c>
      <c r="F596" s="2">
        <v>10000</v>
      </c>
      <c r="G596" s="3">
        <v>43313</v>
      </c>
      <c r="H596" s="4">
        <v>4.9120370370370002E-2</v>
      </c>
      <c r="I596" s="3">
        <v>43314</v>
      </c>
      <c r="J596" s="4">
        <v>0.33116898148148</v>
      </c>
      <c r="K596" s="2">
        <v>0</v>
      </c>
      <c r="L596" t="s">
        <v>5856</v>
      </c>
      <c r="M596" t="s">
        <v>8052</v>
      </c>
      <c r="N596" s="3"/>
      <c r="O596" s="3">
        <v>43316</v>
      </c>
      <c r="P596" t="s">
        <v>5967</v>
      </c>
      <c r="Q596" t="s">
        <v>6038</v>
      </c>
      <c r="R596" t="s">
        <v>6040</v>
      </c>
      <c r="S596" s="3">
        <v>43344</v>
      </c>
      <c r="T596" t="s">
        <v>9938</v>
      </c>
      <c r="U596" t="s">
        <v>8046</v>
      </c>
      <c r="V596" t="s">
        <v>7779</v>
      </c>
      <c r="W596" t="s">
        <v>8041</v>
      </c>
      <c r="X596" s="2">
        <v>325</v>
      </c>
      <c r="Y596" t="s">
        <v>5858</v>
      </c>
      <c r="Z596" t="s">
        <v>6037</v>
      </c>
      <c r="AA596" s="2">
        <v>10000</v>
      </c>
      <c r="AB596" t="s">
        <v>5863</v>
      </c>
      <c r="AC596" t="s">
        <v>9983</v>
      </c>
      <c r="AD596" s="32">
        <v>43280</v>
      </c>
      <c r="AJ596" t="s">
        <v>9969</v>
      </c>
      <c r="AL596" t="s">
        <v>13981</v>
      </c>
    </row>
    <row r="597" spans="1:38">
      <c r="A597" t="s">
        <v>8035</v>
      </c>
      <c r="B597" t="s">
        <v>11986</v>
      </c>
      <c r="C597" t="s">
        <v>8044</v>
      </c>
      <c r="D597" t="s">
        <v>8045</v>
      </c>
      <c r="E597" s="2">
        <v>10000</v>
      </c>
      <c r="F597" s="2">
        <v>10000</v>
      </c>
      <c r="G597" s="3">
        <v>43315</v>
      </c>
      <c r="H597" s="4">
        <v>0.71793981481480995</v>
      </c>
      <c r="I597" s="3">
        <v>43316</v>
      </c>
      <c r="J597" s="4">
        <v>0.99998842592592996</v>
      </c>
      <c r="K597" s="2">
        <v>0</v>
      </c>
      <c r="L597" t="s">
        <v>5856</v>
      </c>
      <c r="M597" t="s">
        <v>8052</v>
      </c>
      <c r="N597" s="3"/>
      <c r="O597" s="3">
        <v>43318</v>
      </c>
      <c r="P597" t="s">
        <v>5967</v>
      </c>
      <c r="Q597" t="s">
        <v>6038</v>
      </c>
      <c r="R597" t="s">
        <v>6040</v>
      </c>
      <c r="S597" s="3">
        <v>43344</v>
      </c>
      <c r="T597" t="s">
        <v>9938</v>
      </c>
      <c r="U597" t="s">
        <v>8046</v>
      </c>
      <c r="V597" t="s">
        <v>7779</v>
      </c>
      <c r="W597" t="s">
        <v>8041</v>
      </c>
      <c r="X597" s="2">
        <v>0</v>
      </c>
      <c r="Y597" t="s">
        <v>5858</v>
      </c>
      <c r="Z597" t="s">
        <v>6037</v>
      </c>
      <c r="AA597" s="2">
        <v>10000</v>
      </c>
      <c r="AB597" t="s">
        <v>5861</v>
      </c>
      <c r="AC597" t="s">
        <v>9983</v>
      </c>
      <c r="AD597" s="32"/>
      <c r="AJ597" t="s">
        <v>9969</v>
      </c>
      <c r="AL597" t="s">
        <v>10862</v>
      </c>
    </row>
    <row r="598" spans="1:38">
      <c r="A598" t="s">
        <v>8035</v>
      </c>
      <c r="B598" t="s">
        <v>11987</v>
      </c>
      <c r="C598" t="s">
        <v>8044</v>
      </c>
      <c r="D598" t="s">
        <v>8045</v>
      </c>
      <c r="E598" s="2">
        <v>10000</v>
      </c>
      <c r="F598" s="2">
        <v>10000</v>
      </c>
      <c r="G598" s="3">
        <v>43315</v>
      </c>
      <c r="H598" s="4">
        <v>0.71793981481480995</v>
      </c>
      <c r="I598" s="3">
        <v>43316</v>
      </c>
      <c r="J598" s="4">
        <v>0.99998842592592996</v>
      </c>
      <c r="K598" s="2">
        <v>0</v>
      </c>
      <c r="L598" t="s">
        <v>5856</v>
      </c>
      <c r="M598" t="s">
        <v>8052</v>
      </c>
      <c r="N598" s="3"/>
      <c r="O598" s="3">
        <v>43318</v>
      </c>
      <c r="P598" t="s">
        <v>5967</v>
      </c>
      <c r="Q598" t="s">
        <v>6038</v>
      </c>
      <c r="R598" t="s">
        <v>6040</v>
      </c>
      <c r="S598" s="3">
        <v>43344</v>
      </c>
      <c r="T598" t="s">
        <v>9938</v>
      </c>
      <c r="U598" t="s">
        <v>8046</v>
      </c>
      <c r="V598" t="s">
        <v>7779</v>
      </c>
      <c r="W598" t="s">
        <v>8041</v>
      </c>
      <c r="X598" s="2">
        <v>0</v>
      </c>
      <c r="Y598" t="s">
        <v>5858</v>
      </c>
      <c r="Z598" t="s">
        <v>6037</v>
      </c>
      <c r="AA598" s="2">
        <v>10000</v>
      </c>
      <c r="AB598" t="s">
        <v>5861</v>
      </c>
      <c r="AC598" t="s">
        <v>9983</v>
      </c>
      <c r="AD598" s="32"/>
      <c r="AJ598" t="s">
        <v>9969</v>
      </c>
      <c r="AL598" t="s">
        <v>10863</v>
      </c>
    </row>
    <row r="599" spans="1:38">
      <c r="A599" t="s">
        <v>8035</v>
      </c>
      <c r="B599" t="s">
        <v>11988</v>
      </c>
      <c r="C599" t="s">
        <v>8044</v>
      </c>
      <c r="D599" t="s">
        <v>8045</v>
      </c>
      <c r="E599" s="2">
        <v>10000</v>
      </c>
      <c r="F599" s="2">
        <v>10000</v>
      </c>
      <c r="G599" s="3">
        <v>43315</v>
      </c>
      <c r="H599" s="4">
        <v>0.71793981481480995</v>
      </c>
      <c r="I599" s="3">
        <v>43316</v>
      </c>
      <c r="J599" s="4">
        <v>0.99998842592592996</v>
      </c>
      <c r="K599" s="2">
        <v>0</v>
      </c>
      <c r="L599" t="s">
        <v>5856</v>
      </c>
      <c r="M599" t="s">
        <v>8052</v>
      </c>
      <c r="N599" s="3"/>
      <c r="O599" s="3">
        <v>43318</v>
      </c>
      <c r="P599" t="s">
        <v>5967</v>
      </c>
      <c r="Q599" t="s">
        <v>6038</v>
      </c>
      <c r="R599" t="s">
        <v>6040</v>
      </c>
      <c r="S599" s="3">
        <v>43344</v>
      </c>
      <c r="T599" t="s">
        <v>9938</v>
      </c>
      <c r="U599" t="s">
        <v>8046</v>
      </c>
      <c r="V599" t="s">
        <v>7779</v>
      </c>
      <c r="W599" t="s">
        <v>8041</v>
      </c>
      <c r="X599" s="2">
        <v>0</v>
      </c>
      <c r="Y599" t="s">
        <v>5858</v>
      </c>
      <c r="Z599" t="s">
        <v>6037</v>
      </c>
      <c r="AA599" s="2">
        <v>10000</v>
      </c>
      <c r="AB599" t="s">
        <v>5861</v>
      </c>
      <c r="AC599" t="s">
        <v>9983</v>
      </c>
      <c r="AD599" s="32"/>
      <c r="AJ599" t="s">
        <v>9969</v>
      </c>
      <c r="AL599" t="s">
        <v>10864</v>
      </c>
    </row>
    <row r="600" spans="1:38">
      <c r="A600" t="s">
        <v>8035</v>
      </c>
      <c r="B600" t="s">
        <v>11989</v>
      </c>
      <c r="C600" t="s">
        <v>8044</v>
      </c>
      <c r="D600" t="s">
        <v>8045</v>
      </c>
      <c r="E600" s="2">
        <v>10000</v>
      </c>
      <c r="F600" s="2">
        <v>10000</v>
      </c>
      <c r="G600" s="3">
        <v>43322</v>
      </c>
      <c r="H600" s="4">
        <v>0.71793981481480995</v>
      </c>
      <c r="I600" s="3">
        <v>43323</v>
      </c>
      <c r="J600" s="4">
        <v>0.99998842592592996</v>
      </c>
      <c r="K600" s="2">
        <v>0</v>
      </c>
      <c r="L600" t="s">
        <v>5856</v>
      </c>
      <c r="M600" t="s">
        <v>8052</v>
      </c>
      <c r="N600" s="3"/>
      <c r="O600" s="3">
        <v>43325</v>
      </c>
      <c r="P600" t="s">
        <v>5967</v>
      </c>
      <c r="Q600" t="s">
        <v>6038</v>
      </c>
      <c r="R600" t="s">
        <v>6040</v>
      </c>
      <c r="S600" s="3">
        <v>43344</v>
      </c>
      <c r="T600" t="s">
        <v>9938</v>
      </c>
      <c r="U600" t="s">
        <v>8046</v>
      </c>
      <c r="V600" t="s">
        <v>7779</v>
      </c>
      <c r="W600" t="s">
        <v>8041</v>
      </c>
      <c r="X600" s="2">
        <v>0</v>
      </c>
      <c r="Y600" t="s">
        <v>5858</v>
      </c>
      <c r="Z600" t="s">
        <v>6037</v>
      </c>
      <c r="AA600" s="2">
        <v>10000</v>
      </c>
      <c r="AB600" t="s">
        <v>5861</v>
      </c>
      <c r="AC600" t="s">
        <v>9983</v>
      </c>
      <c r="AD600" s="32"/>
      <c r="AJ600" t="s">
        <v>9969</v>
      </c>
      <c r="AL600" t="s">
        <v>10865</v>
      </c>
    </row>
    <row r="601" spans="1:38">
      <c r="A601" t="s">
        <v>8035</v>
      </c>
      <c r="B601" t="s">
        <v>11990</v>
      </c>
      <c r="C601" t="s">
        <v>8044</v>
      </c>
      <c r="D601" t="s">
        <v>8045</v>
      </c>
      <c r="E601" s="2">
        <v>10000</v>
      </c>
      <c r="F601" s="2">
        <v>10000</v>
      </c>
      <c r="G601" s="3">
        <v>43322</v>
      </c>
      <c r="H601" s="4">
        <v>0.71793981481480995</v>
      </c>
      <c r="I601" s="3">
        <v>43323</v>
      </c>
      <c r="J601" s="4">
        <v>0.99998842592592996</v>
      </c>
      <c r="K601" s="2">
        <v>0</v>
      </c>
      <c r="L601" t="s">
        <v>5856</v>
      </c>
      <c r="M601" t="s">
        <v>8052</v>
      </c>
      <c r="N601" s="3"/>
      <c r="O601" s="3">
        <v>43325</v>
      </c>
      <c r="P601" t="s">
        <v>5967</v>
      </c>
      <c r="Q601" t="s">
        <v>6038</v>
      </c>
      <c r="R601" t="s">
        <v>6040</v>
      </c>
      <c r="S601" s="3">
        <v>43344</v>
      </c>
      <c r="T601" t="s">
        <v>9938</v>
      </c>
      <c r="U601" t="s">
        <v>8046</v>
      </c>
      <c r="V601" t="s">
        <v>7779</v>
      </c>
      <c r="W601" t="s">
        <v>8041</v>
      </c>
      <c r="X601" s="2">
        <v>0</v>
      </c>
      <c r="Y601" t="s">
        <v>5858</v>
      </c>
      <c r="Z601" t="s">
        <v>6037</v>
      </c>
      <c r="AA601" s="2">
        <v>10000</v>
      </c>
      <c r="AB601" t="s">
        <v>5861</v>
      </c>
      <c r="AC601" t="s">
        <v>9983</v>
      </c>
      <c r="AD601" s="32"/>
      <c r="AJ601" t="s">
        <v>9969</v>
      </c>
      <c r="AL601" t="s">
        <v>10866</v>
      </c>
    </row>
    <row r="602" spans="1:38">
      <c r="A602" t="s">
        <v>8035</v>
      </c>
      <c r="B602" t="s">
        <v>11991</v>
      </c>
      <c r="C602" t="s">
        <v>8044</v>
      </c>
      <c r="D602" t="s">
        <v>8045</v>
      </c>
      <c r="E602" s="2">
        <v>10000</v>
      </c>
      <c r="F602" s="2">
        <v>10000</v>
      </c>
      <c r="G602" s="3">
        <v>43343</v>
      </c>
      <c r="H602" s="4">
        <v>0.71793981481480995</v>
      </c>
      <c r="I602" s="3">
        <v>43344</v>
      </c>
      <c r="J602" s="4">
        <v>0.99998842592592996</v>
      </c>
      <c r="K602" s="2">
        <v>0</v>
      </c>
      <c r="L602" t="s">
        <v>5856</v>
      </c>
      <c r="M602" t="s">
        <v>8052</v>
      </c>
      <c r="N602" s="3"/>
      <c r="O602" s="3">
        <v>43346</v>
      </c>
      <c r="P602" t="s">
        <v>5967</v>
      </c>
      <c r="Q602" t="s">
        <v>13163</v>
      </c>
      <c r="R602" t="s">
        <v>6036</v>
      </c>
      <c r="S602" s="3">
        <v>43346</v>
      </c>
      <c r="T602" t="s">
        <v>9938</v>
      </c>
      <c r="U602" t="s">
        <v>8046</v>
      </c>
      <c r="V602" t="s">
        <v>7779</v>
      </c>
      <c r="W602" t="s">
        <v>8041</v>
      </c>
      <c r="X602" s="2">
        <v>0</v>
      </c>
      <c r="Y602" t="s">
        <v>5858</v>
      </c>
      <c r="Z602" t="s">
        <v>6037</v>
      </c>
      <c r="AA602" s="2">
        <v>10000</v>
      </c>
      <c r="AB602" t="s">
        <v>5861</v>
      </c>
      <c r="AC602" t="s">
        <v>9983</v>
      </c>
      <c r="AD602" s="32"/>
      <c r="AJ602" t="s">
        <v>9969</v>
      </c>
      <c r="AL602" t="s">
        <v>10867</v>
      </c>
    </row>
    <row r="603" spans="1:38">
      <c r="A603" t="s">
        <v>8035</v>
      </c>
      <c r="B603" t="s">
        <v>11992</v>
      </c>
      <c r="C603" t="s">
        <v>8044</v>
      </c>
      <c r="D603" t="s">
        <v>8045</v>
      </c>
      <c r="E603" s="2">
        <v>10000</v>
      </c>
      <c r="F603" s="2">
        <v>10000</v>
      </c>
      <c r="G603" s="3">
        <v>43350</v>
      </c>
      <c r="H603" s="4">
        <v>0.71793981481480995</v>
      </c>
      <c r="I603" s="3">
        <v>43351</v>
      </c>
      <c r="J603" s="4">
        <v>0.99998842592592996</v>
      </c>
      <c r="K603" s="2">
        <v>0</v>
      </c>
      <c r="L603" t="s">
        <v>5856</v>
      </c>
      <c r="M603" t="s">
        <v>8052</v>
      </c>
      <c r="N603" s="3"/>
      <c r="O603" s="3">
        <v>43353</v>
      </c>
      <c r="P603" t="s">
        <v>5967</v>
      </c>
      <c r="Q603" t="s">
        <v>13164</v>
      </c>
      <c r="R603" t="s">
        <v>6036</v>
      </c>
      <c r="S603" s="3">
        <v>43354</v>
      </c>
      <c r="T603" t="s">
        <v>9938</v>
      </c>
      <c r="U603" t="s">
        <v>8046</v>
      </c>
      <c r="V603" t="s">
        <v>7779</v>
      </c>
      <c r="W603" t="s">
        <v>8041</v>
      </c>
      <c r="X603" s="2">
        <v>0</v>
      </c>
      <c r="Y603" t="s">
        <v>5858</v>
      </c>
      <c r="Z603" t="s">
        <v>6037</v>
      </c>
      <c r="AA603" s="2">
        <v>10000</v>
      </c>
      <c r="AB603" t="s">
        <v>5861</v>
      </c>
      <c r="AC603" t="s">
        <v>9983</v>
      </c>
      <c r="AD603" s="32"/>
      <c r="AJ603" t="s">
        <v>9969</v>
      </c>
      <c r="AL603" t="s">
        <v>10868</v>
      </c>
    </row>
    <row r="604" spans="1:38">
      <c r="A604" t="s">
        <v>8035</v>
      </c>
      <c r="B604" t="s">
        <v>11993</v>
      </c>
      <c r="C604" t="s">
        <v>8044</v>
      </c>
      <c r="D604" t="s">
        <v>8045</v>
      </c>
      <c r="E604" s="2">
        <v>10000</v>
      </c>
      <c r="F604" s="2">
        <v>10000</v>
      </c>
      <c r="G604" s="3">
        <v>43357</v>
      </c>
      <c r="H604" s="4">
        <v>0.71793981481480995</v>
      </c>
      <c r="I604" s="3">
        <v>43358</v>
      </c>
      <c r="J604" s="4">
        <v>0.99998842592592996</v>
      </c>
      <c r="K604" s="2">
        <v>0</v>
      </c>
      <c r="L604" t="s">
        <v>5856</v>
      </c>
      <c r="M604" t="s">
        <v>8052</v>
      </c>
      <c r="N604" s="3"/>
      <c r="O604" s="3">
        <v>43360</v>
      </c>
      <c r="P604" t="s">
        <v>5967</v>
      </c>
      <c r="Q604" t="s">
        <v>13165</v>
      </c>
      <c r="R604" t="s">
        <v>6036</v>
      </c>
      <c r="S604" s="3">
        <v>43360</v>
      </c>
      <c r="T604" t="s">
        <v>9938</v>
      </c>
      <c r="U604" t="s">
        <v>8046</v>
      </c>
      <c r="V604" t="s">
        <v>7779</v>
      </c>
      <c r="W604" t="s">
        <v>8041</v>
      </c>
      <c r="X604" s="2">
        <v>0</v>
      </c>
      <c r="Y604" t="s">
        <v>5858</v>
      </c>
      <c r="Z604" t="s">
        <v>6037</v>
      </c>
      <c r="AA604" s="2">
        <v>10000</v>
      </c>
      <c r="AB604" t="s">
        <v>5861</v>
      </c>
      <c r="AC604" t="s">
        <v>9983</v>
      </c>
      <c r="AD604" s="32"/>
      <c r="AJ604" t="s">
        <v>9969</v>
      </c>
      <c r="AL604" t="s">
        <v>10869</v>
      </c>
    </row>
    <row r="605" spans="1:38">
      <c r="A605" t="s">
        <v>8035</v>
      </c>
      <c r="B605" t="s">
        <v>11994</v>
      </c>
      <c r="C605" t="s">
        <v>8044</v>
      </c>
      <c r="D605" t="s">
        <v>8045</v>
      </c>
      <c r="E605" s="2">
        <v>10000</v>
      </c>
      <c r="F605" s="2">
        <v>10000</v>
      </c>
      <c r="G605" s="3">
        <v>43364</v>
      </c>
      <c r="H605" s="4">
        <v>0.71793981481480995</v>
      </c>
      <c r="I605" s="3">
        <v>43365</v>
      </c>
      <c r="J605" s="4">
        <v>0.99998842592592996</v>
      </c>
      <c r="K605" s="2">
        <v>0</v>
      </c>
      <c r="L605" t="s">
        <v>5856</v>
      </c>
      <c r="M605" t="s">
        <v>8052</v>
      </c>
      <c r="N605" s="3"/>
      <c r="O605" s="3">
        <v>43367</v>
      </c>
      <c r="P605" t="s">
        <v>5967</v>
      </c>
      <c r="Q605" t="s">
        <v>6038</v>
      </c>
      <c r="R605" t="s">
        <v>6040</v>
      </c>
      <c r="S605" s="3">
        <v>43374</v>
      </c>
      <c r="T605" t="s">
        <v>9938</v>
      </c>
      <c r="U605" t="s">
        <v>8046</v>
      </c>
      <c r="V605" t="s">
        <v>7779</v>
      </c>
      <c r="W605" t="s">
        <v>8041</v>
      </c>
      <c r="X605" s="2">
        <v>0</v>
      </c>
      <c r="Y605" t="s">
        <v>5858</v>
      </c>
      <c r="Z605" t="s">
        <v>6037</v>
      </c>
      <c r="AA605" s="2">
        <v>10000</v>
      </c>
      <c r="AB605" t="s">
        <v>5861</v>
      </c>
      <c r="AC605" t="s">
        <v>9983</v>
      </c>
      <c r="AD605" s="32"/>
      <c r="AJ605" t="s">
        <v>9969</v>
      </c>
      <c r="AL605" t="s">
        <v>10870</v>
      </c>
    </row>
    <row r="606" spans="1:38">
      <c r="A606" t="s">
        <v>8035</v>
      </c>
      <c r="B606" t="s">
        <v>11995</v>
      </c>
      <c r="C606" t="s">
        <v>8044</v>
      </c>
      <c r="D606" t="s">
        <v>8045</v>
      </c>
      <c r="E606" s="2">
        <v>10000</v>
      </c>
      <c r="F606" s="2">
        <v>10000</v>
      </c>
      <c r="G606" s="3">
        <v>43364</v>
      </c>
      <c r="H606" s="4">
        <v>0.71793981481480995</v>
      </c>
      <c r="I606" s="3">
        <v>43365</v>
      </c>
      <c r="J606" s="4">
        <v>0.99998842592592996</v>
      </c>
      <c r="K606" s="2">
        <v>0</v>
      </c>
      <c r="L606" t="s">
        <v>5856</v>
      </c>
      <c r="M606" t="s">
        <v>8052</v>
      </c>
      <c r="N606" s="3"/>
      <c r="O606" s="3">
        <v>43367</v>
      </c>
      <c r="P606" t="s">
        <v>5967</v>
      </c>
      <c r="Q606" t="s">
        <v>13166</v>
      </c>
      <c r="R606" t="s">
        <v>6036</v>
      </c>
      <c r="S606" s="3">
        <v>43370</v>
      </c>
      <c r="T606" t="s">
        <v>9938</v>
      </c>
      <c r="U606" t="s">
        <v>8046</v>
      </c>
      <c r="V606" t="s">
        <v>7779</v>
      </c>
      <c r="W606" t="s">
        <v>8041</v>
      </c>
      <c r="X606" s="2">
        <v>0</v>
      </c>
      <c r="Y606" t="s">
        <v>5858</v>
      </c>
      <c r="Z606" t="s">
        <v>6037</v>
      </c>
      <c r="AA606" s="2">
        <v>10000</v>
      </c>
      <c r="AB606" t="s">
        <v>5861</v>
      </c>
      <c r="AC606" t="s">
        <v>9983</v>
      </c>
      <c r="AD606" s="32"/>
      <c r="AJ606" t="s">
        <v>9969</v>
      </c>
      <c r="AL606" t="s">
        <v>10871</v>
      </c>
    </row>
    <row r="607" spans="1:38">
      <c r="A607" t="s">
        <v>8035</v>
      </c>
      <c r="B607" t="s">
        <v>11996</v>
      </c>
      <c r="C607" t="s">
        <v>8044</v>
      </c>
      <c r="D607" t="s">
        <v>8045</v>
      </c>
      <c r="E607" s="2">
        <v>10000</v>
      </c>
      <c r="F607" s="2">
        <v>10000</v>
      </c>
      <c r="G607" s="3">
        <v>43364</v>
      </c>
      <c r="H607" s="4">
        <v>0.71793981481480995</v>
      </c>
      <c r="I607" s="3">
        <v>43365</v>
      </c>
      <c r="J607" s="4">
        <v>0.99998842592592996</v>
      </c>
      <c r="K607" s="2">
        <v>0</v>
      </c>
      <c r="L607" t="s">
        <v>5856</v>
      </c>
      <c r="M607" t="s">
        <v>8052</v>
      </c>
      <c r="N607" s="3"/>
      <c r="O607" s="3">
        <v>43367</v>
      </c>
      <c r="P607" t="s">
        <v>5967</v>
      </c>
      <c r="Q607" t="s">
        <v>13167</v>
      </c>
      <c r="R607" t="s">
        <v>6036</v>
      </c>
      <c r="S607" s="3">
        <v>43368</v>
      </c>
      <c r="T607" t="s">
        <v>9938</v>
      </c>
      <c r="U607" t="s">
        <v>8046</v>
      </c>
      <c r="V607" t="s">
        <v>7779</v>
      </c>
      <c r="W607" t="s">
        <v>8041</v>
      </c>
      <c r="X607" s="2">
        <v>0</v>
      </c>
      <c r="Y607" t="s">
        <v>5858</v>
      </c>
      <c r="Z607" t="s">
        <v>6037</v>
      </c>
      <c r="AA607" s="2">
        <v>10000</v>
      </c>
      <c r="AB607" t="s">
        <v>5861</v>
      </c>
      <c r="AC607" t="s">
        <v>9983</v>
      </c>
      <c r="AD607" s="32"/>
      <c r="AJ607" t="s">
        <v>9969</v>
      </c>
      <c r="AL607" t="s">
        <v>10872</v>
      </c>
    </row>
    <row r="608" spans="1:38">
      <c r="A608" t="s">
        <v>8059</v>
      </c>
      <c r="B608" t="s">
        <v>12005</v>
      </c>
      <c r="C608" t="s">
        <v>8064</v>
      </c>
      <c r="D608" t="s">
        <v>8065</v>
      </c>
      <c r="E608" s="2">
        <v>10400</v>
      </c>
      <c r="F608" s="2">
        <v>10400</v>
      </c>
      <c r="G608" s="3">
        <v>43283</v>
      </c>
      <c r="H608" s="4">
        <v>0</v>
      </c>
      <c r="I608" s="3">
        <v>43283</v>
      </c>
      <c r="J608" s="4">
        <v>0.42483796296296</v>
      </c>
      <c r="K608" s="2">
        <v>20</v>
      </c>
      <c r="L608" t="s">
        <v>5856</v>
      </c>
      <c r="M608" t="s">
        <v>6736</v>
      </c>
      <c r="N608" s="3">
        <v>43293</v>
      </c>
      <c r="O608" s="3">
        <v>43285</v>
      </c>
      <c r="P608" t="s">
        <v>5873</v>
      </c>
      <c r="Q608" t="s">
        <v>8076</v>
      </c>
      <c r="R608" t="s">
        <v>6036</v>
      </c>
      <c r="S608" s="3">
        <v>43293</v>
      </c>
      <c r="T608" t="s">
        <v>9938</v>
      </c>
      <c r="U608" t="s">
        <v>5906</v>
      </c>
      <c r="V608" t="s">
        <v>6046</v>
      </c>
      <c r="W608" t="s">
        <v>5857</v>
      </c>
      <c r="X608" s="2">
        <v>1020</v>
      </c>
      <c r="Y608" t="s">
        <v>5858</v>
      </c>
      <c r="Z608" t="s">
        <v>6037</v>
      </c>
      <c r="AA608" s="2">
        <v>10000</v>
      </c>
      <c r="AB608" t="s">
        <v>5859</v>
      </c>
      <c r="AC608" t="s">
        <v>9974</v>
      </c>
      <c r="AD608" s="32">
        <v>43265</v>
      </c>
      <c r="AJ608" t="s">
        <v>9967</v>
      </c>
      <c r="AL608" t="s">
        <v>13982</v>
      </c>
    </row>
    <row r="609" spans="1:38">
      <c r="A609" t="s">
        <v>8059</v>
      </c>
      <c r="B609" t="s">
        <v>11997</v>
      </c>
      <c r="C609" t="s">
        <v>8064</v>
      </c>
      <c r="D609" t="s">
        <v>8065</v>
      </c>
      <c r="E609" s="2">
        <v>0</v>
      </c>
      <c r="F609" s="2">
        <v>7280</v>
      </c>
      <c r="G609" s="3">
        <v>43284</v>
      </c>
      <c r="H609" s="4">
        <v>2.0833333333330002E-2</v>
      </c>
      <c r="I609" s="3">
        <v>43284</v>
      </c>
      <c r="J609" s="4">
        <v>0.31821759259259003</v>
      </c>
      <c r="K609" s="2">
        <v>0</v>
      </c>
      <c r="L609" t="s">
        <v>5856</v>
      </c>
      <c r="M609" t="s">
        <v>8066</v>
      </c>
      <c r="N609" s="3">
        <v>43280</v>
      </c>
      <c r="O609" s="3">
        <v>43286</v>
      </c>
      <c r="P609" t="s">
        <v>5873</v>
      </c>
      <c r="Q609" t="s">
        <v>6038</v>
      </c>
      <c r="R609" t="s">
        <v>6039</v>
      </c>
      <c r="S609" s="3"/>
      <c r="T609" t="s">
        <v>9938</v>
      </c>
      <c r="U609" t="s">
        <v>5906</v>
      </c>
      <c r="V609" t="s">
        <v>6046</v>
      </c>
      <c r="W609" t="s">
        <v>5857</v>
      </c>
      <c r="X609" s="2">
        <v>1020</v>
      </c>
      <c r="Y609" t="s">
        <v>5858</v>
      </c>
      <c r="Z609" t="s">
        <v>6037</v>
      </c>
      <c r="AA609" s="2">
        <v>0</v>
      </c>
      <c r="AB609" t="s">
        <v>5859</v>
      </c>
      <c r="AC609" t="s">
        <v>9974</v>
      </c>
      <c r="AD609" s="32">
        <v>43247</v>
      </c>
      <c r="AJ609" t="s">
        <v>9967</v>
      </c>
      <c r="AL609" t="s">
        <v>10873</v>
      </c>
    </row>
    <row r="610" spans="1:38">
      <c r="A610" t="s">
        <v>8059</v>
      </c>
      <c r="B610" t="s">
        <v>11998</v>
      </c>
      <c r="C610" t="s">
        <v>8067</v>
      </c>
      <c r="D610" t="s">
        <v>8068</v>
      </c>
      <c r="E610" s="2">
        <v>434</v>
      </c>
      <c r="F610" s="2">
        <v>10374</v>
      </c>
      <c r="G610" s="3">
        <v>43284</v>
      </c>
      <c r="H610" s="4">
        <v>0.33905092592593</v>
      </c>
      <c r="I610" s="3">
        <v>43284</v>
      </c>
      <c r="J610" s="4">
        <v>0.76282407407407005</v>
      </c>
      <c r="K610" s="2">
        <v>20</v>
      </c>
      <c r="L610" t="s">
        <v>5856</v>
      </c>
      <c r="M610" t="s">
        <v>8069</v>
      </c>
      <c r="N610" s="3">
        <v>43286</v>
      </c>
      <c r="O610" s="3">
        <v>43286</v>
      </c>
      <c r="P610" t="s">
        <v>5873</v>
      </c>
      <c r="Q610" t="s">
        <v>6038</v>
      </c>
      <c r="R610" t="s">
        <v>6039</v>
      </c>
      <c r="S610" s="3"/>
      <c r="T610" t="s">
        <v>9938</v>
      </c>
      <c r="U610" t="s">
        <v>5900</v>
      </c>
      <c r="V610" t="s">
        <v>6046</v>
      </c>
      <c r="W610" t="s">
        <v>5914</v>
      </c>
      <c r="X610" s="2">
        <v>1020</v>
      </c>
      <c r="Y610" t="s">
        <v>5858</v>
      </c>
      <c r="Z610" t="s">
        <v>6037</v>
      </c>
      <c r="AA610" s="2">
        <v>434</v>
      </c>
      <c r="AB610" t="s">
        <v>5859</v>
      </c>
      <c r="AC610" t="s">
        <v>9974</v>
      </c>
      <c r="AD610" s="32">
        <v>43245</v>
      </c>
      <c r="AI610" t="s">
        <v>9939</v>
      </c>
      <c r="AJ610" t="s">
        <v>9967</v>
      </c>
      <c r="AL610" t="s">
        <v>10874</v>
      </c>
    </row>
    <row r="611" spans="1:38">
      <c r="A611" t="s">
        <v>8059</v>
      </c>
      <c r="B611" t="s">
        <v>13168</v>
      </c>
      <c r="C611" t="s">
        <v>6061</v>
      </c>
      <c r="D611" t="s">
        <v>5908</v>
      </c>
      <c r="E611" s="2">
        <v>20800</v>
      </c>
      <c r="F611" s="2">
        <v>20800</v>
      </c>
      <c r="G611" s="3">
        <v>43285</v>
      </c>
      <c r="H611" s="4">
        <v>2.0833333333330002E-2</v>
      </c>
      <c r="I611" s="3">
        <v>43285</v>
      </c>
      <c r="J611" s="4">
        <v>0.87050925925926004</v>
      </c>
      <c r="K611" s="2">
        <v>0</v>
      </c>
      <c r="L611" t="s">
        <v>5856</v>
      </c>
      <c r="M611" t="s">
        <v>8063</v>
      </c>
      <c r="N611" s="3">
        <v>43286</v>
      </c>
      <c r="O611" s="3">
        <v>43287</v>
      </c>
      <c r="P611" t="s">
        <v>5873</v>
      </c>
      <c r="Q611" t="s">
        <v>13169</v>
      </c>
      <c r="R611" t="s">
        <v>6036</v>
      </c>
      <c r="S611" s="3">
        <v>43285</v>
      </c>
      <c r="T611" t="s">
        <v>9938</v>
      </c>
      <c r="U611" t="s">
        <v>5865</v>
      </c>
      <c r="V611" t="s">
        <v>6046</v>
      </c>
      <c r="W611" t="s">
        <v>5857</v>
      </c>
      <c r="X611" s="2">
        <v>1020</v>
      </c>
      <c r="Y611" t="s">
        <v>5858</v>
      </c>
      <c r="Z611" t="s">
        <v>6037</v>
      </c>
      <c r="AA611" s="2">
        <v>20000</v>
      </c>
      <c r="AB611" t="s">
        <v>5859</v>
      </c>
      <c r="AC611" t="s">
        <v>9975</v>
      </c>
      <c r="AD611" s="32">
        <v>43280</v>
      </c>
      <c r="AI611" t="s">
        <v>9939</v>
      </c>
      <c r="AJ611" t="s">
        <v>9967</v>
      </c>
      <c r="AL611" t="s">
        <v>13983</v>
      </c>
    </row>
    <row r="612" spans="1:38">
      <c r="A612" t="s">
        <v>8059</v>
      </c>
      <c r="B612" t="s">
        <v>12000</v>
      </c>
      <c r="C612" t="s">
        <v>7926</v>
      </c>
      <c r="D612" t="s">
        <v>7927</v>
      </c>
      <c r="E612" s="2">
        <v>775</v>
      </c>
      <c r="F612" s="2">
        <v>21000</v>
      </c>
      <c r="G612" s="3">
        <v>43286</v>
      </c>
      <c r="H612" s="4">
        <v>0.49199074074074001</v>
      </c>
      <c r="I612" s="3">
        <v>43287</v>
      </c>
      <c r="J612" s="4">
        <v>0.34983796296295999</v>
      </c>
      <c r="K612" s="2">
        <v>0</v>
      </c>
      <c r="L612" t="s">
        <v>5856</v>
      </c>
      <c r="M612" t="s">
        <v>8070</v>
      </c>
      <c r="N612" s="3">
        <v>43276</v>
      </c>
      <c r="O612" s="3">
        <v>43289</v>
      </c>
      <c r="P612" t="s">
        <v>5862</v>
      </c>
      <c r="Q612" t="s">
        <v>8071</v>
      </c>
      <c r="R612" t="s">
        <v>6036</v>
      </c>
      <c r="S612" s="3">
        <v>43283</v>
      </c>
      <c r="T612" t="s">
        <v>9938</v>
      </c>
      <c r="U612" t="s">
        <v>7830</v>
      </c>
      <c r="V612" t="s">
        <v>6073</v>
      </c>
      <c r="W612" t="s">
        <v>5857</v>
      </c>
      <c r="X612" s="2">
        <v>1020</v>
      </c>
      <c r="Y612" t="s">
        <v>5858</v>
      </c>
      <c r="Z612" t="s">
        <v>6037</v>
      </c>
      <c r="AA612" s="2">
        <v>775</v>
      </c>
      <c r="AB612" t="s">
        <v>5859</v>
      </c>
      <c r="AC612" t="s">
        <v>9984</v>
      </c>
      <c r="AD612" s="32">
        <v>43256</v>
      </c>
      <c r="AI612" t="s">
        <v>9939</v>
      </c>
      <c r="AJ612" t="s">
        <v>9967</v>
      </c>
      <c r="AL612" t="s">
        <v>10876</v>
      </c>
    </row>
    <row r="613" spans="1:38">
      <c r="A613" t="s">
        <v>8059</v>
      </c>
      <c r="B613" t="s">
        <v>11999</v>
      </c>
      <c r="C613" t="s">
        <v>8064</v>
      </c>
      <c r="D613" t="s">
        <v>8065</v>
      </c>
      <c r="E613" s="2">
        <v>800</v>
      </c>
      <c r="F613" s="2">
        <v>20800</v>
      </c>
      <c r="G613" s="3">
        <v>43287</v>
      </c>
      <c r="H613" s="4">
        <v>0.37067129629630002</v>
      </c>
      <c r="I613" s="3">
        <v>43288</v>
      </c>
      <c r="J613" s="4">
        <v>0.22034722222222</v>
      </c>
      <c r="K613" s="2">
        <v>0</v>
      </c>
      <c r="L613" t="s">
        <v>5856</v>
      </c>
      <c r="M613" t="s">
        <v>8063</v>
      </c>
      <c r="N613" s="3">
        <v>43280</v>
      </c>
      <c r="O613" s="3">
        <v>43290</v>
      </c>
      <c r="P613" t="s">
        <v>5873</v>
      </c>
      <c r="Q613" t="s">
        <v>6038</v>
      </c>
      <c r="R613" t="s">
        <v>6039</v>
      </c>
      <c r="S613" s="3"/>
      <c r="T613" t="s">
        <v>9938</v>
      </c>
      <c r="U613" t="s">
        <v>5906</v>
      </c>
      <c r="V613" t="s">
        <v>6046</v>
      </c>
      <c r="W613" t="s">
        <v>5857</v>
      </c>
      <c r="X613" s="2">
        <v>1020</v>
      </c>
      <c r="Y613" t="s">
        <v>5858</v>
      </c>
      <c r="Z613" t="s">
        <v>6037</v>
      </c>
      <c r="AA613" s="2">
        <v>800</v>
      </c>
      <c r="AB613" t="s">
        <v>5859</v>
      </c>
      <c r="AC613" t="s">
        <v>9974</v>
      </c>
      <c r="AD613" s="32">
        <v>43252</v>
      </c>
      <c r="AJ613" t="s">
        <v>9967</v>
      </c>
      <c r="AL613" t="s">
        <v>10875</v>
      </c>
    </row>
    <row r="614" spans="1:38">
      <c r="A614" t="s">
        <v>8059</v>
      </c>
      <c r="B614" t="s">
        <v>12001</v>
      </c>
      <c r="C614" t="s">
        <v>7926</v>
      </c>
      <c r="D614" t="s">
        <v>7927</v>
      </c>
      <c r="E614" s="2">
        <v>21000</v>
      </c>
      <c r="F614" s="2">
        <v>21000</v>
      </c>
      <c r="G614" s="3">
        <v>43288</v>
      </c>
      <c r="H614" s="4">
        <v>0.24118055555556001</v>
      </c>
      <c r="I614" s="3">
        <v>43289</v>
      </c>
      <c r="J614" s="4">
        <v>9.9027777777780004E-2</v>
      </c>
      <c r="K614" s="2">
        <v>0</v>
      </c>
      <c r="L614" t="s">
        <v>5856</v>
      </c>
      <c r="M614" t="s">
        <v>8070</v>
      </c>
      <c r="N614" s="3"/>
      <c r="O614" s="3">
        <v>43291</v>
      </c>
      <c r="P614" t="s">
        <v>5862</v>
      </c>
      <c r="Q614" t="s">
        <v>8071</v>
      </c>
      <c r="R614" t="s">
        <v>6036</v>
      </c>
      <c r="S614" s="3">
        <v>43283</v>
      </c>
      <c r="T614" t="s">
        <v>9938</v>
      </c>
      <c r="U614" t="s">
        <v>7830</v>
      </c>
      <c r="V614" t="s">
        <v>6073</v>
      </c>
      <c r="W614" t="s">
        <v>5857</v>
      </c>
      <c r="X614" s="2">
        <v>1020</v>
      </c>
      <c r="Y614" t="s">
        <v>5858</v>
      </c>
      <c r="Z614" t="s">
        <v>6037</v>
      </c>
      <c r="AA614" s="2">
        <v>21000</v>
      </c>
      <c r="AB614" t="s">
        <v>5859</v>
      </c>
      <c r="AC614" t="s">
        <v>9984</v>
      </c>
      <c r="AD614" s="32">
        <v>43259</v>
      </c>
      <c r="AI614" t="s">
        <v>9939</v>
      </c>
      <c r="AJ614" t="s">
        <v>9967</v>
      </c>
      <c r="AL614" t="s">
        <v>10877</v>
      </c>
    </row>
    <row r="615" spans="1:38">
      <c r="A615" t="s">
        <v>8059</v>
      </c>
      <c r="B615" t="s">
        <v>12002</v>
      </c>
      <c r="C615" t="s">
        <v>6061</v>
      </c>
      <c r="D615" t="s">
        <v>5908</v>
      </c>
      <c r="E615" s="2">
        <v>20800</v>
      </c>
      <c r="F615" s="2">
        <v>20800</v>
      </c>
      <c r="G615" s="3">
        <v>43289</v>
      </c>
      <c r="H615" s="4">
        <v>0.11986111111111</v>
      </c>
      <c r="I615" s="3">
        <v>43289</v>
      </c>
      <c r="J615" s="4">
        <v>0.96953703703703997</v>
      </c>
      <c r="K615" s="2">
        <v>0</v>
      </c>
      <c r="L615" t="s">
        <v>5856</v>
      </c>
      <c r="M615" t="s">
        <v>8063</v>
      </c>
      <c r="N615" s="3">
        <v>43286</v>
      </c>
      <c r="O615" s="3">
        <v>43291</v>
      </c>
      <c r="P615" t="s">
        <v>5873</v>
      </c>
      <c r="Q615" t="s">
        <v>6038</v>
      </c>
      <c r="R615" t="s">
        <v>6040</v>
      </c>
      <c r="S615" s="3">
        <v>43288</v>
      </c>
      <c r="T615" t="s">
        <v>9938</v>
      </c>
      <c r="U615" t="s">
        <v>5865</v>
      </c>
      <c r="V615" t="s">
        <v>6046</v>
      </c>
      <c r="W615" t="s">
        <v>5857</v>
      </c>
      <c r="X615" s="2">
        <v>1020</v>
      </c>
      <c r="Y615" t="s">
        <v>5858</v>
      </c>
      <c r="Z615" t="s">
        <v>6037</v>
      </c>
      <c r="AA615" s="2">
        <v>20000</v>
      </c>
      <c r="AB615" t="s">
        <v>5859</v>
      </c>
      <c r="AC615" t="s">
        <v>9975</v>
      </c>
      <c r="AD615" s="32">
        <v>43272</v>
      </c>
      <c r="AI615" t="s">
        <v>9939</v>
      </c>
      <c r="AJ615" t="s">
        <v>9967</v>
      </c>
      <c r="AL615" t="s">
        <v>13984</v>
      </c>
    </row>
    <row r="616" spans="1:38">
      <c r="A616" t="s">
        <v>8059</v>
      </c>
      <c r="B616" t="s">
        <v>13170</v>
      </c>
      <c r="C616" t="s">
        <v>7926</v>
      </c>
      <c r="D616" t="s">
        <v>7927</v>
      </c>
      <c r="E616" s="5">
        <v>20999.999</v>
      </c>
      <c r="F616" s="5">
        <v>20999.999</v>
      </c>
      <c r="G616" s="3">
        <v>43289</v>
      </c>
      <c r="H616" s="4">
        <v>0.99037037037037001</v>
      </c>
      <c r="I616" s="3">
        <v>43290</v>
      </c>
      <c r="J616" s="4">
        <v>0.84821759259259</v>
      </c>
      <c r="K616" s="2">
        <v>0</v>
      </c>
      <c r="L616" t="s">
        <v>5856</v>
      </c>
      <c r="M616" t="s">
        <v>8070</v>
      </c>
      <c r="N616" s="3">
        <v>43297</v>
      </c>
      <c r="O616" s="3">
        <v>43292</v>
      </c>
      <c r="P616" t="s">
        <v>5862</v>
      </c>
      <c r="Q616" t="s">
        <v>13171</v>
      </c>
      <c r="R616" t="s">
        <v>6036</v>
      </c>
      <c r="S616" s="3">
        <v>43286</v>
      </c>
      <c r="T616" t="s">
        <v>9938</v>
      </c>
      <c r="U616" t="s">
        <v>7830</v>
      </c>
      <c r="V616" t="s">
        <v>6073</v>
      </c>
      <c r="W616" t="s">
        <v>5857</v>
      </c>
      <c r="X616" s="2">
        <v>1020</v>
      </c>
      <c r="Y616" t="s">
        <v>5858</v>
      </c>
      <c r="Z616" t="s">
        <v>6037</v>
      </c>
      <c r="AA616" s="2">
        <v>20000</v>
      </c>
      <c r="AB616" t="s">
        <v>5863</v>
      </c>
      <c r="AC616" t="s">
        <v>9984</v>
      </c>
      <c r="AD616" s="32">
        <v>43280</v>
      </c>
      <c r="AI616" t="s">
        <v>9939</v>
      </c>
      <c r="AJ616" t="s">
        <v>9967</v>
      </c>
      <c r="AL616" t="s">
        <v>13985</v>
      </c>
    </row>
    <row r="617" spans="1:38">
      <c r="A617" t="s">
        <v>8059</v>
      </c>
      <c r="B617" t="s">
        <v>13172</v>
      </c>
      <c r="C617" t="s">
        <v>7926</v>
      </c>
      <c r="D617" t="s">
        <v>7927</v>
      </c>
      <c r="E617" s="5">
        <v>10499.999</v>
      </c>
      <c r="F617" s="5">
        <v>10499.999</v>
      </c>
      <c r="G617" s="3">
        <v>43295</v>
      </c>
      <c r="H617" s="4">
        <v>2.0821759259260001E-2</v>
      </c>
      <c r="I617" s="3">
        <v>43295</v>
      </c>
      <c r="J617" s="4">
        <v>0.44974537037036999</v>
      </c>
      <c r="K617" s="2">
        <v>0</v>
      </c>
      <c r="L617" t="s">
        <v>5856</v>
      </c>
      <c r="M617" t="s">
        <v>8073</v>
      </c>
      <c r="N617" s="3">
        <v>43290</v>
      </c>
      <c r="O617" s="3">
        <v>43297</v>
      </c>
      <c r="P617" t="s">
        <v>5862</v>
      </c>
      <c r="Q617" t="s">
        <v>6038</v>
      </c>
      <c r="R617" t="s">
        <v>6040</v>
      </c>
      <c r="S617" s="3">
        <v>43288</v>
      </c>
      <c r="T617" t="s">
        <v>9938</v>
      </c>
      <c r="U617" t="s">
        <v>7830</v>
      </c>
      <c r="V617" t="s">
        <v>6073</v>
      </c>
      <c r="W617" t="s">
        <v>5857</v>
      </c>
      <c r="X617" s="2">
        <v>1020</v>
      </c>
      <c r="Y617" t="s">
        <v>5858</v>
      </c>
      <c r="Z617" t="s">
        <v>6037</v>
      </c>
      <c r="AA617" s="2">
        <v>10000</v>
      </c>
      <c r="AB617" t="s">
        <v>5863</v>
      </c>
      <c r="AC617" t="s">
        <v>9984</v>
      </c>
      <c r="AD617" s="32">
        <v>43280</v>
      </c>
      <c r="AI617" t="s">
        <v>9939</v>
      </c>
      <c r="AJ617" t="s">
        <v>9967</v>
      </c>
      <c r="AL617" t="s">
        <v>13986</v>
      </c>
    </row>
    <row r="618" spans="1:38">
      <c r="A618" t="s">
        <v>8059</v>
      </c>
      <c r="B618" t="s">
        <v>12003</v>
      </c>
      <c r="C618" t="s">
        <v>6047</v>
      </c>
      <c r="D618" t="s">
        <v>5872</v>
      </c>
      <c r="E618" s="2">
        <v>10400</v>
      </c>
      <c r="F618" s="2">
        <v>10400</v>
      </c>
      <c r="G618" s="3">
        <v>43295</v>
      </c>
      <c r="H618" s="4">
        <v>0.47057870370369997</v>
      </c>
      <c r="I618" s="3">
        <v>43295</v>
      </c>
      <c r="J618" s="4">
        <v>0.89541666666666997</v>
      </c>
      <c r="K618" s="2">
        <v>20</v>
      </c>
      <c r="L618" t="s">
        <v>5856</v>
      </c>
      <c r="M618" t="s">
        <v>6736</v>
      </c>
      <c r="N618" s="3">
        <v>43293</v>
      </c>
      <c r="O618" s="3">
        <v>43297</v>
      </c>
      <c r="P618" t="s">
        <v>5873</v>
      </c>
      <c r="Q618" t="s">
        <v>8074</v>
      </c>
      <c r="R618" t="s">
        <v>6036</v>
      </c>
      <c r="S618" s="3">
        <v>43293</v>
      </c>
      <c r="T618" t="s">
        <v>9938</v>
      </c>
      <c r="U618" t="s">
        <v>5871</v>
      </c>
      <c r="V618" t="s">
        <v>6046</v>
      </c>
      <c r="W618" t="s">
        <v>5857</v>
      </c>
      <c r="X618" s="2">
        <v>1020</v>
      </c>
      <c r="Y618" t="s">
        <v>5858</v>
      </c>
      <c r="Z618" t="s">
        <v>6037</v>
      </c>
      <c r="AA618" s="2">
        <v>10000</v>
      </c>
      <c r="AB618" t="s">
        <v>5859</v>
      </c>
      <c r="AC618" t="s">
        <v>9974</v>
      </c>
      <c r="AD618" s="32">
        <v>43265</v>
      </c>
      <c r="AI618" t="s">
        <v>9939</v>
      </c>
      <c r="AJ618" t="s">
        <v>9967</v>
      </c>
      <c r="AL618" t="s">
        <v>13987</v>
      </c>
    </row>
    <row r="619" spans="1:38">
      <c r="A619" t="s">
        <v>8059</v>
      </c>
      <c r="B619" t="s">
        <v>13173</v>
      </c>
      <c r="C619" t="s">
        <v>8067</v>
      </c>
      <c r="D619" t="s">
        <v>8068</v>
      </c>
      <c r="E619" s="2">
        <v>10400</v>
      </c>
      <c r="F619" s="2">
        <v>10400</v>
      </c>
      <c r="G619" s="3">
        <v>43295</v>
      </c>
      <c r="H619" s="4">
        <v>0.91625000000000001</v>
      </c>
      <c r="I619" s="3">
        <v>43296</v>
      </c>
      <c r="J619" s="4">
        <v>0.34108796296296001</v>
      </c>
      <c r="K619" s="2">
        <v>0</v>
      </c>
      <c r="L619" t="s">
        <v>5856</v>
      </c>
      <c r="M619" t="s">
        <v>6736</v>
      </c>
      <c r="N619" s="3">
        <v>43293</v>
      </c>
      <c r="O619" s="3">
        <v>43298</v>
      </c>
      <c r="P619" t="s">
        <v>5873</v>
      </c>
      <c r="Q619" t="s">
        <v>9391</v>
      </c>
      <c r="R619" t="s">
        <v>6036</v>
      </c>
      <c r="S619" s="3">
        <v>43293</v>
      </c>
      <c r="T619" t="s">
        <v>9938</v>
      </c>
      <c r="U619" t="s">
        <v>5900</v>
      </c>
      <c r="V619" t="s">
        <v>6046</v>
      </c>
      <c r="W619" t="s">
        <v>5914</v>
      </c>
      <c r="X619" s="2">
        <v>1020</v>
      </c>
      <c r="Y619" t="s">
        <v>5858</v>
      </c>
      <c r="Z619" t="s">
        <v>6037</v>
      </c>
      <c r="AA619" s="2">
        <v>10000</v>
      </c>
      <c r="AB619" t="s">
        <v>5863</v>
      </c>
      <c r="AC619" t="s">
        <v>9974</v>
      </c>
      <c r="AD619" s="32">
        <v>43280</v>
      </c>
      <c r="AI619" t="s">
        <v>9939</v>
      </c>
      <c r="AJ619" t="s">
        <v>9967</v>
      </c>
      <c r="AL619" t="s">
        <v>13988</v>
      </c>
    </row>
    <row r="620" spans="1:38">
      <c r="A620" t="s">
        <v>8059</v>
      </c>
      <c r="B620" t="s">
        <v>12006</v>
      </c>
      <c r="C620" t="s">
        <v>8064</v>
      </c>
      <c r="D620" t="s">
        <v>8065</v>
      </c>
      <c r="E620" s="2">
        <v>10000</v>
      </c>
      <c r="F620" s="2">
        <v>10000</v>
      </c>
      <c r="G620" s="3">
        <v>43296</v>
      </c>
      <c r="H620" s="4">
        <v>0.36192129629629999</v>
      </c>
      <c r="I620" s="3">
        <v>43296</v>
      </c>
      <c r="J620" s="4">
        <v>0.77041666666666997</v>
      </c>
      <c r="K620" s="2">
        <v>20</v>
      </c>
      <c r="L620" t="s">
        <v>5856</v>
      </c>
      <c r="M620" t="s">
        <v>7264</v>
      </c>
      <c r="N620" s="3">
        <v>43298</v>
      </c>
      <c r="O620" s="3">
        <v>43298</v>
      </c>
      <c r="P620" t="s">
        <v>5873</v>
      </c>
      <c r="Q620" t="s">
        <v>8081</v>
      </c>
      <c r="R620" t="s">
        <v>6036</v>
      </c>
      <c r="S620" s="3">
        <v>43298</v>
      </c>
      <c r="T620" t="s">
        <v>9938</v>
      </c>
      <c r="U620" t="s">
        <v>5906</v>
      </c>
      <c r="V620" t="s">
        <v>6046</v>
      </c>
      <c r="W620" t="s">
        <v>5857</v>
      </c>
      <c r="X620" s="2">
        <v>1020</v>
      </c>
      <c r="Y620" t="s">
        <v>5858</v>
      </c>
      <c r="Z620" t="s">
        <v>6037</v>
      </c>
      <c r="AA620" s="2">
        <v>10000</v>
      </c>
      <c r="AB620" t="s">
        <v>5863</v>
      </c>
      <c r="AC620" t="s">
        <v>9974</v>
      </c>
      <c r="AD620" s="32">
        <v>43270</v>
      </c>
      <c r="AJ620" t="s">
        <v>9967</v>
      </c>
      <c r="AL620" t="s">
        <v>10878</v>
      </c>
    </row>
    <row r="621" spans="1:38">
      <c r="A621" t="s">
        <v>8059</v>
      </c>
      <c r="B621" t="s">
        <v>12007</v>
      </c>
      <c r="C621" t="s">
        <v>6047</v>
      </c>
      <c r="D621" t="s">
        <v>5872</v>
      </c>
      <c r="E621" s="2">
        <v>10000</v>
      </c>
      <c r="F621" s="2">
        <v>10000</v>
      </c>
      <c r="G621" s="3">
        <v>43296</v>
      </c>
      <c r="H621" s="4">
        <v>0.79125000000000001</v>
      </c>
      <c r="I621" s="3">
        <v>43297</v>
      </c>
      <c r="J621" s="4">
        <v>0.19974537037036999</v>
      </c>
      <c r="K621" s="2">
        <v>0</v>
      </c>
      <c r="L621" t="s">
        <v>5856</v>
      </c>
      <c r="M621" t="s">
        <v>7264</v>
      </c>
      <c r="N621" s="3">
        <v>43299</v>
      </c>
      <c r="O621" s="3">
        <v>43299</v>
      </c>
      <c r="P621" t="s">
        <v>5873</v>
      </c>
      <c r="Q621" t="s">
        <v>8082</v>
      </c>
      <c r="R621" t="s">
        <v>6036</v>
      </c>
      <c r="S621" s="3">
        <v>43299</v>
      </c>
      <c r="T621" t="s">
        <v>9938</v>
      </c>
      <c r="U621" t="s">
        <v>5871</v>
      </c>
      <c r="V621" t="s">
        <v>6046</v>
      </c>
      <c r="W621" t="s">
        <v>5857</v>
      </c>
      <c r="X621" s="2">
        <v>1020</v>
      </c>
      <c r="Y621" t="s">
        <v>5858</v>
      </c>
      <c r="Z621" t="s">
        <v>6037</v>
      </c>
      <c r="AA621" s="2">
        <v>10000</v>
      </c>
      <c r="AB621" t="s">
        <v>5863</v>
      </c>
      <c r="AC621" t="s">
        <v>9974</v>
      </c>
      <c r="AD621" s="32">
        <v>43243</v>
      </c>
      <c r="AI621" t="s">
        <v>9939</v>
      </c>
      <c r="AJ621" t="s">
        <v>9967</v>
      </c>
      <c r="AL621" t="s">
        <v>10879</v>
      </c>
    </row>
    <row r="622" spans="1:38">
      <c r="A622" t="s">
        <v>8059</v>
      </c>
      <c r="B622" t="s">
        <v>12008</v>
      </c>
      <c r="C622" t="s">
        <v>8083</v>
      </c>
      <c r="D622" t="s">
        <v>8084</v>
      </c>
      <c r="E622" s="5">
        <v>20799.999</v>
      </c>
      <c r="F622" s="5">
        <v>20799.999</v>
      </c>
      <c r="G622" s="3">
        <v>43297</v>
      </c>
      <c r="H622" s="4">
        <v>0.2205787037037</v>
      </c>
      <c r="I622" s="3">
        <v>43298</v>
      </c>
      <c r="J622" s="4">
        <v>7.025462962963E-2</v>
      </c>
      <c r="K622" s="2">
        <v>0</v>
      </c>
      <c r="L622" t="s">
        <v>5856</v>
      </c>
      <c r="M622" t="s">
        <v>8063</v>
      </c>
      <c r="N622" s="3">
        <v>43300</v>
      </c>
      <c r="O622" s="3">
        <v>43300</v>
      </c>
      <c r="P622" t="s">
        <v>5960</v>
      </c>
      <c r="Q622" t="s">
        <v>8085</v>
      </c>
      <c r="R622" t="s">
        <v>6036</v>
      </c>
      <c r="S622" s="3">
        <v>43300</v>
      </c>
      <c r="T622" t="s">
        <v>9938</v>
      </c>
      <c r="U622" t="s">
        <v>7923</v>
      </c>
      <c r="V622" t="s">
        <v>8086</v>
      </c>
      <c r="W622" t="s">
        <v>5857</v>
      </c>
      <c r="X622" s="2">
        <v>1020</v>
      </c>
      <c r="Y622" t="s">
        <v>5858</v>
      </c>
      <c r="Z622" t="s">
        <v>6037</v>
      </c>
      <c r="AA622" s="2">
        <v>20000</v>
      </c>
      <c r="AB622" t="s">
        <v>5863</v>
      </c>
      <c r="AC622" t="s">
        <v>9976</v>
      </c>
      <c r="AD622" s="32">
        <v>43278</v>
      </c>
      <c r="AJ622" t="s">
        <v>9967</v>
      </c>
      <c r="AL622" t="s">
        <v>10880</v>
      </c>
    </row>
    <row r="623" spans="1:38">
      <c r="A623" t="s">
        <v>8059</v>
      </c>
      <c r="B623" t="s">
        <v>13174</v>
      </c>
      <c r="C623" t="s">
        <v>6061</v>
      </c>
      <c r="D623" t="s">
        <v>5908</v>
      </c>
      <c r="E623" s="5">
        <v>20799.999</v>
      </c>
      <c r="F623" s="5">
        <v>20799.999</v>
      </c>
      <c r="G623" s="3">
        <v>43298</v>
      </c>
      <c r="H623" s="4">
        <v>0.15031249999999999</v>
      </c>
      <c r="I623" s="3">
        <v>43298</v>
      </c>
      <c r="J623" s="4">
        <v>0.99998842592592996</v>
      </c>
      <c r="K623" s="2">
        <v>0</v>
      </c>
      <c r="L623" t="s">
        <v>5856</v>
      </c>
      <c r="M623" t="s">
        <v>8063</v>
      </c>
      <c r="N623" s="3">
        <v>43300</v>
      </c>
      <c r="O623" s="3">
        <v>43300</v>
      </c>
      <c r="P623" t="s">
        <v>5873</v>
      </c>
      <c r="Q623" t="s">
        <v>6038</v>
      </c>
      <c r="R623" t="s">
        <v>6040</v>
      </c>
      <c r="S623" s="3">
        <v>43288</v>
      </c>
      <c r="T623" t="s">
        <v>9938</v>
      </c>
      <c r="U623" t="s">
        <v>5865</v>
      </c>
      <c r="V623" t="s">
        <v>6046</v>
      </c>
      <c r="W623" t="s">
        <v>5857</v>
      </c>
      <c r="X623" s="2">
        <v>0</v>
      </c>
      <c r="Y623" t="s">
        <v>5858</v>
      </c>
      <c r="Z623" t="s">
        <v>6037</v>
      </c>
      <c r="AA623" s="2">
        <v>20000</v>
      </c>
      <c r="AB623" t="s">
        <v>5915</v>
      </c>
      <c r="AC623" t="s">
        <v>9975</v>
      </c>
      <c r="AD623" s="32"/>
      <c r="AI623" t="s">
        <v>9939</v>
      </c>
      <c r="AJ623" t="s">
        <v>9967</v>
      </c>
      <c r="AL623" t="s">
        <v>13989</v>
      </c>
    </row>
    <row r="624" spans="1:38">
      <c r="A624" t="s">
        <v>8059</v>
      </c>
      <c r="B624" t="s">
        <v>12009</v>
      </c>
      <c r="C624" t="s">
        <v>8087</v>
      </c>
      <c r="D624" t="s">
        <v>8088</v>
      </c>
      <c r="E624" s="2">
        <v>5000</v>
      </c>
      <c r="F624" s="2">
        <v>5000</v>
      </c>
      <c r="G624" s="3">
        <v>43301</v>
      </c>
      <c r="H624" s="4">
        <v>0.79575231481481001</v>
      </c>
      <c r="I624" s="3">
        <v>43302</v>
      </c>
      <c r="J624" s="4">
        <v>0</v>
      </c>
      <c r="K624" s="2">
        <v>0</v>
      </c>
      <c r="L624" t="s">
        <v>5856</v>
      </c>
      <c r="M624" t="s">
        <v>7277</v>
      </c>
      <c r="N624" s="3">
        <v>43304</v>
      </c>
      <c r="O624" s="3">
        <v>43303</v>
      </c>
      <c r="P624" t="s">
        <v>5862</v>
      </c>
      <c r="Q624" t="s">
        <v>8089</v>
      </c>
      <c r="R624" t="s">
        <v>6036</v>
      </c>
      <c r="S624" s="3">
        <v>43304</v>
      </c>
      <c r="T624" t="s">
        <v>9938</v>
      </c>
      <c r="U624" t="s">
        <v>8090</v>
      </c>
      <c r="V624" t="s">
        <v>8091</v>
      </c>
      <c r="W624" t="s">
        <v>5857</v>
      </c>
      <c r="X624" s="2">
        <v>1020</v>
      </c>
      <c r="Y624" t="s">
        <v>5858</v>
      </c>
      <c r="Z624" t="s">
        <v>6037</v>
      </c>
      <c r="AA624" s="2">
        <v>5000</v>
      </c>
      <c r="AB624" t="s">
        <v>5863</v>
      </c>
      <c r="AC624" t="s">
        <v>9978</v>
      </c>
      <c r="AD624" s="32">
        <v>43272</v>
      </c>
      <c r="AI624" t="s">
        <v>9954</v>
      </c>
      <c r="AJ624" t="s">
        <v>9958</v>
      </c>
      <c r="AL624" t="s">
        <v>10881</v>
      </c>
    </row>
    <row r="625" spans="1:38">
      <c r="A625" t="s">
        <v>8059</v>
      </c>
      <c r="B625" t="s">
        <v>12010</v>
      </c>
      <c r="C625" t="s">
        <v>6060</v>
      </c>
      <c r="D625" t="s">
        <v>5905</v>
      </c>
      <c r="E625" s="2">
        <v>5000</v>
      </c>
      <c r="F625" s="2">
        <v>5000</v>
      </c>
      <c r="G625" s="3">
        <v>43304</v>
      </c>
      <c r="H625" s="4">
        <v>0.82638888888888995</v>
      </c>
      <c r="I625" s="3">
        <v>43305</v>
      </c>
      <c r="J625" s="4">
        <v>3.063657407407E-2</v>
      </c>
      <c r="K625" s="2">
        <v>20</v>
      </c>
      <c r="L625" t="s">
        <v>5856</v>
      </c>
      <c r="M625" t="s">
        <v>7277</v>
      </c>
      <c r="N625" s="3">
        <v>43307</v>
      </c>
      <c r="O625" s="3">
        <v>43307</v>
      </c>
      <c r="P625" t="s">
        <v>5870</v>
      </c>
      <c r="Q625" t="s">
        <v>8092</v>
      </c>
      <c r="R625" t="s">
        <v>6036</v>
      </c>
      <c r="S625" s="3">
        <v>43307</v>
      </c>
      <c r="T625" t="s">
        <v>9938</v>
      </c>
      <c r="U625" t="s">
        <v>5906</v>
      </c>
      <c r="V625" t="s">
        <v>5907</v>
      </c>
      <c r="W625" t="s">
        <v>5857</v>
      </c>
      <c r="X625" s="2">
        <v>1020</v>
      </c>
      <c r="Y625" t="s">
        <v>5858</v>
      </c>
      <c r="Z625" t="s">
        <v>6037</v>
      </c>
      <c r="AA625" s="2">
        <v>5000</v>
      </c>
      <c r="AB625" t="s">
        <v>5863</v>
      </c>
      <c r="AC625" t="s">
        <v>9974</v>
      </c>
      <c r="AD625" s="32">
        <v>43186</v>
      </c>
      <c r="AJ625" t="s">
        <v>9967</v>
      </c>
      <c r="AL625" t="s">
        <v>10882</v>
      </c>
    </row>
    <row r="626" spans="1:38">
      <c r="A626" t="s">
        <v>8059</v>
      </c>
      <c r="B626" t="s">
        <v>13175</v>
      </c>
      <c r="C626" t="s">
        <v>6061</v>
      </c>
      <c r="D626" t="s">
        <v>5908</v>
      </c>
      <c r="E626" s="5">
        <v>20799.999</v>
      </c>
      <c r="F626" s="5">
        <v>20799.999</v>
      </c>
      <c r="G626" s="3">
        <v>43309</v>
      </c>
      <c r="H626" s="4">
        <v>0.15031249999999999</v>
      </c>
      <c r="I626" s="3">
        <v>43309</v>
      </c>
      <c r="J626" s="4">
        <v>0.99998842592592996</v>
      </c>
      <c r="K626" s="2">
        <v>0</v>
      </c>
      <c r="L626" t="s">
        <v>5856</v>
      </c>
      <c r="M626" t="s">
        <v>8063</v>
      </c>
      <c r="N626" s="3">
        <v>43311</v>
      </c>
      <c r="O626" s="3">
        <v>43311</v>
      </c>
      <c r="P626" t="s">
        <v>5873</v>
      </c>
      <c r="Q626" t="s">
        <v>6038</v>
      </c>
      <c r="R626" t="s">
        <v>6040</v>
      </c>
      <c r="S626" s="3">
        <v>43313</v>
      </c>
      <c r="T626" t="s">
        <v>9938</v>
      </c>
      <c r="U626" t="s">
        <v>5865</v>
      </c>
      <c r="V626" t="s">
        <v>6046</v>
      </c>
      <c r="W626" t="s">
        <v>5857</v>
      </c>
      <c r="X626" s="2">
        <v>0</v>
      </c>
      <c r="Y626" t="s">
        <v>5858</v>
      </c>
      <c r="Z626" t="s">
        <v>6037</v>
      </c>
      <c r="AA626" s="2">
        <v>20000</v>
      </c>
      <c r="AB626" t="s">
        <v>5915</v>
      </c>
      <c r="AC626" t="s">
        <v>9975</v>
      </c>
      <c r="AD626" s="32"/>
      <c r="AI626" t="s">
        <v>9939</v>
      </c>
      <c r="AJ626" t="s">
        <v>9967</v>
      </c>
      <c r="AL626" t="s">
        <v>13990</v>
      </c>
    </row>
    <row r="627" spans="1:38">
      <c r="A627" t="s">
        <v>8059</v>
      </c>
      <c r="B627" t="s">
        <v>12011</v>
      </c>
      <c r="C627" t="s">
        <v>8064</v>
      </c>
      <c r="D627" t="s">
        <v>8065</v>
      </c>
      <c r="E627" s="2">
        <v>5000</v>
      </c>
      <c r="F627" s="2">
        <v>5000</v>
      </c>
      <c r="G627" s="3">
        <v>43311</v>
      </c>
      <c r="H627" s="4">
        <v>0.79575231481481001</v>
      </c>
      <c r="I627" s="3">
        <v>43312</v>
      </c>
      <c r="J627" s="4">
        <v>0</v>
      </c>
      <c r="K627" s="2">
        <v>0</v>
      </c>
      <c r="L627" t="s">
        <v>5856</v>
      </c>
      <c r="M627" t="s">
        <v>7277</v>
      </c>
      <c r="N627" s="3">
        <v>43314</v>
      </c>
      <c r="O627" s="3">
        <v>43313</v>
      </c>
      <c r="P627" t="s">
        <v>5873</v>
      </c>
      <c r="Q627" t="s">
        <v>8093</v>
      </c>
      <c r="R627" t="s">
        <v>6036</v>
      </c>
      <c r="S627" s="3">
        <v>43314</v>
      </c>
      <c r="T627" t="s">
        <v>9938</v>
      </c>
      <c r="U627" t="s">
        <v>5906</v>
      </c>
      <c r="V627" t="s">
        <v>6046</v>
      </c>
      <c r="W627" t="s">
        <v>5857</v>
      </c>
      <c r="X627" s="2">
        <v>1020</v>
      </c>
      <c r="Y627" t="s">
        <v>5858</v>
      </c>
      <c r="Z627" t="s">
        <v>6037</v>
      </c>
      <c r="AA627" s="2">
        <v>5000</v>
      </c>
      <c r="AB627" t="s">
        <v>5863</v>
      </c>
      <c r="AC627" t="s">
        <v>9974</v>
      </c>
      <c r="AD627" s="32">
        <v>43257</v>
      </c>
      <c r="AJ627" t="s">
        <v>9967</v>
      </c>
      <c r="AL627" t="s">
        <v>10883</v>
      </c>
    </row>
    <row r="628" spans="1:38">
      <c r="A628" t="s">
        <v>8059</v>
      </c>
      <c r="B628" t="s">
        <v>12012</v>
      </c>
      <c r="C628" t="s">
        <v>8060</v>
      </c>
      <c r="D628" t="s">
        <v>8061</v>
      </c>
      <c r="E628" s="5">
        <v>20799.999</v>
      </c>
      <c r="F628" s="5">
        <v>20799.999</v>
      </c>
      <c r="G628" s="3">
        <v>43312</v>
      </c>
      <c r="H628" s="4">
        <v>0.15031249999999999</v>
      </c>
      <c r="I628" s="3">
        <v>43312</v>
      </c>
      <c r="J628" s="4">
        <v>0.99998842592592996</v>
      </c>
      <c r="K628" s="2">
        <v>0</v>
      </c>
      <c r="L628" t="s">
        <v>5856</v>
      </c>
      <c r="M628" t="s">
        <v>8063</v>
      </c>
      <c r="N628" s="3">
        <v>43314</v>
      </c>
      <c r="O628" s="3">
        <v>43314</v>
      </c>
      <c r="P628" t="s">
        <v>5967</v>
      </c>
      <c r="Q628" t="s">
        <v>6038</v>
      </c>
      <c r="R628" t="s">
        <v>6040</v>
      </c>
      <c r="S628" s="3">
        <v>43344</v>
      </c>
      <c r="T628" t="s">
        <v>9938</v>
      </c>
      <c r="U628" t="s">
        <v>8062</v>
      </c>
      <c r="V628" t="s">
        <v>7779</v>
      </c>
      <c r="W628" t="s">
        <v>7883</v>
      </c>
      <c r="X628" s="2">
        <v>0</v>
      </c>
      <c r="Y628" t="s">
        <v>5858</v>
      </c>
      <c r="Z628" t="s">
        <v>6037</v>
      </c>
      <c r="AA628" s="2">
        <v>20000</v>
      </c>
      <c r="AB628" t="s">
        <v>5915</v>
      </c>
      <c r="AC628" t="s">
        <v>9983</v>
      </c>
      <c r="AD628" s="32"/>
      <c r="AJ628" t="s">
        <v>9967</v>
      </c>
      <c r="AL628" t="s">
        <v>10884</v>
      </c>
    </row>
    <row r="629" spans="1:38">
      <c r="A629" t="s">
        <v>8059</v>
      </c>
      <c r="B629" t="s">
        <v>12013</v>
      </c>
      <c r="C629" t="s">
        <v>8094</v>
      </c>
      <c r="D629" t="s">
        <v>8095</v>
      </c>
      <c r="E629" s="2">
        <v>5200</v>
      </c>
      <c r="F629" s="2">
        <v>5200</v>
      </c>
      <c r="G629" s="3">
        <v>43312</v>
      </c>
      <c r="H629" s="4">
        <v>0.78758101851852003</v>
      </c>
      <c r="I629" s="3">
        <v>43313</v>
      </c>
      <c r="J629" s="4">
        <v>0</v>
      </c>
      <c r="K629" s="2">
        <v>20</v>
      </c>
      <c r="L629" t="s">
        <v>5856</v>
      </c>
      <c r="M629" t="s">
        <v>8096</v>
      </c>
      <c r="N629" s="3">
        <v>43315</v>
      </c>
      <c r="O629" s="3">
        <v>43314</v>
      </c>
      <c r="P629" t="s">
        <v>5992</v>
      </c>
      <c r="Q629" t="s">
        <v>8097</v>
      </c>
      <c r="R629" t="s">
        <v>6036</v>
      </c>
      <c r="S629" s="3">
        <v>43315</v>
      </c>
      <c r="T629" t="s">
        <v>9938</v>
      </c>
      <c r="U629" t="s">
        <v>6513</v>
      </c>
      <c r="V629" t="s">
        <v>8098</v>
      </c>
      <c r="W629" t="s">
        <v>5857</v>
      </c>
      <c r="X629" s="2">
        <v>1020</v>
      </c>
      <c r="Y629" t="s">
        <v>5858</v>
      </c>
      <c r="Z629" t="s">
        <v>6037</v>
      </c>
      <c r="AA629" s="2">
        <v>5000</v>
      </c>
      <c r="AB629" t="s">
        <v>5863</v>
      </c>
      <c r="AC629" t="s">
        <v>9974</v>
      </c>
      <c r="AD629" s="32">
        <v>43277</v>
      </c>
      <c r="AI629" t="s">
        <v>9943</v>
      </c>
      <c r="AJ629" t="s">
        <v>9959</v>
      </c>
      <c r="AL629" t="s">
        <v>10885</v>
      </c>
    </row>
    <row r="630" spans="1:38">
      <c r="A630" t="s">
        <v>8059</v>
      </c>
      <c r="B630" t="s">
        <v>12014</v>
      </c>
      <c r="C630" t="s">
        <v>6047</v>
      </c>
      <c r="D630" t="s">
        <v>5872</v>
      </c>
      <c r="E630" s="2">
        <v>10000</v>
      </c>
      <c r="F630" s="2">
        <v>10000</v>
      </c>
      <c r="G630" s="3">
        <v>43315</v>
      </c>
      <c r="H630" s="4">
        <v>0.59150462962963002</v>
      </c>
      <c r="I630" s="3">
        <v>43316</v>
      </c>
      <c r="J630" s="4">
        <v>0</v>
      </c>
      <c r="K630" s="2">
        <v>0</v>
      </c>
      <c r="L630" t="s">
        <v>5856</v>
      </c>
      <c r="M630" t="s">
        <v>7264</v>
      </c>
      <c r="N630" s="3">
        <v>43318</v>
      </c>
      <c r="O630" s="3">
        <v>43317</v>
      </c>
      <c r="P630" t="s">
        <v>5873</v>
      </c>
      <c r="Q630" t="s">
        <v>8099</v>
      </c>
      <c r="R630" t="s">
        <v>6036</v>
      </c>
      <c r="S630" s="3">
        <v>43318</v>
      </c>
      <c r="T630" t="s">
        <v>9938</v>
      </c>
      <c r="U630" t="s">
        <v>5871</v>
      </c>
      <c r="V630" t="s">
        <v>6046</v>
      </c>
      <c r="W630" t="s">
        <v>5857</v>
      </c>
      <c r="X630" s="2">
        <v>1020</v>
      </c>
      <c r="Y630" t="s">
        <v>5858</v>
      </c>
      <c r="Z630" t="s">
        <v>6037</v>
      </c>
      <c r="AA630" s="2">
        <v>10000</v>
      </c>
      <c r="AB630" t="s">
        <v>5863</v>
      </c>
      <c r="AC630" t="s">
        <v>9974</v>
      </c>
      <c r="AD630" s="32">
        <v>43262</v>
      </c>
      <c r="AI630" t="s">
        <v>9939</v>
      </c>
      <c r="AJ630" t="s">
        <v>9967</v>
      </c>
      <c r="AL630" t="s">
        <v>10886</v>
      </c>
    </row>
    <row r="631" spans="1:38">
      <c r="A631" t="s">
        <v>8059</v>
      </c>
      <c r="B631" t="s">
        <v>12015</v>
      </c>
      <c r="C631" t="s">
        <v>6047</v>
      </c>
      <c r="D631" t="s">
        <v>5872</v>
      </c>
      <c r="E631" s="2">
        <v>5000</v>
      </c>
      <c r="F631" s="2">
        <v>5000</v>
      </c>
      <c r="G631" s="3">
        <v>43322</v>
      </c>
      <c r="H631" s="4">
        <v>0.79575231481481001</v>
      </c>
      <c r="I631" s="3">
        <v>43323</v>
      </c>
      <c r="J631" s="4">
        <v>0</v>
      </c>
      <c r="K631" s="2">
        <v>0</v>
      </c>
      <c r="L631" t="s">
        <v>5856</v>
      </c>
      <c r="M631" t="s">
        <v>7277</v>
      </c>
      <c r="N631" s="3">
        <v>43325</v>
      </c>
      <c r="O631" s="3">
        <v>43324</v>
      </c>
      <c r="P631" t="s">
        <v>5873</v>
      </c>
      <c r="Q631" t="s">
        <v>8100</v>
      </c>
      <c r="R631" t="s">
        <v>6036</v>
      </c>
      <c r="S631" s="3">
        <v>43325</v>
      </c>
      <c r="T631" t="s">
        <v>9938</v>
      </c>
      <c r="U631" t="s">
        <v>5871</v>
      </c>
      <c r="V631" t="s">
        <v>6046</v>
      </c>
      <c r="W631" t="s">
        <v>5857</v>
      </c>
      <c r="X631" s="2">
        <v>1020</v>
      </c>
      <c r="Y631" t="s">
        <v>5858</v>
      </c>
      <c r="Z631" t="s">
        <v>6037</v>
      </c>
      <c r="AA631" s="2">
        <v>5000</v>
      </c>
      <c r="AB631" t="s">
        <v>5863</v>
      </c>
      <c r="AC631" t="s">
        <v>9974</v>
      </c>
      <c r="AD631" s="32"/>
      <c r="AI631" t="s">
        <v>9939</v>
      </c>
      <c r="AJ631" t="s">
        <v>9967</v>
      </c>
      <c r="AL631" t="s">
        <v>10888</v>
      </c>
    </row>
    <row r="632" spans="1:38">
      <c r="A632" t="s">
        <v>8101</v>
      </c>
      <c r="B632" t="s">
        <v>12016</v>
      </c>
      <c r="C632" t="s">
        <v>8111</v>
      </c>
      <c r="D632" t="s">
        <v>8112</v>
      </c>
      <c r="E632" s="2">
        <v>1000</v>
      </c>
      <c r="F632" s="2">
        <v>21000</v>
      </c>
      <c r="G632" s="3">
        <v>43281</v>
      </c>
      <c r="H632" s="4">
        <v>4.1666666666670002E-2</v>
      </c>
      <c r="I632" s="3">
        <v>43281</v>
      </c>
      <c r="J632" s="4">
        <v>0.89951388888888995</v>
      </c>
      <c r="K632" s="2">
        <v>0</v>
      </c>
      <c r="L632" t="s">
        <v>5856</v>
      </c>
      <c r="M632" t="s">
        <v>8070</v>
      </c>
      <c r="N632" s="3"/>
      <c r="O632" s="3">
        <v>43283</v>
      </c>
      <c r="P632" t="s">
        <v>5996</v>
      </c>
      <c r="Q632" t="s">
        <v>8124</v>
      </c>
      <c r="R632" t="s">
        <v>6036</v>
      </c>
      <c r="S632" s="3">
        <v>43293</v>
      </c>
      <c r="T632" t="s">
        <v>9938</v>
      </c>
      <c r="U632" t="s">
        <v>7830</v>
      </c>
      <c r="V632" t="s">
        <v>5860</v>
      </c>
      <c r="W632" t="s">
        <v>5857</v>
      </c>
      <c r="X632" s="2">
        <v>1020</v>
      </c>
      <c r="Y632" t="s">
        <v>5858</v>
      </c>
      <c r="Z632" t="s">
        <v>6037</v>
      </c>
      <c r="AA632" s="2">
        <v>1000</v>
      </c>
      <c r="AB632" t="s">
        <v>5859</v>
      </c>
      <c r="AC632" t="s">
        <v>9984</v>
      </c>
      <c r="AD632" s="32">
        <v>43242</v>
      </c>
      <c r="AI632" t="s">
        <v>9939</v>
      </c>
      <c r="AJ632" t="s">
        <v>9967</v>
      </c>
      <c r="AL632" t="s">
        <v>10889</v>
      </c>
    </row>
    <row r="633" spans="1:38">
      <c r="A633" t="s">
        <v>8101</v>
      </c>
      <c r="B633" t="s">
        <v>12023</v>
      </c>
      <c r="C633" t="s">
        <v>8111</v>
      </c>
      <c r="D633" t="s">
        <v>8112</v>
      </c>
      <c r="E633" s="2">
        <v>21000</v>
      </c>
      <c r="F633" s="2">
        <v>21000</v>
      </c>
      <c r="G633" s="3">
        <v>43285</v>
      </c>
      <c r="H633" s="4">
        <v>2.0833333333330002E-2</v>
      </c>
      <c r="I633" s="3">
        <v>43285</v>
      </c>
      <c r="J633" s="4">
        <v>0.87868055555556002</v>
      </c>
      <c r="K633" s="2">
        <v>0</v>
      </c>
      <c r="L633" t="s">
        <v>5856</v>
      </c>
      <c r="M633" t="s">
        <v>8070</v>
      </c>
      <c r="N633" s="3"/>
      <c r="O633" s="3">
        <v>43287</v>
      </c>
      <c r="P633" t="s">
        <v>5996</v>
      </c>
      <c r="Q633" t="s">
        <v>8124</v>
      </c>
      <c r="R633" t="s">
        <v>6036</v>
      </c>
      <c r="S633" s="3">
        <v>43293</v>
      </c>
      <c r="T633" t="s">
        <v>9938</v>
      </c>
      <c r="U633" t="s">
        <v>7830</v>
      </c>
      <c r="V633" t="s">
        <v>5860</v>
      </c>
      <c r="W633" t="s">
        <v>5857</v>
      </c>
      <c r="X633" s="2">
        <v>1020</v>
      </c>
      <c r="Y633" t="s">
        <v>5858</v>
      </c>
      <c r="Z633" t="s">
        <v>6037</v>
      </c>
      <c r="AA633" s="2">
        <v>21000</v>
      </c>
      <c r="AB633" t="s">
        <v>5859</v>
      </c>
      <c r="AC633" t="s">
        <v>9984</v>
      </c>
      <c r="AD633" s="32">
        <v>43256</v>
      </c>
      <c r="AI633" t="s">
        <v>9939</v>
      </c>
      <c r="AJ633" t="s">
        <v>9967</v>
      </c>
      <c r="AL633" t="s">
        <v>10894</v>
      </c>
    </row>
    <row r="634" spans="1:38">
      <c r="A634" t="s">
        <v>8101</v>
      </c>
      <c r="B634" t="s">
        <v>12027</v>
      </c>
      <c r="C634" t="s">
        <v>8111</v>
      </c>
      <c r="D634" t="s">
        <v>8112</v>
      </c>
      <c r="E634" s="2">
        <v>21000</v>
      </c>
      <c r="F634" s="2">
        <v>21000</v>
      </c>
      <c r="G634" s="3">
        <v>43285</v>
      </c>
      <c r="H634" s="4">
        <v>0.91217592592593</v>
      </c>
      <c r="I634" s="3">
        <v>43286</v>
      </c>
      <c r="J634" s="4">
        <v>0.77002314814814998</v>
      </c>
      <c r="K634" s="2">
        <v>0</v>
      </c>
      <c r="L634" t="s">
        <v>5856</v>
      </c>
      <c r="M634" t="s">
        <v>8070</v>
      </c>
      <c r="N634" s="3"/>
      <c r="O634" s="3">
        <v>43288</v>
      </c>
      <c r="P634" t="s">
        <v>5996</v>
      </c>
      <c r="Q634" t="s">
        <v>8135</v>
      </c>
      <c r="R634" t="s">
        <v>6036</v>
      </c>
      <c r="S634" s="3">
        <v>43297</v>
      </c>
      <c r="T634" t="s">
        <v>9938</v>
      </c>
      <c r="U634" t="s">
        <v>7830</v>
      </c>
      <c r="V634" t="s">
        <v>5860</v>
      </c>
      <c r="W634" t="s">
        <v>5857</v>
      </c>
      <c r="X634" s="2">
        <v>1020</v>
      </c>
      <c r="Y634" t="s">
        <v>5858</v>
      </c>
      <c r="Z634" t="s">
        <v>6037</v>
      </c>
      <c r="AA634" s="2">
        <v>21000</v>
      </c>
      <c r="AB634" t="s">
        <v>5859</v>
      </c>
      <c r="AC634" t="s">
        <v>9984</v>
      </c>
      <c r="AD634" s="32">
        <v>43242</v>
      </c>
      <c r="AI634" t="s">
        <v>9939</v>
      </c>
      <c r="AJ634" t="s">
        <v>9967</v>
      </c>
      <c r="AL634" t="s">
        <v>10896</v>
      </c>
    </row>
    <row r="635" spans="1:38">
      <c r="A635" t="s">
        <v>8101</v>
      </c>
      <c r="B635" t="s">
        <v>12018</v>
      </c>
      <c r="C635" t="s">
        <v>8111</v>
      </c>
      <c r="D635" t="s">
        <v>8112</v>
      </c>
      <c r="E635" s="2">
        <v>3700</v>
      </c>
      <c r="F635" s="2">
        <v>21000</v>
      </c>
      <c r="G635" s="3">
        <v>43286</v>
      </c>
      <c r="H635" s="4">
        <v>0.89134259259258997</v>
      </c>
      <c r="I635" s="3">
        <v>43287</v>
      </c>
      <c r="J635" s="4">
        <v>0.74918981481480995</v>
      </c>
      <c r="K635" s="2">
        <v>0</v>
      </c>
      <c r="L635" t="s">
        <v>5856</v>
      </c>
      <c r="M635" t="s">
        <v>8070</v>
      </c>
      <c r="N635" s="3"/>
      <c r="O635" s="3">
        <v>43289</v>
      </c>
      <c r="P635" t="s">
        <v>5996</v>
      </c>
      <c r="Q635" t="s">
        <v>13176</v>
      </c>
      <c r="R635" t="s">
        <v>6036</v>
      </c>
      <c r="S635" s="3">
        <v>43305</v>
      </c>
      <c r="T635" t="s">
        <v>9938</v>
      </c>
      <c r="U635" t="s">
        <v>7830</v>
      </c>
      <c r="V635" t="s">
        <v>5860</v>
      </c>
      <c r="W635" t="s">
        <v>5857</v>
      </c>
      <c r="X635" s="2">
        <v>1020</v>
      </c>
      <c r="Y635" t="s">
        <v>5858</v>
      </c>
      <c r="Z635" t="s">
        <v>6037</v>
      </c>
      <c r="AA635" s="2">
        <v>3700</v>
      </c>
      <c r="AB635" t="s">
        <v>5859</v>
      </c>
      <c r="AC635" t="s">
        <v>9984</v>
      </c>
      <c r="AD635" s="32">
        <v>43251</v>
      </c>
      <c r="AI635" t="s">
        <v>9939</v>
      </c>
      <c r="AJ635" t="s">
        <v>9967</v>
      </c>
      <c r="AL635" t="s">
        <v>10891</v>
      </c>
    </row>
    <row r="636" spans="1:38">
      <c r="A636" t="s">
        <v>8101</v>
      </c>
      <c r="B636" t="s">
        <v>12019</v>
      </c>
      <c r="C636" t="s">
        <v>8111</v>
      </c>
      <c r="D636" t="s">
        <v>8112</v>
      </c>
      <c r="E636" s="2">
        <v>21000</v>
      </c>
      <c r="F636" s="2">
        <v>21000</v>
      </c>
      <c r="G636" s="3">
        <v>43287</v>
      </c>
      <c r="H636" s="4">
        <v>0.77819444444443997</v>
      </c>
      <c r="I636" s="3">
        <v>43288</v>
      </c>
      <c r="J636" s="4">
        <v>0.63604166666666995</v>
      </c>
      <c r="K636" s="2">
        <v>0</v>
      </c>
      <c r="L636" t="s">
        <v>5856</v>
      </c>
      <c r="M636" t="s">
        <v>8070</v>
      </c>
      <c r="N636" s="3"/>
      <c r="O636" s="3">
        <v>43290</v>
      </c>
      <c r="P636" t="s">
        <v>5996</v>
      </c>
      <c r="Q636" t="s">
        <v>13176</v>
      </c>
      <c r="R636" t="s">
        <v>6036</v>
      </c>
      <c r="S636" s="3">
        <v>43305</v>
      </c>
      <c r="T636" t="s">
        <v>9938</v>
      </c>
      <c r="U636" t="s">
        <v>7830</v>
      </c>
      <c r="V636" t="s">
        <v>5860</v>
      </c>
      <c r="W636" t="s">
        <v>5857</v>
      </c>
      <c r="X636" s="2">
        <v>1020</v>
      </c>
      <c r="Y636" t="s">
        <v>5858</v>
      </c>
      <c r="Z636" t="s">
        <v>6037</v>
      </c>
      <c r="AA636" s="2">
        <v>21000</v>
      </c>
      <c r="AB636" t="s">
        <v>5859</v>
      </c>
      <c r="AC636" t="s">
        <v>9984</v>
      </c>
      <c r="AD636" s="32">
        <v>43256</v>
      </c>
      <c r="AI636" t="s">
        <v>9939</v>
      </c>
      <c r="AJ636" t="s">
        <v>9967</v>
      </c>
      <c r="AL636" t="s">
        <v>10892</v>
      </c>
    </row>
    <row r="637" spans="1:38">
      <c r="A637" t="s">
        <v>8101</v>
      </c>
      <c r="B637" t="s">
        <v>13177</v>
      </c>
      <c r="C637" t="s">
        <v>6085</v>
      </c>
      <c r="D637" t="s">
        <v>5997</v>
      </c>
      <c r="E637" s="2">
        <v>20000</v>
      </c>
      <c r="F637" s="2">
        <v>20000</v>
      </c>
      <c r="G637" s="3">
        <v>43289</v>
      </c>
      <c r="H637" s="4">
        <v>0.18299768518519</v>
      </c>
      <c r="I637" s="3">
        <v>43289</v>
      </c>
      <c r="J637" s="4">
        <v>0.99998842592592996</v>
      </c>
      <c r="K637" s="2">
        <v>0</v>
      </c>
      <c r="L637" t="s">
        <v>5856</v>
      </c>
      <c r="M637" t="s">
        <v>8072</v>
      </c>
      <c r="N637" s="3">
        <v>43300</v>
      </c>
      <c r="O637" s="3">
        <v>43291</v>
      </c>
      <c r="P637" t="s">
        <v>5864</v>
      </c>
      <c r="Q637" t="s">
        <v>8134</v>
      </c>
      <c r="R637" t="s">
        <v>6084</v>
      </c>
      <c r="S637" s="3">
        <v>43297</v>
      </c>
      <c r="T637" t="s">
        <v>9938</v>
      </c>
      <c r="U637" t="s">
        <v>5906</v>
      </c>
      <c r="V637" t="s">
        <v>6057</v>
      </c>
      <c r="W637" t="s">
        <v>5857</v>
      </c>
      <c r="X637" s="2">
        <v>1020</v>
      </c>
      <c r="Y637" t="s">
        <v>5858</v>
      </c>
      <c r="Z637" t="s">
        <v>6037</v>
      </c>
      <c r="AA637" s="2">
        <v>20000</v>
      </c>
      <c r="AB637" t="s">
        <v>5863</v>
      </c>
      <c r="AC637" t="s">
        <v>9975</v>
      </c>
      <c r="AD637" s="32">
        <v>43280</v>
      </c>
      <c r="AJ637" t="s">
        <v>9967</v>
      </c>
      <c r="AL637" t="s">
        <v>13991</v>
      </c>
    </row>
    <row r="638" spans="1:38">
      <c r="A638" t="s">
        <v>8101</v>
      </c>
      <c r="B638" t="s">
        <v>12024</v>
      </c>
      <c r="C638" t="s">
        <v>8125</v>
      </c>
      <c r="D638" t="s">
        <v>8126</v>
      </c>
      <c r="E638" s="2">
        <v>5000</v>
      </c>
      <c r="F638" s="2">
        <v>5000</v>
      </c>
      <c r="G638" s="3">
        <v>43289</v>
      </c>
      <c r="H638" s="4">
        <v>0.79575231481481001</v>
      </c>
      <c r="I638" s="3">
        <v>43290</v>
      </c>
      <c r="J638" s="4">
        <v>0</v>
      </c>
      <c r="K638" s="2">
        <v>20</v>
      </c>
      <c r="L638" t="s">
        <v>5856</v>
      </c>
      <c r="M638" t="s">
        <v>7277</v>
      </c>
      <c r="N638" s="3">
        <v>43297</v>
      </c>
      <c r="O638" s="3">
        <v>43291</v>
      </c>
      <c r="P638" t="s">
        <v>5881</v>
      </c>
      <c r="Q638" t="s">
        <v>8127</v>
      </c>
      <c r="R638" t="s">
        <v>6036</v>
      </c>
      <c r="S638" s="3">
        <v>43297</v>
      </c>
      <c r="T638" t="s">
        <v>9938</v>
      </c>
      <c r="U638" t="s">
        <v>6555</v>
      </c>
      <c r="V638" t="s">
        <v>8128</v>
      </c>
      <c r="W638" t="s">
        <v>5857</v>
      </c>
      <c r="X638" s="2">
        <v>1020</v>
      </c>
      <c r="Y638" t="s">
        <v>5858</v>
      </c>
      <c r="Z638" t="s">
        <v>6037</v>
      </c>
      <c r="AA638" s="2">
        <v>5000</v>
      </c>
      <c r="AB638" t="s">
        <v>5863</v>
      </c>
      <c r="AC638" t="s">
        <v>9978</v>
      </c>
      <c r="AD638" s="32">
        <v>43264</v>
      </c>
      <c r="AJ638" t="s">
        <v>9958</v>
      </c>
      <c r="AL638" t="s">
        <v>10895</v>
      </c>
    </row>
    <row r="639" spans="1:38">
      <c r="A639" t="s">
        <v>8101</v>
      </c>
      <c r="B639" t="s">
        <v>13178</v>
      </c>
      <c r="C639" t="s">
        <v>6085</v>
      </c>
      <c r="D639" t="s">
        <v>5997</v>
      </c>
      <c r="E639" s="2">
        <v>20000</v>
      </c>
      <c r="F639" s="2">
        <v>20000</v>
      </c>
      <c r="G639" s="3">
        <v>43290</v>
      </c>
      <c r="H639" s="4">
        <v>0.18299768518519</v>
      </c>
      <c r="I639" s="3">
        <v>43290</v>
      </c>
      <c r="J639" s="4">
        <v>0.99998842592592996</v>
      </c>
      <c r="K639" s="2">
        <v>0</v>
      </c>
      <c r="L639" t="s">
        <v>5856</v>
      </c>
      <c r="M639" t="s">
        <v>8072</v>
      </c>
      <c r="N639" s="3">
        <v>43292</v>
      </c>
      <c r="O639" s="3">
        <v>43292</v>
      </c>
      <c r="P639" t="s">
        <v>5864</v>
      </c>
      <c r="Q639" t="s">
        <v>8136</v>
      </c>
      <c r="R639" t="s">
        <v>6042</v>
      </c>
      <c r="S639" s="3">
        <v>43301</v>
      </c>
      <c r="T639" t="s">
        <v>9938</v>
      </c>
      <c r="U639" t="s">
        <v>5906</v>
      </c>
      <c r="V639" t="s">
        <v>6057</v>
      </c>
      <c r="W639" t="s">
        <v>5857</v>
      </c>
      <c r="X639" s="2">
        <v>1020</v>
      </c>
      <c r="Y639" t="s">
        <v>5858</v>
      </c>
      <c r="Z639" t="s">
        <v>6037</v>
      </c>
      <c r="AA639" s="2">
        <v>20000</v>
      </c>
      <c r="AB639" t="s">
        <v>5863</v>
      </c>
      <c r="AC639" t="s">
        <v>9975</v>
      </c>
      <c r="AD639" s="32">
        <v>43280</v>
      </c>
      <c r="AJ639" t="s">
        <v>9967</v>
      </c>
      <c r="AL639" t="s">
        <v>13992</v>
      </c>
    </row>
    <row r="640" spans="1:38">
      <c r="A640" t="s">
        <v>8101</v>
      </c>
      <c r="B640" t="s">
        <v>12022</v>
      </c>
      <c r="C640" t="s">
        <v>8120</v>
      </c>
      <c r="D640" t="s">
        <v>8121</v>
      </c>
      <c r="E640" s="2">
        <v>10000</v>
      </c>
      <c r="F640" s="2">
        <v>10000</v>
      </c>
      <c r="G640" s="3">
        <v>43294</v>
      </c>
      <c r="H640" s="4">
        <v>0.99998842592592996</v>
      </c>
      <c r="I640" s="3">
        <v>43295</v>
      </c>
      <c r="J640" s="4">
        <v>0.40848379629629999</v>
      </c>
      <c r="K640" s="2">
        <v>20</v>
      </c>
      <c r="L640" t="s">
        <v>5856</v>
      </c>
      <c r="M640" t="s">
        <v>7264</v>
      </c>
      <c r="N640" s="3">
        <v>43297</v>
      </c>
      <c r="O640" s="3">
        <v>43295</v>
      </c>
      <c r="P640" t="s">
        <v>5996</v>
      </c>
      <c r="Q640" t="s">
        <v>8122</v>
      </c>
      <c r="R640" t="s">
        <v>6036</v>
      </c>
      <c r="S640" s="3">
        <v>43297</v>
      </c>
      <c r="T640" t="s">
        <v>9938</v>
      </c>
      <c r="U640" t="s">
        <v>8123</v>
      </c>
      <c r="V640" t="s">
        <v>6066</v>
      </c>
      <c r="W640" t="s">
        <v>5857</v>
      </c>
      <c r="X640" s="2">
        <v>1020</v>
      </c>
      <c r="Y640" t="s">
        <v>5858</v>
      </c>
      <c r="Z640" t="s">
        <v>6037</v>
      </c>
      <c r="AA640" s="2">
        <v>10000</v>
      </c>
      <c r="AB640" t="s">
        <v>5863</v>
      </c>
      <c r="AC640" t="s">
        <v>9982</v>
      </c>
      <c r="AD640" s="32">
        <v>43244</v>
      </c>
      <c r="AI640" t="s">
        <v>9939</v>
      </c>
      <c r="AJ640" t="s">
        <v>9967</v>
      </c>
      <c r="AL640" t="s">
        <v>10893</v>
      </c>
    </row>
    <row r="641" spans="1:38">
      <c r="A641" t="s">
        <v>8101</v>
      </c>
      <c r="B641" t="s">
        <v>13179</v>
      </c>
      <c r="C641" t="s">
        <v>6085</v>
      </c>
      <c r="D641" t="s">
        <v>5997</v>
      </c>
      <c r="E641" s="2">
        <v>20000</v>
      </c>
      <c r="F641" s="2">
        <v>20000</v>
      </c>
      <c r="G641" s="3">
        <v>43294</v>
      </c>
      <c r="H641" s="4">
        <v>0.99998842592592996</v>
      </c>
      <c r="I641" s="3">
        <v>43295</v>
      </c>
      <c r="J641" s="4">
        <v>0.81697916666667003</v>
      </c>
      <c r="K641" s="2">
        <v>0</v>
      </c>
      <c r="L641" t="s">
        <v>5856</v>
      </c>
      <c r="M641" t="s">
        <v>8072</v>
      </c>
      <c r="N641" s="3">
        <v>43293</v>
      </c>
      <c r="O641" s="3">
        <v>43297</v>
      </c>
      <c r="P641" t="s">
        <v>5864</v>
      </c>
      <c r="Q641" t="s">
        <v>6038</v>
      </c>
      <c r="R641" t="s">
        <v>6040</v>
      </c>
      <c r="S641" s="3">
        <v>43313</v>
      </c>
      <c r="T641" t="s">
        <v>9938</v>
      </c>
      <c r="U641" t="s">
        <v>5906</v>
      </c>
      <c r="V641" t="s">
        <v>6057</v>
      </c>
      <c r="W641" t="s">
        <v>5857</v>
      </c>
      <c r="X641" s="2">
        <v>1020</v>
      </c>
      <c r="Y641" t="s">
        <v>5858</v>
      </c>
      <c r="Z641" t="s">
        <v>6037</v>
      </c>
      <c r="AA641" s="2">
        <v>20000</v>
      </c>
      <c r="AB641" t="s">
        <v>5863</v>
      </c>
      <c r="AC641" t="s">
        <v>9975</v>
      </c>
      <c r="AD641" s="32">
        <v>43280</v>
      </c>
      <c r="AJ641" t="s">
        <v>9967</v>
      </c>
      <c r="AL641" t="s">
        <v>13993</v>
      </c>
    </row>
    <row r="642" spans="1:38">
      <c r="A642" t="s">
        <v>8101</v>
      </c>
      <c r="B642" t="s">
        <v>12017</v>
      </c>
      <c r="C642" t="s">
        <v>8113</v>
      </c>
      <c r="D642" t="s">
        <v>8114</v>
      </c>
      <c r="E642" s="2">
        <v>10400</v>
      </c>
      <c r="F642" s="2">
        <v>10400</v>
      </c>
      <c r="G642" s="3">
        <v>43295</v>
      </c>
      <c r="H642" s="4">
        <v>2.0833333333330002E-2</v>
      </c>
      <c r="I642" s="3">
        <v>43295</v>
      </c>
      <c r="J642" s="4">
        <v>0.44567129629629998</v>
      </c>
      <c r="K642" s="2">
        <v>0</v>
      </c>
      <c r="L642" t="s">
        <v>5856</v>
      </c>
      <c r="M642" t="s">
        <v>6736</v>
      </c>
      <c r="N642" s="3">
        <v>43279</v>
      </c>
      <c r="O642" s="3">
        <v>43297</v>
      </c>
      <c r="P642" t="s">
        <v>6026</v>
      </c>
      <c r="Q642" t="s">
        <v>13180</v>
      </c>
      <c r="R642" t="s">
        <v>6036</v>
      </c>
      <c r="S642" s="3">
        <v>43292</v>
      </c>
      <c r="T642" t="s">
        <v>9938</v>
      </c>
      <c r="U642" t="s">
        <v>7923</v>
      </c>
      <c r="V642" t="s">
        <v>8115</v>
      </c>
      <c r="W642" t="s">
        <v>5857</v>
      </c>
      <c r="X642" s="2">
        <v>1020</v>
      </c>
      <c r="Y642" t="s">
        <v>5858</v>
      </c>
      <c r="Z642" t="s">
        <v>6037</v>
      </c>
      <c r="AA642" s="2">
        <v>10000</v>
      </c>
      <c r="AB642" t="s">
        <v>5859</v>
      </c>
      <c r="AC642" t="s">
        <v>9980</v>
      </c>
      <c r="AD642" s="32">
        <v>43272</v>
      </c>
      <c r="AJ642" t="s">
        <v>9967</v>
      </c>
      <c r="AL642" t="s">
        <v>10890</v>
      </c>
    </row>
    <row r="643" spans="1:38">
      <c r="A643" t="s">
        <v>8101</v>
      </c>
      <c r="B643" t="s">
        <v>12028</v>
      </c>
      <c r="C643" t="s">
        <v>8105</v>
      </c>
      <c r="D643" t="s">
        <v>8106</v>
      </c>
      <c r="E643" s="2">
        <v>10400</v>
      </c>
      <c r="F643" s="2">
        <v>10400</v>
      </c>
      <c r="G643" s="3">
        <v>43297</v>
      </c>
      <c r="H643" s="4">
        <v>0.73732638888889002</v>
      </c>
      <c r="I643" s="3">
        <v>43298</v>
      </c>
      <c r="J643" s="4">
        <v>0.16216435185184999</v>
      </c>
      <c r="K643" s="2">
        <v>0</v>
      </c>
      <c r="L643" t="s">
        <v>5856</v>
      </c>
      <c r="M643" t="s">
        <v>6736</v>
      </c>
      <c r="N643" s="3">
        <v>43300</v>
      </c>
      <c r="O643" s="3">
        <v>43300</v>
      </c>
      <c r="P643" t="s">
        <v>6026</v>
      </c>
      <c r="Q643" t="s">
        <v>6038</v>
      </c>
      <c r="R643" t="s">
        <v>6040</v>
      </c>
      <c r="S643" s="3">
        <v>43288</v>
      </c>
      <c r="T643" t="s">
        <v>9938</v>
      </c>
      <c r="U643" t="s">
        <v>7823</v>
      </c>
      <c r="V643" t="s">
        <v>6057</v>
      </c>
      <c r="W643" t="s">
        <v>5857</v>
      </c>
      <c r="X643" s="2">
        <v>0</v>
      </c>
      <c r="Y643" t="s">
        <v>5858</v>
      </c>
      <c r="Z643" t="s">
        <v>6037</v>
      </c>
      <c r="AA643" s="2">
        <v>10000</v>
      </c>
      <c r="AB643" t="s">
        <v>5861</v>
      </c>
      <c r="AC643" t="s">
        <v>9980</v>
      </c>
      <c r="AD643" s="32"/>
      <c r="AJ643" t="s">
        <v>9967</v>
      </c>
      <c r="AL643" t="s">
        <v>10897</v>
      </c>
    </row>
    <row r="644" spans="1:38">
      <c r="A644" t="s">
        <v>8101</v>
      </c>
      <c r="B644" t="s">
        <v>12029</v>
      </c>
      <c r="C644" t="s">
        <v>8111</v>
      </c>
      <c r="D644" t="s">
        <v>8112</v>
      </c>
      <c r="E644" s="2">
        <v>20000</v>
      </c>
      <c r="F644" s="2">
        <v>20000</v>
      </c>
      <c r="G644" s="3">
        <v>43298</v>
      </c>
      <c r="H644" s="4">
        <v>0.18299768518519</v>
      </c>
      <c r="I644" s="3">
        <v>43298</v>
      </c>
      <c r="J644" s="4">
        <v>0.99998842592592996</v>
      </c>
      <c r="K644" s="2">
        <v>0</v>
      </c>
      <c r="L644" t="s">
        <v>5856</v>
      </c>
      <c r="M644" t="s">
        <v>8072</v>
      </c>
      <c r="N644" s="3">
        <v>43300</v>
      </c>
      <c r="O644" s="3">
        <v>43300</v>
      </c>
      <c r="P644" t="s">
        <v>5996</v>
      </c>
      <c r="Q644" t="s">
        <v>6038</v>
      </c>
      <c r="R644" t="s">
        <v>6040</v>
      </c>
      <c r="S644" s="3">
        <v>43313</v>
      </c>
      <c r="T644" t="s">
        <v>9938</v>
      </c>
      <c r="U644" t="s">
        <v>7830</v>
      </c>
      <c r="V644" t="s">
        <v>5860</v>
      </c>
      <c r="W644" t="s">
        <v>5857</v>
      </c>
      <c r="X644" s="2">
        <v>0</v>
      </c>
      <c r="Y644" t="s">
        <v>5858</v>
      </c>
      <c r="Z644" t="s">
        <v>6037</v>
      </c>
      <c r="AA644" s="2">
        <v>20000</v>
      </c>
      <c r="AB644" t="s">
        <v>5915</v>
      </c>
      <c r="AC644" t="s">
        <v>9984</v>
      </c>
      <c r="AD644" s="32"/>
      <c r="AI644" t="s">
        <v>9939</v>
      </c>
      <c r="AJ644" t="s">
        <v>9967</v>
      </c>
      <c r="AL644" t="s">
        <v>10898</v>
      </c>
    </row>
    <row r="645" spans="1:38">
      <c r="A645" t="s">
        <v>8101</v>
      </c>
      <c r="B645" t="s">
        <v>12030</v>
      </c>
      <c r="C645" t="s">
        <v>6097</v>
      </c>
      <c r="D645" t="s">
        <v>6015</v>
      </c>
      <c r="E645" s="2">
        <v>3120</v>
      </c>
      <c r="F645" s="2">
        <v>3120</v>
      </c>
      <c r="G645" s="3">
        <v>43302</v>
      </c>
      <c r="H645" s="4">
        <v>3.4722222222220003E-2</v>
      </c>
      <c r="I645" s="3">
        <v>43302</v>
      </c>
      <c r="J645" s="4">
        <v>0.16217592592593</v>
      </c>
      <c r="K645" s="2">
        <v>0</v>
      </c>
      <c r="L645" t="s">
        <v>5856</v>
      </c>
      <c r="M645" t="s">
        <v>8137</v>
      </c>
      <c r="N645" s="3">
        <v>43305</v>
      </c>
      <c r="O645" s="3">
        <v>43304</v>
      </c>
      <c r="P645" t="s">
        <v>5864</v>
      </c>
      <c r="Q645" t="s">
        <v>8138</v>
      </c>
      <c r="R645" t="s">
        <v>6036</v>
      </c>
      <c r="S645" s="3">
        <v>43305</v>
      </c>
      <c r="T645" t="s">
        <v>9938</v>
      </c>
      <c r="U645" t="s">
        <v>5871</v>
      </c>
      <c r="V645" t="s">
        <v>6057</v>
      </c>
      <c r="W645" t="s">
        <v>5857</v>
      </c>
      <c r="X645" s="2">
        <v>1020</v>
      </c>
      <c r="Y645" t="s">
        <v>5858</v>
      </c>
      <c r="Z645" t="s">
        <v>6037</v>
      </c>
      <c r="AA645" s="2">
        <v>3000</v>
      </c>
      <c r="AB645" t="s">
        <v>5863</v>
      </c>
      <c r="AC645" t="s">
        <v>9974</v>
      </c>
      <c r="AD645" s="32">
        <v>43277</v>
      </c>
      <c r="AI645" t="s">
        <v>9939</v>
      </c>
      <c r="AJ645" t="s">
        <v>9967</v>
      </c>
      <c r="AL645" t="s">
        <v>10899</v>
      </c>
    </row>
    <row r="646" spans="1:38">
      <c r="A646" t="s">
        <v>8101</v>
      </c>
      <c r="B646" t="s">
        <v>12031</v>
      </c>
      <c r="C646" t="s">
        <v>8113</v>
      </c>
      <c r="D646" t="s">
        <v>8114</v>
      </c>
      <c r="E646" s="2">
        <v>10000</v>
      </c>
      <c r="F646" s="2">
        <v>10000</v>
      </c>
      <c r="G646" s="3">
        <v>43303</v>
      </c>
      <c r="H646" s="4">
        <v>0.59149305555555998</v>
      </c>
      <c r="I646" s="3">
        <v>43303</v>
      </c>
      <c r="J646" s="4">
        <v>0.99998842592592996</v>
      </c>
      <c r="K646" s="2">
        <v>0</v>
      </c>
      <c r="L646" t="s">
        <v>5856</v>
      </c>
      <c r="M646" t="s">
        <v>7264</v>
      </c>
      <c r="N646" s="3">
        <v>43293</v>
      </c>
      <c r="O646" s="3">
        <v>43305</v>
      </c>
      <c r="P646" t="s">
        <v>6026</v>
      </c>
      <c r="Q646" t="s">
        <v>8139</v>
      </c>
      <c r="R646" t="s">
        <v>6036</v>
      </c>
      <c r="S646" s="3">
        <v>43306</v>
      </c>
      <c r="T646" t="s">
        <v>9938</v>
      </c>
      <c r="U646" t="s">
        <v>7923</v>
      </c>
      <c r="V646" t="s">
        <v>8115</v>
      </c>
      <c r="W646" t="s">
        <v>5857</v>
      </c>
      <c r="X646" s="2">
        <v>0</v>
      </c>
      <c r="Y646" t="s">
        <v>5858</v>
      </c>
      <c r="Z646" t="s">
        <v>6037</v>
      </c>
      <c r="AA646" s="2">
        <v>10000</v>
      </c>
      <c r="AB646" t="s">
        <v>5861</v>
      </c>
      <c r="AC646" t="s">
        <v>9980</v>
      </c>
      <c r="AD646" s="32"/>
      <c r="AJ646" t="s">
        <v>9967</v>
      </c>
      <c r="AL646" t="s">
        <v>10900</v>
      </c>
    </row>
    <row r="647" spans="1:38">
      <c r="A647" t="s">
        <v>8101</v>
      </c>
      <c r="B647" t="s">
        <v>12032</v>
      </c>
      <c r="C647" t="s">
        <v>8140</v>
      </c>
      <c r="D647" t="s">
        <v>8141</v>
      </c>
      <c r="E647" s="2">
        <v>5200</v>
      </c>
      <c r="F647" s="2">
        <v>5200</v>
      </c>
      <c r="G647" s="3">
        <v>43303</v>
      </c>
      <c r="H647" s="4">
        <v>0.78758101851852003</v>
      </c>
      <c r="I647" s="3">
        <v>43304</v>
      </c>
      <c r="J647" s="4">
        <v>0</v>
      </c>
      <c r="K647" s="2">
        <v>20</v>
      </c>
      <c r="L647" t="s">
        <v>5856</v>
      </c>
      <c r="M647" t="s">
        <v>8096</v>
      </c>
      <c r="N647" s="3">
        <v>43306</v>
      </c>
      <c r="O647" s="3">
        <v>43305</v>
      </c>
      <c r="P647" t="s">
        <v>7755</v>
      </c>
      <c r="Q647" t="s">
        <v>8142</v>
      </c>
      <c r="R647" t="s">
        <v>6036</v>
      </c>
      <c r="S647" s="3">
        <v>43306</v>
      </c>
      <c r="T647" t="s">
        <v>9938</v>
      </c>
      <c r="U647" t="s">
        <v>8143</v>
      </c>
      <c r="V647" t="s">
        <v>8144</v>
      </c>
      <c r="W647" t="s">
        <v>5857</v>
      </c>
      <c r="X647" s="2">
        <v>1020</v>
      </c>
      <c r="Y647" t="s">
        <v>5858</v>
      </c>
      <c r="Z647" t="s">
        <v>6037</v>
      </c>
      <c r="AA647" s="2">
        <v>5000</v>
      </c>
      <c r="AB647" t="s">
        <v>5863</v>
      </c>
      <c r="AC647" t="s">
        <v>9981</v>
      </c>
      <c r="AD647" s="32">
        <v>43277</v>
      </c>
      <c r="AJ647" t="s">
        <v>9963</v>
      </c>
      <c r="AL647" t="s">
        <v>10901</v>
      </c>
    </row>
    <row r="648" spans="1:38">
      <c r="A648" t="s">
        <v>8101</v>
      </c>
      <c r="B648" t="s">
        <v>13181</v>
      </c>
      <c r="C648" t="s">
        <v>8125</v>
      </c>
      <c r="D648" t="s">
        <v>8126</v>
      </c>
      <c r="E648" s="2">
        <v>10790</v>
      </c>
      <c r="F648" s="2">
        <v>10790</v>
      </c>
      <c r="G648" s="3">
        <v>43304</v>
      </c>
      <c r="H648" s="4">
        <v>0.68054398148147999</v>
      </c>
      <c r="I648" s="3">
        <v>43305</v>
      </c>
      <c r="J648" s="4">
        <v>0.12130787037037</v>
      </c>
      <c r="K648" s="2">
        <v>20</v>
      </c>
      <c r="L648" t="s">
        <v>5856</v>
      </c>
      <c r="M648" t="s">
        <v>13182</v>
      </c>
      <c r="N648" s="3">
        <v>43308</v>
      </c>
      <c r="O648" s="3">
        <v>43307</v>
      </c>
      <c r="P648" t="s">
        <v>5881</v>
      </c>
      <c r="Q648" t="s">
        <v>13183</v>
      </c>
      <c r="R648" t="s">
        <v>6036</v>
      </c>
      <c r="S648" s="3">
        <v>43308</v>
      </c>
      <c r="T648" t="s">
        <v>9938</v>
      </c>
      <c r="U648" t="s">
        <v>6555</v>
      </c>
      <c r="V648" t="s">
        <v>8128</v>
      </c>
      <c r="W648" t="s">
        <v>5857</v>
      </c>
      <c r="X648" s="2">
        <v>1020</v>
      </c>
      <c r="Y648" t="s">
        <v>5858</v>
      </c>
      <c r="Z648" t="s">
        <v>6037</v>
      </c>
      <c r="AA648" s="2">
        <v>10375</v>
      </c>
      <c r="AB648" t="s">
        <v>5863</v>
      </c>
      <c r="AC648" t="s">
        <v>9978</v>
      </c>
      <c r="AD648" s="32">
        <v>43280</v>
      </c>
      <c r="AJ648" t="s">
        <v>9958</v>
      </c>
      <c r="AL648" t="s">
        <v>13994</v>
      </c>
    </row>
    <row r="649" spans="1:38">
      <c r="A649" t="s">
        <v>8101</v>
      </c>
      <c r="B649" t="s">
        <v>13184</v>
      </c>
      <c r="C649" t="s">
        <v>8111</v>
      </c>
      <c r="D649" t="s">
        <v>8112</v>
      </c>
      <c r="E649" s="5">
        <v>20999.999</v>
      </c>
      <c r="F649" s="5">
        <v>20999.999</v>
      </c>
      <c r="G649" s="3">
        <v>43305</v>
      </c>
      <c r="H649" s="4">
        <v>0.14214120370370001</v>
      </c>
      <c r="I649" s="3">
        <v>43305</v>
      </c>
      <c r="J649" s="4">
        <v>0.99998842592592996</v>
      </c>
      <c r="K649" s="2">
        <v>0</v>
      </c>
      <c r="L649" t="s">
        <v>5856</v>
      </c>
      <c r="M649" t="s">
        <v>8070</v>
      </c>
      <c r="N649" s="3">
        <v>43307</v>
      </c>
      <c r="O649" s="3">
        <v>43307</v>
      </c>
      <c r="P649" t="s">
        <v>5996</v>
      </c>
      <c r="Q649" t="s">
        <v>6038</v>
      </c>
      <c r="R649" t="s">
        <v>6040</v>
      </c>
      <c r="S649" s="3">
        <v>43313</v>
      </c>
      <c r="T649" t="s">
        <v>9938</v>
      </c>
      <c r="U649" t="s">
        <v>7830</v>
      </c>
      <c r="V649" t="s">
        <v>5860</v>
      </c>
      <c r="W649" t="s">
        <v>5857</v>
      </c>
      <c r="X649" s="2">
        <v>0</v>
      </c>
      <c r="Y649" t="s">
        <v>5858</v>
      </c>
      <c r="Z649" t="s">
        <v>6037</v>
      </c>
      <c r="AA649" s="2">
        <v>20000</v>
      </c>
      <c r="AB649" t="s">
        <v>5915</v>
      </c>
      <c r="AC649" t="s">
        <v>9984</v>
      </c>
      <c r="AD649" s="32"/>
      <c r="AI649" t="s">
        <v>9939</v>
      </c>
      <c r="AJ649" t="s">
        <v>9967</v>
      </c>
      <c r="AL649" t="s">
        <v>13995</v>
      </c>
    </row>
    <row r="650" spans="1:38">
      <c r="A650" t="s">
        <v>8101</v>
      </c>
      <c r="B650" t="s">
        <v>12033</v>
      </c>
      <c r="C650" t="s">
        <v>8113</v>
      </c>
      <c r="D650" t="s">
        <v>8114</v>
      </c>
      <c r="E650" s="2">
        <v>10000</v>
      </c>
      <c r="F650" s="2">
        <v>10000</v>
      </c>
      <c r="G650" s="3">
        <v>43305</v>
      </c>
      <c r="H650" s="4">
        <v>0.59149305555555998</v>
      </c>
      <c r="I650" s="3">
        <v>43305</v>
      </c>
      <c r="J650" s="4">
        <v>0.99998842592592996</v>
      </c>
      <c r="K650" s="2">
        <v>0</v>
      </c>
      <c r="L650" t="s">
        <v>5856</v>
      </c>
      <c r="M650" t="s">
        <v>7264</v>
      </c>
      <c r="N650" s="3">
        <v>43307</v>
      </c>
      <c r="O650" s="3">
        <v>43307</v>
      </c>
      <c r="P650" t="s">
        <v>6026</v>
      </c>
      <c r="Q650" t="s">
        <v>6038</v>
      </c>
      <c r="R650" t="s">
        <v>6040</v>
      </c>
      <c r="S650" s="3">
        <v>43313</v>
      </c>
      <c r="T650" t="s">
        <v>9938</v>
      </c>
      <c r="U650" t="s">
        <v>7923</v>
      </c>
      <c r="V650" t="s">
        <v>8115</v>
      </c>
      <c r="W650" t="s">
        <v>5857</v>
      </c>
      <c r="X650" s="2">
        <v>0</v>
      </c>
      <c r="Y650" t="s">
        <v>5858</v>
      </c>
      <c r="Z650" t="s">
        <v>6037</v>
      </c>
      <c r="AA650" s="2">
        <v>10000</v>
      </c>
      <c r="AB650" t="s">
        <v>5915</v>
      </c>
      <c r="AC650" t="s">
        <v>9980</v>
      </c>
      <c r="AD650" s="32"/>
      <c r="AJ650" t="s">
        <v>9967</v>
      </c>
      <c r="AL650" t="s">
        <v>10902</v>
      </c>
    </row>
    <row r="651" spans="1:38">
      <c r="A651" t="s">
        <v>8101</v>
      </c>
      <c r="B651" t="s">
        <v>13185</v>
      </c>
      <c r="C651" t="s">
        <v>8111</v>
      </c>
      <c r="D651" t="s">
        <v>8112</v>
      </c>
      <c r="E651" s="5">
        <v>20999.999</v>
      </c>
      <c r="F651" s="5">
        <v>20999.999</v>
      </c>
      <c r="G651" s="3">
        <v>43319</v>
      </c>
      <c r="H651" s="4">
        <v>0.14214120370370001</v>
      </c>
      <c r="I651" s="3">
        <v>43319</v>
      </c>
      <c r="J651" s="4">
        <v>0.99998842592592996</v>
      </c>
      <c r="K651" s="2">
        <v>0</v>
      </c>
      <c r="L651" t="s">
        <v>5856</v>
      </c>
      <c r="M651" t="s">
        <v>8070</v>
      </c>
      <c r="N651" s="3">
        <v>43321</v>
      </c>
      <c r="O651" s="3">
        <v>43321</v>
      </c>
      <c r="P651" t="s">
        <v>5996</v>
      </c>
      <c r="Q651" t="s">
        <v>13186</v>
      </c>
      <c r="R651" t="s">
        <v>6036</v>
      </c>
      <c r="S651" s="3">
        <v>43318</v>
      </c>
      <c r="T651" t="s">
        <v>9938</v>
      </c>
      <c r="U651" t="s">
        <v>7830</v>
      </c>
      <c r="V651" t="s">
        <v>5860</v>
      </c>
      <c r="W651" t="s">
        <v>5857</v>
      </c>
      <c r="X651" s="2">
        <v>0</v>
      </c>
      <c r="Y651" t="s">
        <v>5858</v>
      </c>
      <c r="Z651" t="s">
        <v>6037</v>
      </c>
      <c r="AA651" s="2">
        <v>20000</v>
      </c>
      <c r="AB651" t="s">
        <v>5915</v>
      </c>
      <c r="AC651" t="s">
        <v>9984</v>
      </c>
      <c r="AD651" s="32"/>
      <c r="AI651" t="s">
        <v>9939</v>
      </c>
      <c r="AJ651" t="s">
        <v>9967</v>
      </c>
      <c r="AL651" t="s">
        <v>13996</v>
      </c>
    </row>
    <row r="652" spans="1:38">
      <c r="A652" t="s">
        <v>8101</v>
      </c>
      <c r="B652" t="s">
        <v>12034</v>
      </c>
      <c r="C652" t="s">
        <v>8140</v>
      </c>
      <c r="D652" t="s">
        <v>8141</v>
      </c>
      <c r="E652" s="2">
        <v>5200</v>
      </c>
      <c r="F652" s="2">
        <v>5200</v>
      </c>
      <c r="G652" s="3">
        <v>43332</v>
      </c>
      <c r="H652" s="4">
        <v>0.78758101851852003</v>
      </c>
      <c r="I652" s="3">
        <v>43333</v>
      </c>
      <c r="J652" s="4">
        <v>0</v>
      </c>
      <c r="K652" s="2">
        <v>20</v>
      </c>
      <c r="L652" t="s">
        <v>5856</v>
      </c>
      <c r="M652" t="s">
        <v>8096</v>
      </c>
      <c r="N652" s="3">
        <v>43335</v>
      </c>
      <c r="O652" s="3">
        <v>43334</v>
      </c>
      <c r="P652" t="s">
        <v>7755</v>
      </c>
      <c r="Q652" t="s">
        <v>8145</v>
      </c>
      <c r="R652" t="s">
        <v>6036</v>
      </c>
      <c r="S652" s="3">
        <v>43335</v>
      </c>
      <c r="T652" t="s">
        <v>9938</v>
      </c>
      <c r="U652" t="s">
        <v>8143</v>
      </c>
      <c r="V652" t="s">
        <v>8144</v>
      </c>
      <c r="W652" t="s">
        <v>5857</v>
      </c>
      <c r="X652" s="2">
        <v>1020</v>
      </c>
      <c r="Y652" t="s">
        <v>5858</v>
      </c>
      <c r="Z652" t="s">
        <v>6037</v>
      </c>
      <c r="AA652" s="2">
        <v>5000</v>
      </c>
      <c r="AB652" t="s">
        <v>5863</v>
      </c>
      <c r="AC652" t="s">
        <v>9981</v>
      </c>
      <c r="AD652" s="32"/>
      <c r="AJ652" t="s">
        <v>9963</v>
      </c>
      <c r="AL652" t="s">
        <v>10903</v>
      </c>
    </row>
    <row r="653" spans="1:38">
      <c r="A653" t="s">
        <v>8146</v>
      </c>
      <c r="B653" t="s">
        <v>12035</v>
      </c>
      <c r="C653" t="s">
        <v>8147</v>
      </c>
      <c r="D653" t="s">
        <v>8148</v>
      </c>
      <c r="E653" s="2">
        <v>7600</v>
      </c>
      <c r="F653" s="2">
        <v>20600</v>
      </c>
      <c r="G653" s="3">
        <v>43277</v>
      </c>
      <c r="H653" s="4">
        <v>0.90400462962963002</v>
      </c>
      <c r="I653" s="3">
        <v>43278</v>
      </c>
      <c r="J653" s="4">
        <v>0.61928240740741003</v>
      </c>
      <c r="K653" s="2">
        <v>0</v>
      </c>
      <c r="L653" t="s">
        <v>5856</v>
      </c>
      <c r="M653" t="s">
        <v>8149</v>
      </c>
      <c r="N653" s="3"/>
      <c r="O653" s="3">
        <v>43280</v>
      </c>
      <c r="P653" t="s">
        <v>5864</v>
      </c>
      <c r="Q653" t="s">
        <v>13187</v>
      </c>
      <c r="R653" t="s">
        <v>6476</v>
      </c>
      <c r="S653" s="3">
        <v>43379</v>
      </c>
      <c r="T653" t="s">
        <v>9938</v>
      </c>
      <c r="U653" t="s">
        <v>8150</v>
      </c>
      <c r="V653" t="s">
        <v>6041</v>
      </c>
      <c r="W653" t="s">
        <v>5868</v>
      </c>
      <c r="X653" s="2">
        <v>1020</v>
      </c>
      <c r="Y653" t="s">
        <v>5858</v>
      </c>
      <c r="Z653" t="s">
        <v>6037</v>
      </c>
      <c r="AA653" s="2">
        <v>7000</v>
      </c>
      <c r="AB653" t="s">
        <v>5859</v>
      </c>
      <c r="AC653" t="s">
        <v>9977</v>
      </c>
      <c r="AD653" s="32">
        <v>43259</v>
      </c>
      <c r="AJ653" t="s">
        <v>9971</v>
      </c>
      <c r="AL653" t="s">
        <v>10904</v>
      </c>
    </row>
    <row r="654" spans="1:38">
      <c r="A654" t="s">
        <v>8146</v>
      </c>
      <c r="B654" t="s">
        <v>12038</v>
      </c>
      <c r="C654" t="s">
        <v>8157</v>
      </c>
      <c r="D654" t="s">
        <v>8158</v>
      </c>
      <c r="E654" s="2">
        <v>175</v>
      </c>
      <c r="F654" s="2">
        <v>5150</v>
      </c>
      <c r="G654" s="3">
        <v>43278</v>
      </c>
      <c r="H654" s="4">
        <v>0.76634259259258997</v>
      </c>
      <c r="I654" s="3">
        <v>43278</v>
      </c>
      <c r="J654" s="4">
        <v>0.97671296296295995</v>
      </c>
      <c r="K654" s="2">
        <v>0</v>
      </c>
      <c r="L654" t="s">
        <v>5856</v>
      </c>
      <c r="M654" t="s">
        <v>8159</v>
      </c>
      <c r="N654" s="3">
        <v>43280</v>
      </c>
      <c r="O654" s="3">
        <v>43280</v>
      </c>
      <c r="P654" t="s">
        <v>5862</v>
      </c>
      <c r="Q654" t="s">
        <v>6038</v>
      </c>
      <c r="R654" t="s">
        <v>6040</v>
      </c>
      <c r="S654" s="3">
        <v>43288</v>
      </c>
      <c r="T654" t="s">
        <v>9938</v>
      </c>
      <c r="U654" t="s">
        <v>8160</v>
      </c>
      <c r="V654" t="s">
        <v>8161</v>
      </c>
      <c r="W654" t="s">
        <v>5857</v>
      </c>
      <c r="X654" s="2">
        <v>1020</v>
      </c>
      <c r="Y654" t="s">
        <v>5858</v>
      </c>
      <c r="Z654" t="s">
        <v>6037</v>
      </c>
      <c r="AA654" s="2">
        <v>25</v>
      </c>
      <c r="AB654" t="s">
        <v>5859</v>
      </c>
      <c r="AC654" t="s">
        <v>9978</v>
      </c>
      <c r="AD654" s="32">
        <v>43272</v>
      </c>
      <c r="AJ654" t="s">
        <v>9971</v>
      </c>
      <c r="AL654" t="s">
        <v>10907</v>
      </c>
    </row>
    <row r="655" spans="1:38">
      <c r="A655" t="s">
        <v>8146</v>
      </c>
      <c r="B655" t="s">
        <v>12036</v>
      </c>
      <c r="C655" t="s">
        <v>6083</v>
      </c>
      <c r="D655" t="s">
        <v>5991</v>
      </c>
      <c r="E655" s="2">
        <v>600</v>
      </c>
      <c r="F655" s="2">
        <v>20600</v>
      </c>
      <c r="G655" s="3">
        <v>43281</v>
      </c>
      <c r="H655" s="4">
        <v>0.34743055555556002</v>
      </c>
      <c r="I655" s="3">
        <v>43282</v>
      </c>
      <c r="J655" s="4">
        <v>0.18893518518519001</v>
      </c>
      <c r="K655" s="2">
        <v>0</v>
      </c>
      <c r="L655" t="s">
        <v>5856</v>
      </c>
      <c r="M655" t="s">
        <v>8151</v>
      </c>
      <c r="N655" s="3"/>
      <c r="O655" s="3">
        <v>43284</v>
      </c>
      <c r="P655" t="s">
        <v>5971</v>
      </c>
      <c r="Q655" t="s">
        <v>6038</v>
      </c>
      <c r="R655" t="s">
        <v>6039</v>
      </c>
      <c r="S655" s="3"/>
      <c r="T655" t="s">
        <v>9938</v>
      </c>
      <c r="U655" t="s">
        <v>6065</v>
      </c>
      <c r="V655" t="s">
        <v>6041</v>
      </c>
      <c r="W655" t="s">
        <v>5857</v>
      </c>
      <c r="X655" s="2">
        <v>1020</v>
      </c>
      <c r="Y655" t="s">
        <v>5858</v>
      </c>
      <c r="Z655" t="s">
        <v>6037</v>
      </c>
      <c r="AA655" s="2">
        <v>0</v>
      </c>
      <c r="AB655" t="s">
        <v>5859</v>
      </c>
      <c r="AC655" t="s">
        <v>9975</v>
      </c>
      <c r="AD655" s="32">
        <v>43277</v>
      </c>
      <c r="AI655" t="s">
        <v>9939</v>
      </c>
      <c r="AJ655" t="s">
        <v>9958</v>
      </c>
      <c r="AL655" t="s">
        <v>10905</v>
      </c>
    </row>
    <row r="656" spans="1:38">
      <c r="A656" t="s">
        <v>8146</v>
      </c>
      <c r="B656" t="s">
        <v>13188</v>
      </c>
      <c r="C656" t="s">
        <v>8152</v>
      </c>
      <c r="D656" t="s">
        <v>8153</v>
      </c>
      <c r="E656" s="2">
        <v>69</v>
      </c>
      <c r="F656" s="2">
        <v>2369</v>
      </c>
      <c r="G656" s="3">
        <v>43282</v>
      </c>
      <c r="H656" s="4">
        <v>0.20976851851851999</v>
      </c>
      <c r="I656" s="3">
        <v>43282</v>
      </c>
      <c r="J656" s="4">
        <v>0.30655092592592997</v>
      </c>
      <c r="K656" s="2">
        <v>0</v>
      </c>
      <c r="L656" t="s">
        <v>5856</v>
      </c>
      <c r="M656" t="s">
        <v>13189</v>
      </c>
      <c r="N656" s="3">
        <v>43284</v>
      </c>
      <c r="O656" s="3">
        <v>43284</v>
      </c>
      <c r="P656" t="s">
        <v>5971</v>
      </c>
      <c r="Q656" t="s">
        <v>6038</v>
      </c>
      <c r="R656" t="s">
        <v>6039</v>
      </c>
      <c r="S656" s="3"/>
      <c r="T656" t="s">
        <v>9938</v>
      </c>
      <c r="U656" t="s">
        <v>8154</v>
      </c>
      <c r="V656" t="s">
        <v>8155</v>
      </c>
      <c r="W656" t="s">
        <v>5857</v>
      </c>
      <c r="X656" s="2">
        <v>1020</v>
      </c>
      <c r="Y656" t="s">
        <v>5858</v>
      </c>
      <c r="Z656" t="s">
        <v>6037</v>
      </c>
      <c r="AA656" s="2">
        <v>0</v>
      </c>
      <c r="AB656" t="s">
        <v>5859</v>
      </c>
      <c r="AC656" t="s">
        <v>9974</v>
      </c>
      <c r="AD656" s="32">
        <v>43279</v>
      </c>
      <c r="AI656" t="s">
        <v>9939</v>
      </c>
      <c r="AJ656" t="s">
        <v>9958</v>
      </c>
      <c r="AL656" t="s">
        <v>13997</v>
      </c>
    </row>
    <row r="657" spans="1:38">
      <c r="A657" t="s">
        <v>8146</v>
      </c>
      <c r="B657" t="s">
        <v>13190</v>
      </c>
      <c r="C657" t="s">
        <v>6083</v>
      </c>
      <c r="D657" t="s">
        <v>5991</v>
      </c>
      <c r="E657" s="2">
        <v>14725</v>
      </c>
      <c r="F657" s="2">
        <v>20600</v>
      </c>
      <c r="G657" s="3">
        <v>43284</v>
      </c>
      <c r="H657" s="4">
        <v>0.35444444444444001</v>
      </c>
      <c r="I657" s="3">
        <v>43285</v>
      </c>
      <c r="J657" s="4">
        <v>0.19594907407407</v>
      </c>
      <c r="K657" s="2">
        <v>0</v>
      </c>
      <c r="L657" t="s">
        <v>5856</v>
      </c>
      <c r="M657" t="s">
        <v>8151</v>
      </c>
      <c r="N657" s="3">
        <v>43300</v>
      </c>
      <c r="O657" s="3">
        <v>43287</v>
      </c>
      <c r="P657" t="s">
        <v>5971</v>
      </c>
      <c r="Q657" t="s">
        <v>8156</v>
      </c>
      <c r="R657" t="s">
        <v>6042</v>
      </c>
      <c r="S657" s="3">
        <v>43285</v>
      </c>
      <c r="T657" t="s">
        <v>9938</v>
      </c>
      <c r="U657" t="s">
        <v>6065</v>
      </c>
      <c r="V657" t="s">
        <v>6041</v>
      </c>
      <c r="W657" t="s">
        <v>5857</v>
      </c>
      <c r="X657" s="2">
        <v>1020</v>
      </c>
      <c r="Y657" t="s">
        <v>5858</v>
      </c>
      <c r="Z657" t="s">
        <v>6037</v>
      </c>
      <c r="AA657" s="2">
        <v>14125</v>
      </c>
      <c r="AB657" t="s">
        <v>5859</v>
      </c>
      <c r="AC657" t="s">
        <v>9975</v>
      </c>
      <c r="AD657" s="32">
        <v>43280</v>
      </c>
      <c r="AI657" t="s">
        <v>9939</v>
      </c>
      <c r="AJ657" t="s">
        <v>9958</v>
      </c>
      <c r="AL657" t="s">
        <v>13998</v>
      </c>
    </row>
    <row r="658" spans="1:38">
      <c r="A658" t="s">
        <v>8146</v>
      </c>
      <c r="B658" t="s">
        <v>12037</v>
      </c>
      <c r="C658" t="s">
        <v>8147</v>
      </c>
      <c r="D658" t="s">
        <v>8148</v>
      </c>
      <c r="E658" s="2">
        <v>600</v>
      </c>
      <c r="F658" s="2">
        <v>20600</v>
      </c>
      <c r="G658" s="3">
        <v>43285</v>
      </c>
      <c r="H658" s="4">
        <v>0.76409722222221998</v>
      </c>
      <c r="I658" s="3">
        <v>43286</v>
      </c>
      <c r="J658" s="4">
        <v>0.479375</v>
      </c>
      <c r="K658" s="2">
        <v>0</v>
      </c>
      <c r="L658" t="s">
        <v>5856</v>
      </c>
      <c r="M658" t="s">
        <v>8149</v>
      </c>
      <c r="N658" s="3"/>
      <c r="O658" s="3">
        <v>43288</v>
      </c>
      <c r="P658" t="s">
        <v>5864</v>
      </c>
      <c r="Q658" t="s">
        <v>6038</v>
      </c>
      <c r="R658" t="s">
        <v>6039</v>
      </c>
      <c r="S658" s="3"/>
      <c r="T658" t="s">
        <v>9938</v>
      </c>
      <c r="U658" t="s">
        <v>8150</v>
      </c>
      <c r="V658" t="s">
        <v>6041</v>
      </c>
      <c r="W658" t="s">
        <v>5868</v>
      </c>
      <c r="X658" s="2">
        <v>1020</v>
      </c>
      <c r="Y658" t="s">
        <v>5858</v>
      </c>
      <c r="Z658" t="s">
        <v>6037</v>
      </c>
      <c r="AA658" s="2">
        <v>0</v>
      </c>
      <c r="AB658" t="s">
        <v>5859</v>
      </c>
      <c r="AC658" t="s">
        <v>9977</v>
      </c>
      <c r="AD658" s="32">
        <v>43256</v>
      </c>
      <c r="AJ658" t="s">
        <v>9971</v>
      </c>
      <c r="AL658" t="s">
        <v>10906</v>
      </c>
    </row>
    <row r="659" spans="1:38">
      <c r="A659" t="s">
        <v>8146</v>
      </c>
      <c r="B659" t="s">
        <v>13191</v>
      </c>
      <c r="C659" t="s">
        <v>6083</v>
      </c>
      <c r="D659" t="s">
        <v>5991</v>
      </c>
      <c r="E659" s="2">
        <v>20600</v>
      </c>
      <c r="F659" s="2">
        <v>20600</v>
      </c>
      <c r="G659" s="3">
        <v>43286</v>
      </c>
      <c r="H659" s="4">
        <v>0.50020833333333004</v>
      </c>
      <c r="I659" s="3">
        <v>43287</v>
      </c>
      <c r="J659" s="4">
        <v>0.34171296296296</v>
      </c>
      <c r="K659" s="2">
        <v>0</v>
      </c>
      <c r="L659" t="s">
        <v>5856</v>
      </c>
      <c r="M659" t="s">
        <v>8151</v>
      </c>
      <c r="N659" s="3">
        <v>43300</v>
      </c>
      <c r="O659" s="3">
        <v>43289</v>
      </c>
      <c r="P659" t="s">
        <v>5971</v>
      </c>
      <c r="Q659" t="s">
        <v>8187</v>
      </c>
      <c r="R659" t="s">
        <v>6036</v>
      </c>
      <c r="S659" s="3">
        <v>43301</v>
      </c>
      <c r="T659" t="s">
        <v>9938</v>
      </c>
      <c r="U659" t="s">
        <v>6065</v>
      </c>
      <c r="V659" t="s">
        <v>6041</v>
      </c>
      <c r="W659" t="s">
        <v>5857</v>
      </c>
      <c r="X659" s="2">
        <v>1020</v>
      </c>
      <c r="Y659" t="s">
        <v>5858</v>
      </c>
      <c r="Z659" t="s">
        <v>6037</v>
      </c>
      <c r="AA659" s="2">
        <v>20000</v>
      </c>
      <c r="AB659" t="s">
        <v>5859</v>
      </c>
      <c r="AC659" t="s">
        <v>9975</v>
      </c>
      <c r="AD659" s="32">
        <v>43280</v>
      </c>
      <c r="AI659" t="s">
        <v>9939</v>
      </c>
      <c r="AJ659" t="s">
        <v>9958</v>
      </c>
      <c r="AL659" t="s">
        <v>13999</v>
      </c>
    </row>
    <row r="660" spans="1:38">
      <c r="A660" t="s">
        <v>8146</v>
      </c>
      <c r="B660" t="s">
        <v>12039</v>
      </c>
      <c r="C660" t="s">
        <v>6091</v>
      </c>
      <c r="D660" t="s">
        <v>6007</v>
      </c>
      <c r="E660" s="2">
        <v>20600</v>
      </c>
      <c r="F660" s="2">
        <v>20600</v>
      </c>
      <c r="G660" s="3">
        <v>43287</v>
      </c>
      <c r="H660" s="4">
        <v>0.36254629629629997</v>
      </c>
      <c r="I660" s="3">
        <v>43288</v>
      </c>
      <c r="J660" s="4">
        <v>0.20405092592592999</v>
      </c>
      <c r="K660" s="2">
        <v>0</v>
      </c>
      <c r="L660" t="s">
        <v>5856</v>
      </c>
      <c r="M660" t="s">
        <v>8151</v>
      </c>
      <c r="N660" s="3">
        <v>43285</v>
      </c>
      <c r="O660" s="3">
        <v>43290</v>
      </c>
      <c r="P660" t="s">
        <v>5971</v>
      </c>
      <c r="Q660" t="s">
        <v>8162</v>
      </c>
      <c r="R660" t="s">
        <v>6036</v>
      </c>
      <c r="S660" s="3">
        <v>43286</v>
      </c>
      <c r="T660" t="s">
        <v>9938</v>
      </c>
      <c r="U660" t="s">
        <v>6052</v>
      </c>
      <c r="V660" t="s">
        <v>6041</v>
      </c>
      <c r="W660" t="s">
        <v>5857</v>
      </c>
      <c r="X660" s="2">
        <v>1020</v>
      </c>
      <c r="Y660" t="s">
        <v>5858</v>
      </c>
      <c r="Z660" t="s">
        <v>6037</v>
      </c>
      <c r="AA660" s="2">
        <v>20000</v>
      </c>
      <c r="AB660" t="s">
        <v>5863</v>
      </c>
      <c r="AC660" t="s">
        <v>9975</v>
      </c>
      <c r="AD660" s="32">
        <v>43272</v>
      </c>
      <c r="AJ660" t="s">
        <v>9958</v>
      </c>
      <c r="AL660" t="s">
        <v>10908</v>
      </c>
    </row>
    <row r="661" spans="1:38">
      <c r="A661" t="s">
        <v>8146</v>
      </c>
      <c r="B661" t="s">
        <v>13192</v>
      </c>
      <c r="C661" t="s">
        <v>8163</v>
      </c>
      <c r="D661" t="s">
        <v>8164</v>
      </c>
      <c r="E661" s="2">
        <v>10300</v>
      </c>
      <c r="F661" s="2">
        <v>10300</v>
      </c>
      <c r="G661" s="3">
        <v>43288</v>
      </c>
      <c r="H661" s="4">
        <v>0.22488425925926001</v>
      </c>
      <c r="I661" s="3">
        <v>43288</v>
      </c>
      <c r="J661" s="4">
        <v>0.64563657407407005</v>
      </c>
      <c r="K661" s="2">
        <v>0</v>
      </c>
      <c r="L661" t="s">
        <v>5856</v>
      </c>
      <c r="M661" t="s">
        <v>8165</v>
      </c>
      <c r="N661" s="3">
        <v>43294</v>
      </c>
      <c r="O661" s="3">
        <v>43290</v>
      </c>
      <c r="P661" t="s">
        <v>5862</v>
      </c>
      <c r="Q661" t="s">
        <v>6038</v>
      </c>
      <c r="R661" t="s">
        <v>6040</v>
      </c>
      <c r="S661" s="3">
        <v>43288</v>
      </c>
      <c r="T661" t="s">
        <v>9938</v>
      </c>
      <c r="U661" t="s">
        <v>8167</v>
      </c>
      <c r="V661" t="s">
        <v>8168</v>
      </c>
      <c r="W661" t="s">
        <v>5857</v>
      </c>
      <c r="X661" s="2">
        <v>1020</v>
      </c>
      <c r="Y661" t="s">
        <v>5858</v>
      </c>
      <c r="Z661" t="s">
        <v>6037</v>
      </c>
      <c r="AA661" s="2">
        <v>10000</v>
      </c>
      <c r="AB661" t="s">
        <v>5863</v>
      </c>
      <c r="AC661" t="s">
        <v>9978</v>
      </c>
      <c r="AD661" s="32">
        <v>43280</v>
      </c>
      <c r="AJ661" t="s">
        <v>9957</v>
      </c>
      <c r="AL661" t="s">
        <v>14000</v>
      </c>
    </row>
    <row r="662" spans="1:38">
      <c r="A662" t="s">
        <v>8146</v>
      </c>
      <c r="B662" t="s">
        <v>12040</v>
      </c>
      <c r="C662" t="s">
        <v>6091</v>
      </c>
      <c r="D662" t="s">
        <v>6007</v>
      </c>
      <c r="E662" s="2">
        <v>20600</v>
      </c>
      <c r="F662" s="2">
        <v>20600</v>
      </c>
      <c r="G662" s="3">
        <v>43288</v>
      </c>
      <c r="H662" s="4">
        <v>0.66646990740740997</v>
      </c>
      <c r="I662" s="3">
        <v>43289</v>
      </c>
      <c r="J662" s="4">
        <v>0.50797453703703999</v>
      </c>
      <c r="K662" s="2">
        <v>0</v>
      </c>
      <c r="L662" t="s">
        <v>5856</v>
      </c>
      <c r="M662" t="s">
        <v>8151</v>
      </c>
      <c r="N662" s="3">
        <v>43285</v>
      </c>
      <c r="O662" s="3">
        <v>43291</v>
      </c>
      <c r="P662" t="s">
        <v>5971</v>
      </c>
      <c r="Q662" t="s">
        <v>8162</v>
      </c>
      <c r="R662" t="s">
        <v>6036</v>
      </c>
      <c r="S662" s="3">
        <v>43286</v>
      </c>
      <c r="T662" t="s">
        <v>9938</v>
      </c>
      <c r="U662" t="s">
        <v>6052</v>
      </c>
      <c r="V662" t="s">
        <v>6041</v>
      </c>
      <c r="W662" t="s">
        <v>5857</v>
      </c>
      <c r="X662" s="2">
        <v>1020</v>
      </c>
      <c r="Y662" t="s">
        <v>5858</v>
      </c>
      <c r="Z662" t="s">
        <v>6037</v>
      </c>
      <c r="AA662" s="2">
        <v>20000</v>
      </c>
      <c r="AB662" t="s">
        <v>5863</v>
      </c>
      <c r="AC662" t="s">
        <v>9975</v>
      </c>
      <c r="AD662" s="32">
        <v>43272</v>
      </c>
      <c r="AJ662" t="s">
        <v>9958</v>
      </c>
      <c r="AL662" t="s">
        <v>10909</v>
      </c>
    </row>
    <row r="663" spans="1:38">
      <c r="A663" t="s">
        <v>8146</v>
      </c>
      <c r="B663" t="s">
        <v>12041</v>
      </c>
      <c r="C663" t="s">
        <v>8147</v>
      </c>
      <c r="D663" t="s">
        <v>8148</v>
      </c>
      <c r="E663" s="2">
        <v>20600</v>
      </c>
      <c r="F663" s="2">
        <v>20600</v>
      </c>
      <c r="G663" s="3">
        <v>43289</v>
      </c>
      <c r="H663" s="4">
        <v>0.52880787037037003</v>
      </c>
      <c r="I663" s="3">
        <v>43290</v>
      </c>
      <c r="J663" s="4">
        <v>0.24408564814815001</v>
      </c>
      <c r="K663" s="2">
        <v>0</v>
      </c>
      <c r="L663" t="s">
        <v>5856</v>
      </c>
      <c r="M663" t="s">
        <v>8149</v>
      </c>
      <c r="N663" s="3"/>
      <c r="O663" s="3">
        <v>43292</v>
      </c>
      <c r="P663" t="s">
        <v>5864</v>
      </c>
      <c r="Q663" t="s">
        <v>13193</v>
      </c>
      <c r="R663" t="s">
        <v>13194</v>
      </c>
      <c r="S663" s="3">
        <v>43379</v>
      </c>
      <c r="T663" t="s">
        <v>9938</v>
      </c>
      <c r="U663" t="s">
        <v>8150</v>
      </c>
      <c r="V663" t="s">
        <v>6041</v>
      </c>
      <c r="W663" t="s">
        <v>5868</v>
      </c>
      <c r="X663" s="2">
        <v>1020</v>
      </c>
      <c r="Y663" t="s">
        <v>5858</v>
      </c>
      <c r="Z663" t="s">
        <v>6037</v>
      </c>
      <c r="AA663" s="2">
        <v>20000</v>
      </c>
      <c r="AB663" t="s">
        <v>5859</v>
      </c>
      <c r="AC663" t="s">
        <v>9977</v>
      </c>
      <c r="AD663" s="32">
        <v>43272</v>
      </c>
      <c r="AJ663" t="s">
        <v>9971</v>
      </c>
      <c r="AL663" t="s">
        <v>10910</v>
      </c>
    </row>
    <row r="664" spans="1:38">
      <c r="A664" t="s">
        <v>8146</v>
      </c>
      <c r="B664" t="s">
        <v>12042</v>
      </c>
      <c r="C664" t="s">
        <v>6091</v>
      </c>
      <c r="D664" t="s">
        <v>6007</v>
      </c>
      <c r="E664" s="2">
        <v>20600</v>
      </c>
      <c r="F664" s="2">
        <v>20600</v>
      </c>
      <c r="G664" s="3">
        <v>43295</v>
      </c>
      <c r="H664" s="4">
        <v>2.0821759259260001E-2</v>
      </c>
      <c r="I664" s="3">
        <v>43295</v>
      </c>
      <c r="J664" s="4">
        <v>0.86232638888889002</v>
      </c>
      <c r="K664" s="2">
        <v>0</v>
      </c>
      <c r="L664" t="s">
        <v>5856</v>
      </c>
      <c r="M664" t="s">
        <v>8151</v>
      </c>
      <c r="N664" s="3">
        <v>43284</v>
      </c>
      <c r="O664" s="3">
        <v>43297</v>
      </c>
      <c r="P664" t="s">
        <v>5971</v>
      </c>
      <c r="Q664" t="s">
        <v>8169</v>
      </c>
      <c r="R664" t="s">
        <v>6036</v>
      </c>
      <c r="S664" s="3">
        <v>43287</v>
      </c>
      <c r="T664" t="s">
        <v>9938</v>
      </c>
      <c r="U664" t="s">
        <v>6052</v>
      </c>
      <c r="V664" t="s">
        <v>6041</v>
      </c>
      <c r="W664" t="s">
        <v>5857</v>
      </c>
      <c r="X664" s="2">
        <v>1020</v>
      </c>
      <c r="Y664" t="s">
        <v>5858</v>
      </c>
      <c r="Z664" t="s">
        <v>6037</v>
      </c>
      <c r="AA664" s="2">
        <v>20000</v>
      </c>
      <c r="AB664" t="s">
        <v>5863</v>
      </c>
      <c r="AC664" t="s">
        <v>9975</v>
      </c>
      <c r="AD664" s="32">
        <v>43272</v>
      </c>
      <c r="AJ664" t="s">
        <v>9958</v>
      </c>
      <c r="AL664" t="s">
        <v>10911</v>
      </c>
    </row>
    <row r="665" spans="1:38">
      <c r="A665" t="s">
        <v>8146</v>
      </c>
      <c r="B665" t="s">
        <v>13195</v>
      </c>
      <c r="C665" t="s">
        <v>8163</v>
      </c>
      <c r="D665" t="s">
        <v>8164</v>
      </c>
      <c r="E665" s="2">
        <v>5150</v>
      </c>
      <c r="F665" s="2">
        <v>5150</v>
      </c>
      <c r="G665" s="3">
        <v>43295</v>
      </c>
      <c r="H665" s="4">
        <v>0.88315972222221995</v>
      </c>
      <c r="I665" s="3">
        <v>43296</v>
      </c>
      <c r="J665" s="4">
        <v>9.353009259259E-2</v>
      </c>
      <c r="K665" s="2">
        <v>0</v>
      </c>
      <c r="L665" t="s">
        <v>5856</v>
      </c>
      <c r="M665" t="s">
        <v>8159</v>
      </c>
      <c r="N665" s="3">
        <v>43293</v>
      </c>
      <c r="O665" s="3">
        <v>43298</v>
      </c>
      <c r="P665" t="s">
        <v>5862</v>
      </c>
      <c r="Q665" t="s">
        <v>6038</v>
      </c>
      <c r="R665" t="s">
        <v>6040</v>
      </c>
      <c r="S665" s="3">
        <v>43288</v>
      </c>
      <c r="T665" t="s">
        <v>9938</v>
      </c>
      <c r="U665" t="s">
        <v>8167</v>
      </c>
      <c r="V665" t="s">
        <v>8168</v>
      </c>
      <c r="W665" t="s">
        <v>5857</v>
      </c>
      <c r="X665" s="2">
        <v>1020</v>
      </c>
      <c r="Y665" t="s">
        <v>5858</v>
      </c>
      <c r="Z665" t="s">
        <v>6037</v>
      </c>
      <c r="AA665" s="2">
        <v>5000</v>
      </c>
      <c r="AB665" t="s">
        <v>5863</v>
      </c>
      <c r="AC665" t="s">
        <v>9978</v>
      </c>
      <c r="AD665" s="32">
        <v>43280</v>
      </c>
      <c r="AJ665" t="s">
        <v>9957</v>
      </c>
      <c r="AL665" t="s">
        <v>14001</v>
      </c>
    </row>
    <row r="666" spans="1:38">
      <c r="A666" t="s">
        <v>8146</v>
      </c>
      <c r="B666" t="s">
        <v>12174</v>
      </c>
      <c r="C666" t="s">
        <v>8198</v>
      </c>
      <c r="D666" t="s">
        <v>8199</v>
      </c>
      <c r="E666" s="2">
        <v>10300</v>
      </c>
      <c r="F666" s="2">
        <v>10300</v>
      </c>
      <c r="G666" s="3">
        <v>43296</v>
      </c>
      <c r="H666" s="4">
        <v>0.11436342592593</v>
      </c>
      <c r="I666" s="3">
        <v>43296</v>
      </c>
      <c r="J666" s="4">
        <v>0.53511574074073998</v>
      </c>
      <c r="K666" s="2">
        <v>20</v>
      </c>
      <c r="L666" t="s">
        <v>5856</v>
      </c>
      <c r="M666" t="s">
        <v>8165</v>
      </c>
      <c r="N666" s="3">
        <v>43298</v>
      </c>
      <c r="O666" s="3">
        <v>43298</v>
      </c>
      <c r="P666" t="s">
        <v>6018</v>
      </c>
      <c r="Q666" t="s">
        <v>8437</v>
      </c>
      <c r="R666" t="s">
        <v>6036</v>
      </c>
      <c r="S666" s="3">
        <v>43298</v>
      </c>
      <c r="T666" t="s">
        <v>9938</v>
      </c>
      <c r="U666" t="s">
        <v>8201</v>
      </c>
      <c r="V666" t="s">
        <v>6760</v>
      </c>
      <c r="W666" t="s">
        <v>5857</v>
      </c>
      <c r="X666" s="2">
        <v>1020</v>
      </c>
      <c r="Y666" t="s">
        <v>5858</v>
      </c>
      <c r="Z666" t="s">
        <v>6037</v>
      </c>
      <c r="AA666" s="2">
        <v>10000</v>
      </c>
      <c r="AB666" t="s">
        <v>5863</v>
      </c>
      <c r="AC666" t="s">
        <v>9978</v>
      </c>
      <c r="AD666" s="32">
        <v>43264</v>
      </c>
      <c r="AJ666" t="s">
        <v>9971</v>
      </c>
      <c r="AL666" t="s">
        <v>14002</v>
      </c>
    </row>
    <row r="667" spans="1:38">
      <c r="A667" t="s">
        <v>8146</v>
      </c>
      <c r="B667" t="s">
        <v>12044</v>
      </c>
      <c r="C667" t="s">
        <v>8147</v>
      </c>
      <c r="D667" t="s">
        <v>8148</v>
      </c>
      <c r="E667" s="2">
        <v>20000</v>
      </c>
      <c r="F667" s="2">
        <v>20000</v>
      </c>
      <c r="G667" s="3">
        <v>43296</v>
      </c>
      <c r="H667" s="4">
        <v>0.69646990740740999</v>
      </c>
      <c r="I667" s="3">
        <v>43297</v>
      </c>
      <c r="J667" s="4">
        <v>0.39091435185184997</v>
      </c>
      <c r="K667" s="2">
        <v>0</v>
      </c>
      <c r="L667" t="s">
        <v>5856</v>
      </c>
      <c r="M667" t="s">
        <v>8171</v>
      </c>
      <c r="N667" s="3"/>
      <c r="O667" s="3">
        <v>43299</v>
      </c>
      <c r="P667" t="s">
        <v>5864</v>
      </c>
      <c r="Q667" t="s">
        <v>13196</v>
      </c>
      <c r="R667" t="s">
        <v>13194</v>
      </c>
      <c r="S667" s="3">
        <v>43386</v>
      </c>
      <c r="T667" t="s">
        <v>9938</v>
      </c>
      <c r="U667" t="s">
        <v>8150</v>
      </c>
      <c r="V667" t="s">
        <v>6041</v>
      </c>
      <c r="W667" t="s">
        <v>5868</v>
      </c>
      <c r="X667" s="2">
        <v>0</v>
      </c>
      <c r="Y667" t="s">
        <v>5858</v>
      </c>
      <c r="Z667" t="s">
        <v>6037</v>
      </c>
      <c r="AA667" s="2">
        <v>20000</v>
      </c>
      <c r="AB667" t="s">
        <v>5861</v>
      </c>
      <c r="AC667" t="s">
        <v>9977</v>
      </c>
      <c r="AD667" s="32"/>
      <c r="AJ667" t="s">
        <v>9971</v>
      </c>
      <c r="AL667" t="s">
        <v>10912</v>
      </c>
    </row>
    <row r="668" spans="1:38">
      <c r="A668" t="s">
        <v>8146</v>
      </c>
      <c r="B668" t="s">
        <v>13197</v>
      </c>
      <c r="C668" t="s">
        <v>8163</v>
      </c>
      <c r="D668" t="s">
        <v>8164</v>
      </c>
      <c r="E668" s="5">
        <v>2317.5</v>
      </c>
      <c r="F668" s="5">
        <v>2317.5</v>
      </c>
      <c r="G668" s="3">
        <v>43297</v>
      </c>
      <c r="H668" s="4">
        <v>0.41174768518519</v>
      </c>
      <c r="I668" s="3">
        <v>43297</v>
      </c>
      <c r="J668" s="4">
        <v>0.50641203703703996</v>
      </c>
      <c r="K668" s="2">
        <v>0</v>
      </c>
      <c r="L668" t="s">
        <v>5856</v>
      </c>
      <c r="M668" t="s">
        <v>8172</v>
      </c>
      <c r="N668" s="3">
        <v>43292</v>
      </c>
      <c r="O668" s="3">
        <v>43299</v>
      </c>
      <c r="P668" t="s">
        <v>5862</v>
      </c>
      <c r="Q668" t="s">
        <v>8170</v>
      </c>
      <c r="R668" t="s">
        <v>6036</v>
      </c>
      <c r="S668" s="3">
        <v>43294</v>
      </c>
      <c r="T668" t="s">
        <v>9938</v>
      </c>
      <c r="U668" t="s">
        <v>8167</v>
      </c>
      <c r="V668" t="s">
        <v>8168</v>
      </c>
      <c r="W668" t="s">
        <v>5857</v>
      </c>
      <c r="X668" s="2">
        <v>1020</v>
      </c>
      <c r="Y668" t="s">
        <v>5858</v>
      </c>
      <c r="Z668" t="s">
        <v>6037</v>
      </c>
      <c r="AA668" s="2">
        <v>2250</v>
      </c>
      <c r="AB668" t="s">
        <v>5863</v>
      </c>
      <c r="AC668" t="s">
        <v>9978</v>
      </c>
      <c r="AD668" s="32">
        <v>43280</v>
      </c>
      <c r="AJ668" t="s">
        <v>9957</v>
      </c>
      <c r="AL668" t="s">
        <v>14003</v>
      </c>
    </row>
    <row r="669" spans="1:38">
      <c r="A669" t="s">
        <v>8146</v>
      </c>
      <c r="B669" t="s">
        <v>12047</v>
      </c>
      <c r="C669" t="s">
        <v>8147</v>
      </c>
      <c r="D669" t="s">
        <v>8148</v>
      </c>
      <c r="E669" s="2">
        <v>20000</v>
      </c>
      <c r="F669" s="2">
        <v>20000</v>
      </c>
      <c r="G669" s="3">
        <v>43298</v>
      </c>
      <c r="H669" s="4">
        <v>0.36506944444444001</v>
      </c>
      <c r="I669" s="3">
        <v>43299</v>
      </c>
      <c r="J669" s="4">
        <v>5.9513888888889997E-2</v>
      </c>
      <c r="K669" s="2">
        <v>0</v>
      </c>
      <c r="L669" t="s">
        <v>5856</v>
      </c>
      <c r="M669" t="s">
        <v>8171</v>
      </c>
      <c r="N669" s="3"/>
      <c r="O669" s="3">
        <v>43301</v>
      </c>
      <c r="P669" t="s">
        <v>5864</v>
      </c>
      <c r="Q669" t="s">
        <v>13198</v>
      </c>
      <c r="R669" t="s">
        <v>13194</v>
      </c>
      <c r="S669" s="3">
        <v>43393</v>
      </c>
      <c r="T669" t="s">
        <v>9938</v>
      </c>
      <c r="U669" t="s">
        <v>8150</v>
      </c>
      <c r="V669" t="s">
        <v>6041</v>
      </c>
      <c r="W669" t="s">
        <v>5868</v>
      </c>
      <c r="X669" s="2">
        <v>0</v>
      </c>
      <c r="Y669" t="s">
        <v>5858</v>
      </c>
      <c r="Z669" t="s">
        <v>6037</v>
      </c>
      <c r="AA669" s="2">
        <v>20000</v>
      </c>
      <c r="AB669" t="s">
        <v>5861</v>
      </c>
      <c r="AC669" t="s">
        <v>9977</v>
      </c>
      <c r="AD669" s="32"/>
      <c r="AJ669" t="s">
        <v>9971</v>
      </c>
      <c r="AL669" t="s">
        <v>10913</v>
      </c>
    </row>
    <row r="670" spans="1:38">
      <c r="A670" t="s">
        <v>8146</v>
      </c>
      <c r="B670" t="s">
        <v>13199</v>
      </c>
      <c r="C670" t="s">
        <v>8157</v>
      </c>
      <c r="D670" t="s">
        <v>8158</v>
      </c>
      <c r="E670" s="2">
        <v>2060</v>
      </c>
      <c r="F670" s="2">
        <v>2060</v>
      </c>
      <c r="G670" s="3">
        <v>43299</v>
      </c>
      <c r="H670" s="4">
        <v>0.26471064814814999</v>
      </c>
      <c r="I670" s="3">
        <v>43299</v>
      </c>
      <c r="J670" s="4">
        <v>0.34886574074074</v>
      </c>
      <c r="K670" s="2">
        <v>0</v>
      </c>
      <c r="L670" t="s">
        <v>5856</v>
      </c>
      <c r="M670" t="s">
        <v>8234</v>
      </c>
      <c r="N670" s="3">
        <v>43291</v>
      </c>
      <c r="O670" s="3">
        <v>43301</v>
      </c>
      <c r="P670" t="s">
        <v>5862</v>
      </c>
      <c r="Q670" t="s">
        <v>6038</v>
      </c>
      <c r="R670" t="s">
        <v>6040</v>
      </c>
      <c r="S670" s="3">
        <v>43288</v>
      </c>
      <c r="T670" t="s">
        <v>9938</v>
      </c>
      <c r="U670" t="s">
        <v>8160</v>
      </c>
      <c r="V670" t="s">
        <v>8161</v>
      </c>
      <c r="W670" t="s">
        <v>5857</v>
      </c>
      <c r="X670" s="2">
        <v>1020</v>
      </c>
      <c r="Y670" t="s">
        <v>5858</v>
      </c>
      <c r="Z670" t="s">
        <v>6037</v>
      </c>
      <c r="AA670" s="2">
        <v>2000</v>
      </c>
      <c r="AB670" t="s">
        <v>5863</v>
      </c>
      <c r="AC670" t="s">
        <v>9978</v>
      </c>
      <c r="AD670" s="32">
        <v>43280</v>
      </c>
      <c r="AJ670" t="s">
        <v>9971</v>
      </c>
      <c r="AL670" t="s">
        <v>14004</v>
      </c>
    </row>
    <row r="671" spans="1:38">
      <c r="A671" t="s">
        <v>8146</v>
      </c>
      <c r="B671" t="s">
        <v>12048</v>
      </c>
      <c r="C671" t="s">
        <v>8177</v>
      </c>
      <c r="D671" t="s">
        <v>8178</v>
      </c>
      <c r="E671" s="2">
        <v>20000</v>
      </c>
      <c r="F671" s="2">
        <v>20000</v>
      </c>
      <c r="G671" s="3">
        <v>43299</v>
      </c>
      <c r="H671" s="4">
        <v>0.50967592592593003</v>
      </c>
      <c r="I671" s="3">
        <v>43300</v>
      </c>
      <c r="J671" s="4">
        <v>0.32666666666666999</v>
      </c>
      <c r="K671" s="2">
        <v>20</v>
      </c>
      <c r="L671" t="s">
        <v>5856</v>
      </c>
      <c r="M671" t="s">
        <v>8072</v>
      </c>
      <c r="N671" s="3">
        <v>43298</v>
      </c>
      <c r="O671" s="3">
        <v>43302</v>
      </c>
      <c r="P671" t="s">
        <v>5889</v>
      </c>
      <c r="Q671" t="s">
        <v>8182</v>
      </c>
      <c r="R671" t="s">
        <v>6036</v>
      </c>
      <c r="S671" s="3">
        <v>43298</v>
      </c>
      <c r="T671" t="s">
        <v>9938</v>
      </c>
      <c r="U671" t="s">
        <v>5893</v>
      </c>
      <c r="V671" t="s">
        <v>5999</v>
      </c>
      <c r="W671" t="s">
        <v>5857</v>
      </c>
      <c r="X671" s="2">
        <v>1020</v>
      </c>
      <c r="Y671" t="s">
        <v>5858</v>
      </c>
      <c r="Z671" t="s">
        <v>6037</v>
      </c>
      <c r="AA671" s="2">
        <v>20000</v>
      </c>
      <c r="AB671" t="s">
        <v>5863</v>
      </c>
      <c r="AC671" t="s">
        <v>9978</v>
      </c>
      <c r="AD671" s="32">
        <v>43262</v>
      </c>
      <c r="AJ671" t="s">
        <v>9958</v>
      </c>
      <c r="AL671" t="s">
        <v>10914</v>
      </c>
    </row>
    <row r="672" spans="1:38">
      <c r="A672" t="s">
        <v>8146</v>
      </c>
      <c r="B672" t="s">
        <v>13200</v>
      </c>
      <c r="C672" t="s">
        <v>6091</v>
      </c>
      <c r="D672" t="s">
        <v>6007</v>
      </c>
      <c r="E672" s="2">
        <v>20600</v>
      </c>
      <c r="F672" s="2">
        <v>20600</v>
      </c>
      <c r="G672" s="3">
        <v>43300</v>
      </c>
      <c r="H672" s="4">
        <v>0.20506944444444</v>
      </c>
      <c r="I672" s="3">
        <v>43301</v>
      </c>
      <c r="J672" s="4">
        <v>4.657407407407E-2</v>
      </c>
      <c r="K672" s="2">
        <v>0</v>
      </c>
      <c r="L672" t="s">
        <v>5856</v>
      </c>
      <c r="M672" t="s">
        <v>8151</v>
      </c>
      <c r="N672" s="3">
        <v>43293</v>
      </c>
      <c r="O672" s="3">
        <v>43303</v>
      </c>
      <c r="P672" t="s">
        <v>5971</v>
      </c>
      <c r="Q672" t="s">
        <v>8231</v>
      </c>
      <c r="R672" t="s">
        <v>6036</v>
      </c>
      <c r="S672" s="3">
        <v>43307</v>
      </c>
      <c r="T672" t="s">
        <v>9938</v>
      </c>
      <c r="U672" t="s">
        <v>6052</v>
      </c>
      <c r="V672" t="s">
        <v>6041</v>
      </c>
      <c r="W672" t="s">
        <v>5857</v>
      </c>
      <c r="X672" s="2">
        <v>1020</v>
      </c>
      <c r="Y672" t="s">
        <v>5858</v>
      </c>
      <c r="Z672" t="s">
        <v>6037</v>
      </c>
      <c r="AA672" s="2">
        <v>20000</v>
      </c>
      <c r="AB672" t="s">
        <v>5863</v>
      </c>
      <c r="AC672" t="s">
        <v>9975</v>
      </c>
      <c r="AD672" s="32">
        <v>43280</v>
      </c>
      <c r="AJ672" t="s">
        <v>9958</v>
      </c>
      <c r="AL672" t="s">
        <v>14005</v>
      </c>
    </row>
    <row r="673" spans="1:38">
      <c r="A673" t="s">
        <v>8146</v>
      </c>
      <c r="B673" t="s">
        <v>12049</v>
      </c>
      <c r="C673" t="s">
        <v>8147</v>
      </c>
      <c r="D673" t="s">
        <v>8148</v>
      </c>
      <c r="E673" s="2">
        <v>20000</v>
      </c>
      <c r="F673" s="2">
        <v>20000</v>
      </c>
      <c r="G673" s="3">
        <v>43300</v>
      </c>
      <c r="H673" s="4">
        <v>0.34749999999999998</v>
      </c>
      <c r="I673" s="3">
        <v>43301</v>
      </c>
      <c r="J673" s="4">
        <v>4.1944444444440003E-2</v>
      </c>
      <c r="K673" s="2">
        <v>0</v>
      </c>
      <c r="L673" t="s">
        <v>5856</v>
      </c>
      <c r="M673" t="s">
        <v>8171</v>
      </c>
      <c r="N673" s="3"/>
      <c r="O673" s="3">
        <v>43303</v>
      </c>
      <c r="P673" t="s">
        <v>5864</v>
      </c>
      <c r="Q673" t="s">
        <v>13201</v>
      </c>
      <c r="R673" t="s">
        <v>13194</v>
      </c>
      <c r="S673" s="3">
        <v>43400</v>
      </c>
      <c r="T673" t="s">
        <v>9938</v>
      </c>
      <c r="U673" t="s">
        <v>8150</v>
      </c>
      <c r="V673" t="s">
        <v>6041</v>
      </c>
      <c r="W673" t="s">
        <v>5868</v>
      </c>
      <c r="X673" s="2">
        <v>0</v>
      </c>
      <c r="Y673" t="s">
        <v>5858</v>
      </c>
      <c r="Z673" t="s">
        <v>6037</v>
      </c>
      <c r="AA673" s="2">
        <v>20000</v>
      </c>
      <c r="AB673" t="s">
        <v>5861</v>
      </c>
      <c r="AC673" t="s">
        <v>9977</v>
      </c>
      <c r="AD673" s="32"/>
      <c r="AJ673" t="s">
        <v>9971</v>
      </c>
      <c r="AL673" t="s">
        <v>10915</v>
      </c>
    </row>
    <row r="674" spans="1:38">
      <c r="A674" t="s">
        <v>8146</v>
      </c>
      <c r="B674" t="s">
        <v>12050</v>
      </c>
      <c r="C674" t="s">
        <v>8183</v>
      </c>
      <c r="D674" t="s">
        <v>8184</v>
      </c>
      <c r="E674" s="2">
        <v>10000</v>
      </c>
      <c r="F674" s="2">
        <v>10000</v>
      </c>
      <c r="G674" s="3">
        <v>43301</v>
      </c>
      <c r="H674" s="4">
        <v>6.277777777778E-2</v>
      </c>
      <c r="I674" s="3">
        <v>43301</v>
      </c>
      <c r="J674" s="4">
        <v>0.47127314814815002</v>
      </c>
      <c r="K674" s="2">
        <v>20</v>
      </c>
      <c r="L674" t="s">
        <v>5856</v>
      </c>
      <c r="M674" t="s">
        <v>7264</v>
      </c>
      <c r="N674" s="3">
        <v>43300</v>
      </c>
      <c r="O674" s="3">
        <v>43303</v>
      </c>
      <c r="P674" t="s">
        <v>6018</v>
      </c>
      <c r="Q674" t="s">
        <v>8185</v>
      </c>
      <c r="R674" t="s">
        <v>6036</v>
      </c>
      <c r="S674" s="3">
        <v>43300</v>
      </c>
      <c r="T674" t="s">
        <v>9938</v>
      </c>
      <c r="U674" t="s">
        <v>8186</v>
      </c>
      <c r="V674" t="s">
        <v>6760</v>
      </c>
      <c r="W674" t="s">
        <v>5857</v>
      </c>
      <c r="X674" s="2">
        <v>1020</v>
      </c>
      <c r="Y674" t="s">
        <v>5858</v>
      </c>
      <c r="Z674" t="s">
        <v>6037</v>
      </c>
      <c r="AA674" s="2">
        <v>10000</v>
      </c>
      <c r="AB674" t="s">
        <v>5863</v>
      </c>
      <c r="AC674" t="s">
        <v>9978</v>
      </c>
      <c r="AD674" s="32">
        <v>43179</v>
      </c>
      <c r="AJ674" t="s">
        <v>9958</v>
      </c>
      <c r="AL674" t="s">
        <v>10916</v>
      </c>
    </row>
    <row r="675" spans="1:38">
      <c r="A675" t="s">
        <v>8146</v>
      </c>
      <c r="B675" t="s">
        <v>12051</v>
      </c>
      <c r="C675" t="s">
        <v>8163</v>
      </c>
      <c r="D675" t="s">
        <v>8164</v>
      </c>
      <c r="E675" s="2">
        <v>5150</v>
      </c>
      <c r="F675" s="2">
        <v>5150</v>
      </c>
      <c r="G675" s="3">
        <v>43303</v>
      </c>
      <c r="H675" s="4">
        <v>0.21678240740741</v>
      </c>
      <c r="I675" s="3">
        <v>43303</v>
      </c>
      <c r="J675" s="4">
        <v>0.42715277777777999</v>
      </c>
      <c r="K675" s="2">
        <v>0</v>
      </c>
      <c r="L675" t="s">
        <v>5856</v>
      </c>
      <c r="M675" t="s">
        <v>8159</v>
      </c>
      <c r="N675" s="3">
        <v>43301</v>
      </c>
      <c r="O675" s="3">
        <v>43305</v>
      </c>
      <c r="P675" t="s">
        <v>5862</v>
      </c>
      <c r="Q675" t="s">
        <v>8166</v>
      </c>
      <c r="R675" t="s">
        <v>6036</v>
      </c>
      <c r="S675" s="3">
        <v>43297</v>
      </c>
      <c r="T675" t="s">
        <v>9938</v>
      </c>
      <c r="U675" t="s">
        <v>8167</v>
      </c>
      <c r="V675" t="s">
        <v>8168</v>
      </c>
      <c r="W675" t="s">
        <v>5857</v>
      </c>
      <c r="X675" s="2">
        <v>0</v>
      </c>
      <c r="Y675" t="s">
        <v>5858</v>
      </c>
      <c r="Z675" t="s">
        <v>6037</v>
      </c>
      <c r="AA675" s="2">
        <v>5000</v>
      </c>
      <c r="AB675" t="s">
        <v>5861</v>
      </c>
      <c r="AC675" t="s">
        <v>9978</v>
      </c>
      <c r="AD675" s="32"/>
      <c r="AJ675" t="s">
        <v>9957</v>
      </c>
      <c r="AL675" t="s">
        <v>10917</v>
      </c>
    </row>
    <row r="676" spans="1:38">
      <c r="A676" t="s">
        <v>8146</v>
      </c>
      <c r="B676" t="s">
        <v>13202</v>
      </c>
      <c r="C676" t="s">
        <v>6083</v>
      </c>
      <c r="D676" t="s">
        <v>5991</v>
      </c>
      <c r="E676" s="2">
        <v>20600</v>
      </c>
      <c r="F676" s="2">
        <v>20600</v>
      </c>
      <c r="G676" s="3">
        <v>43305</v>
      </c>
      <c r="H676" s="4">
        <v>0.15848379629629999</v>
      </c>
      <c r="I676" s="3">
        <v>43305</v>
      </c>
      <c r="J676" s="4">
        <v>0.99998842592592996</v>
      </c>
      <c r="K676" s="2">
        <v>0</v>
      </c>
      <c r="L676" t="s">
        <v>5856</v>
      </c>
      <c r="M676" t="s">
        <v>8151</v>
      </c>
      <c r="N676" s="3">
        <v>43307</v>
      </c>
      <c r="O676" s="3">
        <v>43307</v>
      </c>
      <c r="P676" t="s">
        <v>5971</v>
      </c>
      <c r="Q676" t="s">
        <v>6038</v>
      </c>
      <c r="R676" t="s">
        <v>6040</v>
      </c>
      <c r="S676" s="3">
        <v>43313</v>
      </c>
      <c r="T676" t="s">
        <v>9938</v>
      </c>
      <c r="U676" t="s">
        <v>6065</v>
      </c>
      <c r="V676" t="s">
        <v>6041</v>
      </c>
      <c r="W676" t="s">
        <v>5857</v>
      </c>
      <c r="X676" s="2">
        <v>0</v>
      </c>
      <c r="Y676" t="s">
        <v>5858</v>
      </c>
      <c r="Z676" t="s">
        <v>6037</v>
      </c>
      <c r="AA676" s="2">
        <v>20000</v>
      </c>
      <c r="AB676" t="s">
        <v>5915</v>
      </c>
      <c r="AC676" t="s">
        <v>9975</v>
      </c>
      <c r="AD676" s="32"/>
      <c r="AI676" t="s">
        <v>9939</v>
      </c>
      <c r="AJ676" t="s">
        <v>9958</v>
      </c>
      <c r="AL676" t="s">
        <v>14006</v>
      </c>
    </row>
    <row r="677" spans="1:38">
      <c r="A677" t="s">
        <v>8146</v>
      </c>
      <c r="B677" t="s">
        <v>13203</v>
      </c>
      <c r="C677" t="s">
        <v>8177</v>
      </c>
      <c r="D677" t="s">
        <v>8178</v>
      </c>
      <c r="E677" s="2">
        <v>20600</v>
      </c>
      <c r="F677" s="2">
        <v>20600</v>
      </c>
      <c r="G677" s="3">
        <v>43305</v>
      </c>
      <c r="H677" s="4">
        <v>0.48509259259259002</v>
      </c>
      <c r="I677" s="3">
        <v>43306</v>
      </c>
      <c r="J677" s="4">
        <v>0.32659722222221998</v>
      </c>
      <c r="K677" s="2">
        <v>0</v>
      </c>
      <c r="L677" t="s">
        <v>5856</v>
      </c>
      <c r="M677" t="s">
        <v>8151</v>
      </c>
      <c r="N677" s="3">
        <v>43308</v>
      </c>
      <c r="O677" s="3">
        <v>43308</v>
      </c>
      <c r="P677" t="s">
        <v>5889</v>
      </c>
      <c r="Q677" t="s">
        <v>13204</v>
      </c>
      <c r="R677" t="s">
        <v>6036</v>
      </c>
      <c r="S677" s="3">
        <v>43308</v>
      </c>
      <c r="T677" t="s">
        <v>9938</v>
      </c>
      <c r="U677" t="s">
        <v>5893</v>
      </c>
      <c r="V677" t="s">
        <v>5999</v>
      </c>
      <c r="W677" t="s">
        <v>5857</v>
      </c>
      <c r="X677" s="2">
        <v>1020</v>
      </c>
      <c r="Y677" t="s">
        <v>5858</v>
      </c>
      <c r="Z677" t="s">
        <v>6037</v>
      </c>
      <c r="AA677" s="2">
        <v>20000</v>
      </c>
      <c r="AB677" t="s">
        <v>5863</v>
      </c>
      <c r="AC677" t="s">
        <v>9978</v>
      </c>
      <c r="AD677" s="32">
        <v>43280</v>
      </c>
      <c r="AJ677" t="s">
        <v>9958</v>
      </c>
      <c r="AL677" t="s">
        <v>14007</v>
      </c>
    </row>
    <row r="678" spans="1:38">
      <c r="A678" t="s">
        <v>8146</v>
      </c>
      <c r="B678" t="s">
        <v>12052</v>
      </c>
      <c r="C678" t="s">
        <v>8177</v>
      </c>
      <c r="D678" t="s">
        <v>8178</v>
      </c>
      <c r="E678" s="2">
        <v>12000</v>
      </c>
      <c r="F678" s="2">
        <v>12000</v>
      </c>
      <c r="G678" s="3">
        <v>43308</v>
      </c>
      <c r="H678" s="4">
        <v>0.50980324074074002</v>
      </c>
      <c r="I678" s="3">
        <v>43309</v>
      </c>
      <c r="J678" s="4">
        <v>0</v>
      </c>
      <c r="K678" s="2">
        <v>20</v>
      </c>
      <c r="L678" t="s">
        <v>5856</v>
      </c>
      <c r="M678" t="s">
        <v>6727</v>
      </c>
      <c r="N678" s="3">
        <v>43311</v>
      </c>
      <c r="O678" s="3">
        <v>43310</v>
      </c>
      <c r="P678" t="s">
        <v>5889</v>
      </c>
      <c r="Q678" t="s">
        <v>8188</v>
      </c>
      <c r="R678" t="s">
        <v>6036</v>
      </c>
      <c r="S678" s="3">
        <v>43311</v>
      </c>
      <c r="T678" t="s">
        <v>9938</v>
      </c>
      <c r="U678" t="s">
        <v>5893</v>
      </c>
      <c r="V678" t="s">
        <v>5999</v>
      </c>
      <c r="W678" t="s">
        <v>5857</v>
      </c>
      <c r="X678" s="2">
        <v>1020</v>
      </c>
      <c r="Y678" t="s">
        <v>5858</v>
      </c>
      <c r="Z678" t="s">
        <v>6037</v>
      </c>
      <c r="AA678" s="2">
        <v>12000</v>
      </c>
      <c r="AB678" t="s">
        <v>5863</v>
      </c>
      <c r="AC678" t="s">
        <v>9978</v>
      </c>
      <c r="AD678" s="32">
        <v>43272</v>
      </c>
      <c r="AJ678" t="s">
        <v>9958</v>
      </c>
      <c r="AL678" t="s">
        <v>10918</v>
      </c>
    </row>
    <row r="679" spans="1:38">
      <c r="A679" t="s">
        <v>8146</v>
      </c>
      <c r="B679" t="s">
        <v>12053</v>
      </c>
      <c r="C679" t="s">
        <v>8152</v>
      </c>
      <c r="D679" t="s">
        <v>8153</v>
      </c>
      <c r="E679" s="2">
        <v>20000</v>
      </c>
      <c r="F679" s="2">
        <v>20000</v>
      </c>
      <c r="G679" s="3">
        <v>43310</v>
      </c>
      <c r="H679" s="4">
        <v>0.18300925925926001</v>
      </c>
      <c r="I679" s="3">
        <v>43311</v>
      </c>
      <c r="J679" s="4">
        <v>0</v>
      </c>
      <c r="K679" s="2">
        <v>20</v>
      </c>
      <c r="L679" t="s">
        <v>5856</v>
      </c>
      <c r="M679" t="s">
        <v>8072</v>
      </c>
      <c r="N679" s="3">
        <v>43313</v>
      </c>
      <c r="O679" s="3">
        <v>43312</v>
      </c>
      <c r="P679" t="s">
        <v>5971</v>
      </c>
      <c r="Q679" t="s">
        <v>8189</v>
      </c>
      <c r="R679" t="s">
        <v>6042</v>
      </c>
      <c r="S679" s="3">
        <v>43313</v>
      </c>
      <c r="T679" t="s">
        <v>9938</v>
      </c>
      <c r="U679" t="s">
        <v>8154</v>
      </c>
      <c r="V679" t="s">
        <v>8155</v>
      </c>
      <c r="W679" t="s">
        <v>5857</v>
      </c>
      <c r="X679" s="2">
        <v>1020</v>
      </c>
      <c r="Y679" t="s">
        <v>5858</v>
      </c>
      <c r="Z679" t="s">
        <v>6037</v>
      </c>
      <c r="AA679" s="2">
        <v>20000</v>
      </c>
      <c r="AB679" t="s">
        <v>5863</v>
      </c>
      <c r="AC679" t="s">
        <v>9974</v>
      </c>
      <c r="AD679" s="32">
        <v>43255</v>
      </c>
      <c r="AI679" t="s">
        <v>9939</v>
      </c>
      <c r="AJ679" t="s">
        <v>9958</v>
      </c>
      <c r="AL679" t="s">
        <v>10919</v>
      </c>
    </row>
    <row r="680" spans="1:38">
      <c r="A680" t="s">
        <v>8146</v>
      </c>
      <c r="B680" t="s">
        <v>13205</v>
      </c>
      <c r="C680" t="s">
        <v>13206</v>
      </c>
      <c r="D680" t="s">
        <v>13207</v>
      </c>
      <c r="E680" s="2">
        <v>3399</v>
      </c>
      <c r="F680" s="2">
        <v>3399</v>
      </c>
      <c r="G680" s="3">
        <v>43311</v>
      </c>
      <c r="H680" s="4">
        <v>0.86115740740740998</v>
      </c>
      <c r="I680" s="3">
        <v>43312</v>
      </c>
      <c r="J680" s="4">
        <v>0</v>
      </c>
      <c r="K680" s="2">
        <v>20</v>
      </c>
      <c r="L680" t="s">
        <v>5856</v>
      </c>
      <c r="M680" t="s">
        <v>13208</v>
      </c>
      <c r="N680" s="3">
        <v>43314</v>
      </c>
      <c r="O680" s="3">
        <v>43313</v>
      </c>
      <c r="P680" t="s">
        <v>5862</v>
      </c>
      <c r="Q680" t="s">
        <v>13209</v>
      </c>
      <c r="R680" t="s">
        <v>6036</v>
      </c>
      <c r="S680" s="3">
        <v>43314</v>
      </c>
      <c r="T680" t="s">
        <v>9938</v>
      </c>
      <c r="U680" t="s">
        <v>5894</v>
      </c>
      <c r="V680" t="s">
        <v>13210</v>
      </c>
      <c r="W680" t="s">
        <v>5857</v>
      </c>
      <c r="X680" s="2">
        <v>1020</v>
      </c>
      <c r="Y680" t="s">
        <v>5858</v>
      </c>
      <c r="Z680" t="s">
        <v>6037</v>
      </c>
      <c r="AA680" s="2">
        <v>3300</v>
      </c>
      <c r="AB680" t="s">
        <v>5863</v>
      </c>
      <c r="AC680" t="s">
        <v>9978</v>
      </c>
      <c r="AD680" s="32">
        <v>43280</v>
      </c>
      <c r="AJ680" t="s">
        <v>9958</v>
      </c>
      <c r="AL680" t="s">
        <v>14008</v>
      </c>
    </row>
    <row r="681" spans="1:38">
      <c r="A681" t="s">
        <v>8146</v>
      </c>
      <c r="B681" t="s">
        <v>13211</v>
      </c>
      <c r="C681" t="s">
        <v>6083</v>
      </c>
      <c r="D681" t="s">
        <v>5991</v>
      </c>
      <c r="E681" s="2">
        <v>20600</v>
      </c>
      <c r="F681" s="2">
        <v>20600</v>
      </c>
      <c r="G681" s="3">
        <v>43312</v>
      </c>
      <c r="H681" s="4">
        <v>0.15848379629629999</v>
      </c>
      <c r="I681" s="3">
        <v>43312</v>
      </c>
      <c r="J681" s="4">
        <v>0.99998842592592996</v>
      </c>
      <c r="K681" s="2">
        <v>0</v>
      </c>
      <c r="L681" t="s">
        <v>5856</v>
      </c>
      <c r="M681" t="s">
        <v>8151</v>
      </c>
      <c r="N681" s="3">
        <v>43314</v>
      </c>
      <c r="O681" s="3">
        <v>43314</v>
      </c>
      <c r="P681" t="s">
        <v>5971</v>
      </c>
      <c r="Q681" t="s">
        <v>6038</v>
      </c>
      <c r="R681" t="s">
        <v>6040</v>
      </c>
      <c r="S681" s="3">
        <v>43344</v>
      </c>
      <c r="T681" t="s">
        <v>9938</v>
      </c>
      <c r="U681" t="s">
        <v>6065</v>
      </c>
      <c r="V681" t="s">
        <v>6041</v>
      </c>
      <c r="W681" t="s">
        <v>5857</v>
      </c>
      <c r="X681" s="2">
        <v>0</v>
      </c>
      <c r="Y681" t="s">
        <v>5858</v>
      </c>
      <c r="Z681" t="s">
        <v>6037</v>
      </c>
      <c r="AA681" s="2">
        <v>20000</v>
      </c>
      <c r="AB681" t="s">
        <v>5915</v>
      </c>
      <c r="AC681" t="s">
        <v>9975</v>
      </c>
      <c r="AD681" s="32"/>
      <c r="AI681" t="s">
        <v>9939</v>
      </c>
      <c r="AJ681" t="s">
        <v>9958</v>
      </c>
      <c r="AL681" t="s">
        <v>14009</v>
      </c>
    </row>
    <row r="682" spans="1:38">
      <c r="A682" t="s">
        <v>8146</v>
      </c>
      <c r="B682" t="s">
        <v>12054</v>
      </c>
      <c r="C682" t="s">
        <v>6770</v>
      </c>
      <c r="D682" t="s">
        <v>6771</v>
      </c>
      <c r="E682" s="2">
        <v>20000</v>
      </c>
      <c r="F682" s="2">
        <v>20000</v>
      </c>
      <c r="G682" s="3">
        <v>43312</v>
      </c>
      <c r="H682" s="4">
        <v>0.22221064814815</v>
      </c>
      <c r="I682" s="3">
        <v>43313</v>
      </c>
      <c r="J682" s="4">
        <v>3.920138888889E-2</v>
      </c>
      <c r="K682" s="2">
        <v>0</v>
      </c>
      <c r="L682" t="s">
        <v>5856</v>
      </c>
      <c r="M682" t="s">
        <v>8072</v>
      </c>
      <c r="N682" s="3"/>
      <c r="O682" s="3">
        <v>43315</v>
      </c>
      <c r="P682" t="s">
        <v>6018</v>
      </c>
      <c r="Q682" t="s">
        <v>6038</v>
      </c>
      <c r="R682" t="s">
        <v>6040</v>
      </c>
      <c r="S682" s="3">
        <v>43313</v>
      </c>
      <c r="T682" t="s">
        <v>9938</v>
      </c>
      <c r="U682" t="s">
        <v>6675</v>
      </c>
      <c r="V682" t="s">
        <v>6760</v>
      </c>
      <c r="W682" t="s">
        <v>5857</v>
      </c>
      <c r="X682" s="2">
        <v>0</v>
      </c>
      <c r="Y682" t="s">
        <v>5858</v>
      </c>
      <c r="Z682" t="s">
        <v>6037</v>
      </c>
      <c r="AA682" s="2">
        <v>20000</v>
      </c>
      <c r="AB682" t="s">
        <v>5861</v>
      </c>
      <c r="AC682" t="s">
        <v>9979</v>
      </c>
      <c r="AD682" s="32"/>
      <c r="AJ682" t="s">
        <v>9958</v>
      </c>
      <c r="AL682" t="s">
        <v>10920</v>
      </c>
    </row>
    <row r="683" spans="1:38">
      <c r="A683" t="s">
        <v>8146</v>
      </c>
      <c r="B683" t="s">
        <v>12055</v>
      </c>
      <c r="C683" t="s">
        <v>6770</v>
      </c>
      <c r="D683" t="s">
        <v>6771</v>
      </c>
      <c r="E683" s="2">
        <v>20000</v>
      </c>
      <c r="F683" s="2">
        <v>20000</v>
      </c>
      <c r="G683" s="3">
        <v>43312</v>
      </c>
      <c r="H683" s="4">
        <v>0.91665509259259004</v>
      </c>
      <c r="I683" s="3">
        <v>43313</v>
      </c>
      <c r="J683" s="4">
        <v>0.73364583333333</v>
      </c>
      <c r="K683" s="2">
        <v>0</v>
      </c>
      <c r="L683" t="s">
        <v>5856</v>
      </c>
      <c r="M683" t="s">
        <v>8072</v>
      </c>
      <c r="N683" s="3"/>
      <c r="O683" s="3">
        <v>43315</v>
      </c>
      <c r="P683" t="s">
        <v>6018</v>
      </c>
      <c r="Q683" t="s">
        <v>13212</v>
      </c>
      <c r="R683" t="s">
        <v>6036</v>
      </c>
      <c r="S683" s="3">
        <v>43315</v>
      </c>
      <c r="T683" t="s">
        <v>9938</v>
      </c>
      <c r="U683" t="s">
        <v>6675</v>
      </c>
      <c r="V683" t="s">
        <v>6760</v>
      </c>
      <c r="W683" t="s">
        <v>5857</v>
      </c>
      <c r="X683" s="2">
        <v>0</v>
      </c>
      <c r="Y683" t="s">
        <v>5858</v>
      </c>
      <c r="Z683" t="s">
        <v>6037</v>
      </c>
      <c r="AA683" s="2">
        <v>20000</v>
      </c>
      <c r="AB683" t="s">
        <v>5861</v>
      </c>
      <c r="AC683" t="s">
        <v>9979</v>
      </c>
      <c r="AD683" s="32"/>
      <c r="AJ683" t="s">
        <v>9958</v>
      </c>
      <c r="AL683" t="s">
        <v>10921</v>
      </c>
    </row>
    <row r="684" spans="1:38">
      <c r="A684" t="s">
        <v>8146</v>
      </c>
      <c r="B684" t="s">
        <v>12056</v>
      </c>
      <c r="C684" t="s">
        <v>6770</v>
      </c>
      <c r="D684" t="s">
        <v>6771</v>
      </c>
      <c r="E684" s="2">
        <v>20000</v>
      </c>
      <c r="F684" s="2">
        <v>20000</v>
      </c>
      <c r="G684" s="3">
        <v>43313</v>
      </c>
      <c r="H684" s="4">
        <v>0.61109953703704001</v>
      </c>
      <c r="I684" s="3">
        <v>43314</v>
      </c>
      <c r="J684" s="4">
        <v>0.42809027777778003</v>
      </c>
      <c r="K684" s="2">
        <v>0</v>
      </c>
      <c r="L684" t="s">
        <v>5856</v>
      </c>
      <c r="M684" t="s">
        <v>8072</v>
      </c>
      <c r="N684" s="3"/>
      <c r="O684" s="3">
        <v>43316</v>
      </c>
      <c r="P684" t="s">
        <v>6018</v>
      </c>
      <c r="Q684" t="s">
        <v>8250</v>
      </c>
      <c r="R684" t="s">
        <v>6036</v>
      </c>
      <c r="S684" s="3">
        <v>43318</v>
      </c>
      <c r="T684" t="s">
        <v>9938</v>
      </c>
      <c r="U684" t="s">
        <v>6675</v>
      </c>
      <c r="V684" t="s">
        <v>6760</v>
      </c>
      <c r="W684" t="s">
        <v>5857</v>
      </c>
      <c r="X684" s="2">
        <v>0</v>
      </c>
      <c r="Y684" t="s">
        <v>5858</v>
      </c>
      <c r="Z684" t="s">
        <v>6037</v>
      </c>
      <c r="AA684" s="2">
        <v>20000</v>
      </c>
      <c r="AB684" t="s">
        <v>5861</v>
      </c>
      <c r="AC684" t="s">
        <v>9979</v>
      </c>
      <c r="AD684" s="32"/>
      <c r="AJ684" t="s">
        <v>9958</v>
      </c>
      <c r="AL684" t="s">
        <v>10922</v>
      </c>
    </row>
    <row r="685" spans="1:38">
      <c r="A685" t="s">
        <v>8146</v>
      </c>
      <c r="B685" t="s">
        <v>12057</v>
      </c>
      <c r="C685" t="s">
        <v>6770</v>
      </c>
      <c r="D685" t="s">
        <v>6771</v>
      </c>
      <c r="E685" s="2">
        <v>20000</v>
      </c>
      <c r="F685" s="2">
        <v>20000</v>
      </c>
      <c r="G685" s="3">
        <v>43314</v>
      </c>
      <c r="H685" s="4">
        <v>0.30554398148147999</v>
      </c>
      <c r="I685" s="3">
        <v>43315</v>
      </c>
      <c r="J685" s="4">
        <v>0.12253472222222</v>
      </c>
      <c r="K685" s="2">
        <v>0</v>
      </c>
      <c r="L685" t="s">
        <v>5856</v>
      </c>
      <c r="M685" t="s">
        <v>8072</v>
      </c>
      <c r="N685" s="3"/>
      <c r="O685" s="3">
        <v>43317</v>
      </c>
      <c r="P685" t="s">
        <v>6018</v>
      </c>
      <c r="Q685" t="s">
        <v>8251</v>
      </c>
      <c r="R685" t="s">
        <v>6036</v>
      </c>
      <c r="S685" s="3">
        <v>43321</v>
      </c>
      <c r="T685" t="s">
        <v>9938</v>
      </c>
      <c r="U685" t="s">
        <v>6675</v>
      </c>
      <c r="V685" t="s">
        <v>6760</v>
      </c>
      <c r="W685" t="s">
        <v>5857</v>
      </c>
      <c r="X685" s="2">
        <v>0</v>
      </c>
      <c r="Y685" t="s">
        <v>5858</v>
      </c>
      <c r="Z685" t="s">
        <v>6037</v>
      </c>
      <c r="AA685" s="2">
        <v>20000</v>
      </c>
      <c r="AB685" t="s">
        <v>5861</v>
      </c>
      <c r="AC685" t="s">
        <v>9979</v>
      </c>
      <c r="AD685" s="32"/>
      <c r="AJ685" t="s">
        <v>9958</v>
      </c>
      <c r="AL685" t="s">
        <v>10923</v>
      </c>
    </row>
    <row r="686" spans="1:38">
      <c r="A686" t="s">
        <v>8146</v>
      </c>
      <c r="B686" t="s">
        <v>12058</v>
      </c>
      <c r="C686" t="s">
        <v>8183</v>
      </c>
      <c r="D686" t="s">
        <v>8184</v>
      </c>
      <c r="E686" s="2">
        <v>10000</v>
      </c>
      <c r="F686" s="2">
        <v>10000</v>
      </c>
      <c r="G686" s="3">
        <v>43314</v>
      </c>
      <c r="H686" s="4">
        <v>0.65277777777778001</v>
      </c>
      <c r="I686" s="3">
        <v>43315</v>
      </c>
      <c r="J686" s="4">
        <v>6.1273148148149999E-2</v>
      </c>
      <c r="K686" s="2">
        <v>20</v>
      </c>
      <c r="L686" t="s">
        <v>5856</v>
      </c>
      <c r="M686" t="s">
        <v>7264</v>
      </c>
      <c r="N686" s="3">
        <v>43320</v>
      </c>
      <c r="O686" s="3">
        <v>43317</v>
      </c>
      <c r="P686" t="s">
        <v>6018</v>
      </c>
      <c r="Q686" t="s">
        <v>8192</v>
      </c>
      <c r="R686" t="s">
        <v>6036</v>
      </c>
      <c r="S686" s="3">
        <v>43320</v>
      </c>
      <c r="T686" t="s">
        <v>9938</v>
      </c>
      <c r="U686" t="s">
        <v>8186</v>
      </c>
      <c r="V686" t="s">
        <v>6760</v>
      </c>
      <c r="W686" t="s">
        <v>5857</v>
      </c>
      <c r="X686" s="2">
        <v>1020</v>
      </c>
      <c r="Y686" t="s">
        <v>5858</v>
      </c>
      <c r="Z686" t="s">
        <v>6037</v>
      </c>
      <c r="AA686" s="2">
        <v>10000</v>
      </c>
      <c r="AB686" t="s">
        <v>5863</v>
      </c>
      <c r="AC686" t="s">
        <v>9978</v>
      </c>
      <c r="AD686" s="32">
        <v>43179</v>
      </c>
      <c r="AJ686" t="s">
        <v>9958</v>
      </c>
      <c r="AL686" t="s">
        <v>10924</v>
      </c>
    </row>
    <row r="687" spans="1:38">
      <c r="A687" t="s">
        <v>8146</v>
      </c>
      <c r="B687" t="s">
        <v>12059</v>
      </c>
      <c r="C687" t="s">
        <v>8193</v>
      </c>
      <c r="D687" t="s">
        <v>8194</v>
      </c>
      <c r="E687" s="2">
        <v>2000</v>
      </c>
      <c r="F687" s="2">
        <v>2000</v>
      </c>
      <c r="G687" s="3">
        <v>43315</v>
      </c>
      <c r="H687" s="4">
        <v>0.91829861111111</v>
      </c>
      <c r="I687" s="3">
        <v>43316</v>
      </c>
      <c r="J687" s="4">
        <v>0</v>
      </c>
      <c r="K687" s="2">
        <v>0</v>
      </c>
      <c r="L687" t="s">
        <v>5856</v>
      </c>
      <c r="M687" t="s">
        <v>8079</v>
      </c>
      <c r="N687" s="3">
        <v>43318</v>
      </c>
      <c r="O687" s="3">
        <v>43317</v>
      </c>
      <c r="P687" t="s">
        <v>5889</v>
      </c>
      <c r="Q687" t="s">
        <v>8195</v>
      </c>
      <c r="R687" t="s">
        <v>6036</v>
      </c>
      <c r="S687" s="3">
        <v>43318</v>
      </c>
      <c r="T687" t="s">
        <v>9938</v>
      </c>
      <c r="U687" t="s">
        <v>5894</v>
      </c>
      <c r="V687" t="s">
        <v>8196</v>
      </c>
      <c r="W687" t="s">
        <v>5857</v>
      </c>
      <c r="X687" s="2">
        <v>1020</v>
      </c>
      <c r="Y687" t="s">
        <v>5858</v>
      </c>
      <c r="Z687" t="s">
        <v>6037</v>
      </c>
      <c r="AA687" s="2">
        <v>2000</v>
      </c>
      <c r="AB687" t="s">
        <v>5863</v>
      </c>
      <c r="AC687" t="s">
        <v>9978</v>
      </c>
      <c r="AD687" s="32">
        <v>43273</v>
      </c>
      <c r="AJ687" t="s">
        <v>9958</v>
      </c>
      <c r="AL687" t="s">
        <v>14010</v>
      </c>
    </row>
    <row r="688" spans="1:38">
      <c r="A688" t="s">
        <v>8146</v>
      </c>
      <c r="B688" t="s">
        <v>12060</v>
      </c>
      <c r="C688" t="s">
        <v>8152</v>
      </c>
      <c r="D688" t="s">
        <v>8153</v>
      </c>
      <c r="E688" s="2">
        <v>20000</v>
      </c>
      <c r="F688" s="2">
        <v>20000</v>
      </c>
      <c r="G688" s="3">
        <v>43317</v>
      </c>
      <c r="H688" s="4">
        <v>0.18300925925926001</v>
      </c>
      <c r="I688" s="3">
        <v>43318</v>
      </c>
      <c r="J688" s="4">
        <v>0</v>
      </c>
      <c r="K688" s="2">
        <v>20</v>
      </c>
      <c r="L688" t="s">
        <v>5856</v>
      </c>
      <c r="M688" t="s">
        <v>8072</v>
      </c>
      <c r="N688" s="3">
        <v>43320</v>
      </c>
      <c r="O688" s="3">
        <v>43319</v>
      </c>
      <c r="P688" t="s">
        <v>5971</v>
      </c>
      <c r="Q688" t="s">
        <v>8197</v>
      </c>
      <c r="R688" t="s">
        <v>6042</v>
      </c>
      <c r="S688" s="3">
        <v>43320</v>
      </c>
      <c r="T688" t="s">
        <v>9938</v>
      </c>
      <c r="U688" t="s">
        <v>8154</v>
      </c>
      <c r="V688" t="s">
        <v>8155</v>
      </c>
      <c r="W688" t="s">
        <v>5857</v>
      </c>
      <c r="X688" s="2">
        <v>1020</v>
      </c>
      <c r="Y688" t="s">
        <v>5858</v>
      </c>
      <c r="Z688" t="s">
        <v>6037</v>
      </c>
      <c r="AA688" s="2">
        <v>20000</v>
      </c>
      <c r="AB688" t="s">
        <v>5863</v>
      </c>
      <c r="AC688" t="s">
        <v>9974</v>
      </c>
      <c r="AD688" s="32">
        <v>43255</v>
      </c>
      <c r="AI688" t="s">
        <v>9939</v>
      </c>
      <c r="AJ688" t="s">
        <v>9958</v>
      </c>
      <c r="AL688" t="s">
        <v>10926</v>
      </c>
    </row>
    <row r="689" spans="1:38">
      <c r="A689" t="s">
        <v>8146</v>
      </c>
      <c r="B689" t="s">
        <v>12061</v>
      </c>
      <c r="C689" t="s">
        <v>8180</v>
      </c>
      <c r="D689" t="s">
        <v>8181</v>
      </c>
      <c r="E689" s="2">
        <v>5150</v>
      </c>
      <c r="F689" s="2">
        <v>5150</v>
      </c>
      <c r="G689" s="3">
        <v>43319</v>
      </c>
      <c r="H689" s="4">
        <v>0.78961805555555997</v>
      </c>
      <c r="I689" s="3">
        <v>43319</v>
      </c>
      <c r="J689" s="4">
        <v>0.99998842592592996</v>
      </c>
      <c r="K689" s="2">
        <v>0</v>
      </c>
      <c r="L689" t="s">
        <v>5856</v>
      </c>
      <c r="M689" t="s">
        <v>8159</v>
      </c>
      <c r="N689" s="3">
        <v>43321</v>
      </c>
      <c r="O689" s="3">
        <v>43321</v>
      </c>
      <c r="P689" t="s">
        <v>5869</v>
      </c>
      <c r="Q689" t="s">
        <v>6038</v>
      </c>
      <c r="R689" t="s">
        <v>6040</v>
      </c>
      <c r="S689" s="3">
        <v>43344</v>
      </c>
      <c r="T689" t="s">
        <v>9938</v>
      </c>
      <c r="U689" t="s">
        <v>7029</v>
      </c>
      <c r="V689" t="s">
        <v>6864</v>
      </c>
      <c r="W689" t="s">
        <v>5857</v>
      </c>
      <c r="X689" s="2">
        <v>0</v>
      </c>
      <c r="Y689" t="s">
        <v>5858</v>
      </c>
      <c r="Z689" t="s">
        <v>6037</v>
      </c>
      <c r="AA689" s="2">
        <v>5000</v>
      </c>
      <c r="AB689" t="s">
        <v>5861</v>
      </c>
      <c r="AC689" t="s">
        <v>9975</v>
      </c>
      <c r="AD689" s="32"/>
      <c r="AJ689" t="s">
        <v>9958</v>
      </c>
      <c r="AL689" t="s">
        <v>14011</v>
      </c>
    </row>
    <row r="690" spans="1:38">
      <c r="A690" t="s">
        <v>8146</v>
      </c>
      <c r="B690" t="s">
        <v>12062</v>
      </c>
      <c r="C690" t="s">
        <v>8198</v>
      </c>
      <c r="D690" t="s">
        <v>8199</v>
      </c>
      <c r="E690" s="2">
        <v>10000</v>
      </c>
      <c r="F690" s="2">
        <v>10000</v>
      </c>
      <c r="G690" s="3">
        <v>43327</v>
      </c>
      <c r="H690" s="4">
        <v>0.65277777777778001</v>
      </c>
      <c r="I690" s="3">
        <v>43328</v>
      </c>
      <c r="J690" s="4">
        <v>6.1273148148149999E-2</v>
      </c>
      <c r="K690" s="2">
        <v>20</v>
      </c>
      <c r="L690" t="s">
        <v>5856</v>
      </c>
      <c r="M690" t="s">
        <v>7264</v>
      </c>
      <c r="N690" s="3">
        <v>43333</v>
      </c>
      <c r="O690" s="3">
        <v>43330</v>
      </c>
      <c r="P690" t="s">
        <v>6018</v>
      </c>
      <c r="Q690" t="s">
        <v>8200</v>
      </c>
      <c r="R690" t="s">
        <v>6036</v>
      </c>
      <c r="S690" s="3">
        <v>43333</v>
      </c>
      <c r="T690" t="s">
        <v>9938</v>
      </c>
      <c r="U690" t="s">
        <v>8201</v>
      </c>
      <c r="V690" t="s">
        <v>6760</v>
      </c>
      <c r="W690" t="s">
        <v>5857</v>
      </c>
      <c r="X690" s="2">
        <v>1020</v>
      </c>
      <c r="Y690" t="s">
        <v>5858</v>
      </c>
      <c r="Z690" t="s">
        <v>6037</v>
      </c>
      <c r="AA690" s="2">
        <v>10000</v>
      </c>
      <c r="AB690" t="s">
        <v>5863</v>
      </c>
      <c r="AC690" t="s">
        <v>9978</v>
      </c>
      <c r="AD690" s="32"/>
      <c r="AJ690" t="s">
        <v>9971</v>
      </c>
      <c r="AL690" t="s">
        <v>10928</v>
      </c>
    </row>
    <row r="691" spans="1:38">
      <c r="A691" t="s">
        <v>8146</v>
      </c>
      <c r="B691" t="s">
        <v>12063</v>
      </c>
      <c r="C691" t="s">
        <v>8183</v>
      </c>
      <c r="D691" t="s">
        <v>8184</v>
      </c>
      <c r="E691" s="2">
        <v>10000</v>
      </c>
      <c r="F691" s="2">
        <v>10000</v>
      </c>
      <c r="G691" s="3">
        <v>43329</v>
      </c>
      <c r="H691" s="4">
        <v>0.65277777777778001</v>
      </c>
      <c r="I691" s="3">
        <v>43330</v>
      </c>
      <c r="J691" s="4">
        <v>6.1273148148149999E-2</v>
      </c>
      <c r="K691" s="2">
        <v>20</v>
      </c>
      <c r="L691" t="s">
        <v>5856</v>
      </c>
      <c r="M691" t="s">
        <v>7264</v>
      </c>
      <c r="N691" s="3">
        <v>43335</v>
      </c>
      <c r="O691" s="3">
        <v>43332</v>
      </c>
      <c r="P691" t="s">
        <v>6018</v>
      </c>
      <c r="Q691" t="s">
        <v>8202</v>
      </c>
      <c r="R691" t="s">
        <v>6036</v>
      </c>
      <c r="S691" s="3">
        <v>43335</v>
      </c>
      <c r="T691" t="s">
        <v>9938</v>
      </c>
      <c r="U691" t="s">
        <v>8186</v>
      </c>
      <c r="V691" t="s">
        <v>6760</v>
      </c>
      <c r="W691" t="s">
        <v>5857</v>
      </c>
      <c r="X691" s="2">
        <v>1020</v>
      </c>
      <c r="Y691" t="s">
        <v>5858</v>
      </c>
      <c r="Z691" t="s">
        <v>6037</v>
      </c>
      <c r="AA691" s="2">
        <v>10000</v>
      </c>
      <c r="AB691" t="s">
        <v>5863</v>
      </c>
      <c r="AC691" t="s">
        <v>9978</v>
      </c>
      <c r="AD691" s="32"/>
      <c r="AJ691" t="s">
        <v>9958</v>
      </c>
      <c r="AL691" t="s">
        <v>10929</v>
      </c>
    </row>
    <row r="692" spans="1:38">
      <c r="A692" t="s">
        <v>8146</v>
      </c>
      <c r="B692" t="s">
        <v>12064</v>
      </c>
      <c r="C692" t="s">
        <v>8157</v>
      </c>
      <c r="D692" t="s">
        <v>8158</v>
      </c>
      <c r="E692" s="2">
        <v>2060</v>
      </c>
      <c r="F692" s="2">
        <v>2060</v>
      </c>
      <c r="G692" s="3">
        <v>43342</v>
      </c>
      <c r="H692" s="4">
        <v>0.91583333333332995</v>
      </c>
      <c r="I692" s="3">
        <v>43342</v>
      </c>
      <c r="J692" s="4">
        <v>0.99998842592592996</v>
      </c>
      <c r="K692" s="2">
        <v>0</v>
      </c>
      <c r="L692" t="s">
        <v>5856</v>
      </c>
      <c r="M692" t="s">
        <v>8234</v>
      </c>
      <c r="N692" s="3">
        <v>43344</v>
      </c>
      <c r="O692" s="3">
        <v>43344</v>
      </c>
      <c r="P692" t="s">
        <v>5862</v>
      </c>
      <c r="Q692" t="s">
        <v>6038</v>
      </c>
      <c r="R692" t="s">
        <v>6040</v>
      </c>
      <c r="S692" s="3">
        <v>43288</v>
      </c>
      <c r="T692" t="s">
        <v>9938</v>
      </c>
      <c r="U692" t="s">
        <v>8160</v>
      </c>
      <c r="V692" t="s">
        <v>8161</v>
      </c>
      <c r="W692" t="s">
        <v>5857</v>
      </c>
      <c r="X692" s="2">
        <v>0</v>
      </c>
      <c r="Y692" t="s">
        <v>5858</v>
      </c>
      <c r="Z692" t="s">
        <v>6037</v>
      </c>
      <c r="AA692" s="2">
        <v>2000</v>
      </c>
      <c r="AB692" t="s">
        <v>5861</v>
      </c>
      <c r="AC692" t="s">
        <v>9978</v>
      </c>
      <c r="AD692" s="32"/>
      <c r="AJ692" t="s">
        <v>9971</v>
      </c>
      <c r="AL692" t="s">
        <v>14012</v>
      </c>
    </row>
    <row r="693" spans="1:38">
      <c r="A693" t="s">
        <v>8146</v>
      </c>
      <c r="B693" t="s">
        <v>12065</v>
      </c>
      <c r="C693" t="s">
        <v>8183</v>
      </c>
      <c r="D693" t="s">
        <v>8184</v>
      </c>
      <c r="E693" s="2">
        <v>10000</v>
      </c>
      <c r="F693" s="2">
        <v>10000</v>
      </c>
      <c r="G693" s="3">
        <v>43348</v>
      </c>
      <c r="H693" s="4">
        <v>0.65277777777778001</v>
      </c>
      <c r="I693" s="3">
        <v>43349</v>
      </c>
      <c r="J693" s="4">
        <v>6.1273148148149999E-2</v>
      </c>
      <c r="K693" s="2">
        <v>20</v>
      </c>
      <c r="L693" t="s">
        <v>5856</v>
      </c>
      <c r="M693" t="s">
        <v>7264</v>
      </c>
      <c r="N693" s="3">
        <v>43354</v>
      </c>
      <c r="O693" s="3">
        <v>43351</v>
      </c>
      <c r="P693" t="s">
        <v>6018</v>
      </c>
      <c r="Q693" t="s">
        <v>8203</v>
      </c>
      <c r="R693" t="s">
        <v>6036</v>
      </c>
      <c r="S693" s="3">
        <v>43354</v>
      </c>
      <c r="T693" t="s">
        <v>9938</v>
      </c>
      <c r="U693" t="s">
        <v>8186</v>
      </c>
      <c r="V693" t="s">
        <v>6760</v>
      </c>
      <c r="W693" t="s">
        <v>5857</v>
      </c>
      <c r="X693" s="2">
        <v>1020</v>
      </c>
      <c r="Y693" t="s">
        <v>5858</v>
      </c>
      <c r="Z693" t="s">
        <v>6037</v>
      </c>
      <c r="AA693" s="2">
        <v>10000</v>
      </c>
      <c r="AB693" t="s">
        <v>5863</v>
      </c>
      <c r="AC693" t="s">
        <v>9978</v>
      </c>
      <c r="AD693" s="32"/>
      <c r="AJ693" t="s">
        <v>9958</v>
      </c>
      <c r="AL693" t="s">
        <v>10931</v>
      </c>
    </row>
    <row r="694" spans="1:38">
      <c r="A694" t="s">
        <v>8204</v>
      </c>
      <c r="B694" t="s">
        <v>12066</v>
      </c>
      <c r="C694" t="s">
        <v>8206</v>
      </c>
      <c r="D694" t="s">
        <v>8207</v>
      </c>
      <c r="E694" s="2">
        <v>150</v>
      </c>
      <c r="F694" s="2">
        <v>5150</v>
      </c>
      <c r="G694" s="3">
        <v>43280</v>
      </c>
      <c r="H694" s="4">
        <v>0.30771990740741001</v>
      </c>
      <c r="I694" s="3">
        <v>43280</v>
      </c>
      <c r="J694" s="4">
        <v>0.51809027777778005</v>
      </c>
      <c r="K694" s="2">
        <v>0</v>
      </c>
      <c r="L694" t="s">
        <v>5856</v>
      </c>
      <c r="M694" t="s">
        <v>8159</v>
      </c>
      <c r="N694" s="3">
        <v>43279</v>
      </c>
      <c r="O694" s="3">
        <v>43282</v>
      </c>
      <c r="P694" t="s">
        <v>5971</v>
      </c>
      <c r="Q694" t="s">
        <v>6038</v>
      </c>
      <c r="R694" t="s">
        <v>6039</v>
      </c>
      <c r="S694" s="3"/>
      <c r="T694" t="s">
        <v>9938</v>
      </c>
      <c r="U694" t="s">
        <v>8208</v>
      </c>
      <c r="V694" t="s">
        <v>6041</v>
      </c>
      <c r="W694" t="s">
        <v>5857</v>
      </c>
      <c r="X694" s="2">
        <v>1020</v>
      </c>
      <c r="Y694" t="s">
        <v>5858</v>
      </c>
      <c r="Z694" t="s">
        <v>6037</v>
      </c>
      <c r="AA694" s="2">
        <v>0</v>
      </c>
      <c r="AB694" t="s">
        <v>5859</v>
      </c>
      <c r="AC694" t="s">
        <v>9975</v>
      </c>
      <c r="AD694" s="32">
        <v>43272</v>
      </c>
      <c r="AJ694" t="s">
        <v>9958</v>
      </c>
      <c r="AL694" t="s">
        <v>10932</v>
      </c>
    </row>
    <row r="695" spans="1:38">
      <c r="A695" t="s">
        <v>8204</v>
      </c>
      <c r="B695" t="s">
        <v>13213</v>
      </c>
      <c r="C695" t="s">
        <v>8206</v>
      </c>
      <c r="D695" t="s">
        <v>8207</v>
      </c>
      <c r="E695" s="2">
        <v>16600</v>
      </c>
      <c r="F695" s="2">
        <v>20600</v>
      </c>
      <c r="G695" s="3">
        <v>43284</v>
      </c>
      <c r="H695" s="4">
        <v>2.0833333333330002E-2</v>
      </c>
      <c r="I695" s="3">
        <v>43284</v>
      </c>
      <c r="J695" s="4">
        <v>0.86233796296295995</v>
      </c>
      <c r="K695" s="2">
        <v>0</v>
      </c>
      <c r="L695" t="s">
        <v>5856</v>
      </c>
      <c r="M695" t="s">
        <v>8151</v>
      </c>
      <c r="N695" s="3">
        <v>43286</v>
      </c>
      <c r="O695" s="3">
        <v>43286</v>
      </c>
      <c r="P695" t="s">
        <v>5971</v>
      </c>
      <c r="Q695" t="s">
        <v>8242</v>
      </c>
      <c r="R695" t="s">
        <v>6036</v>
      </c>
      <c r="S695" s="3">
        <v>43301</v>
      </c>
      <c r="T695" t="s">
        <v>9938</v>
      </c>
      <c r="U695" t="s">
        <v>8208</v>
      </c>
      <c r="V695" t="s">
        <v>6041</v>
      </c>
      <c r="W695" t="s">
        <v>5857</v>
      </c>
      <c r="X695" s="2">
        <v>1020</v>
      </c>
      <c r="Y695" t="s">
        <v>5858</v>
      </c>
      <c r="Z695" t="s">
        <v>6037</v>
      </c>
      <c r="AA695" s="2">
        <v>16000</v>
      </c>
      <c r="AB695" t="s">
        <v>5859</v>
      </c>
      <c r="AC695" t="s">
        <v>9975</v>
      </c>
      <c r="AD695" s="32">
        <v>43280</v>
      </c>
      <c r="AJ695" t="s">
        <v>9958</v>
      </c>
      <c r="AL695" t="s">
        <v>14013</v>
      </c>
    </row>
    <row r="696" spans="1:38">
      <c r="A696" t="s">
        <v>8204</v>
      </c>
      <c r="B696" t="s">
        <v>13214</v>
      </c>
      <c r="C696" t="s">
        <v>8206</v>
      </c>
      <c r="D696" t="s">
        <v>8207</v>
      </c>
      <c r="E696" s="2">
        <v>10300</v>
      </c>
      <c r="F696" s="2">
        <v>10300</v>
      </c>
      <c r="G696" s="3">
        <v>43285</v>
      </c>
      <c r="H696" s="4">
        <v>2.0833333333330002E-2</v>
      </c>
      <c r="I696" s="3">
        <v>43285</v>
      </c>
      <c r="J696" s="4">
        <v>0.44158564814814999</v>
      </c>
      <c r="K696" s="2">
        <v>0</v>
      </c>
      <c r="L696" t="s">
        <v>5856</v>
      </c>
      <c r="M696" t="s">
        <v>8165</v>
      </c>
      <c r="N696" s="3">
        <v>43300</v>
      </c>
      <c r="O696" s="3">
        <v>43287</v>
      </c>
      <c r="P696" t="s">
        <v>5971</v>
      </c>
      <c r="Q696" t="s">
        <v>13215</v>
      </c>
      <c r="R696" t="s">
        <v>6036</v>
      </c>
      <c r="S696" s="3">
        <v>43308</v>
      </c>
      <c r="T696" t="s">
        <v>9938</v>
      </c>
      <c r="U696" t="s">
        <v>8208</v>
      </c>
      <c r="V696" t="s">
        <v>6041</v>
      </c>
      <c r="W696" t="s">
        <v>5857</v>
      </c>
      <c r="X696" s="2">
        <v>1020</v>
      </c>
      <c r="Y696" t="s">
        <v>5858</v>
      </c>
      <c r="Z696" t="s">
        <v>6037</v>
      </c>
      <c r="AA696" s="2">
        <v>10000</v>
      </c>
      <c r="AB696" t="s">
        <v>5859</v>
      </c>
      <c r="AC696" t="s">
        <v>9975</v>
      </c>
      <c r="AD696" s="32">
        <v>43280</v>
      </c>
      <c r="AJ696" t="s">
        <v>9958</v>
      </c>
      <c r="AL696" t="s">
        <v>14014</v>
      </c>
    </row>
    <row r="697" spans="1:38">
      <c r="A697" t="s">
        <v>8204</v>
      </c>
      <c r="B697" t="s">
        <v>12026</v>
      </c>
      <c r="C697" t="s">
        <v>8130</v>
      </c>
      <c r="D697" t="s">
        <v>8131</v>
      </c>
      <c r="E697" s="5">
        <v>10248.5</v>
      </c>
      <c r="F697" s="5">
        <v>10248.5</v>
      </c>
      <c r="G697" s="3">
        <v>43285</v>
      </c>
      <c r="H697" s="4">
        <v>0.48325231481481001</v>
      </c>
      <c r="I697" s="3">
        <v>43285</v>
      </c>
      <c r="J697" s="4">
        <v>0.90190972222221999</v>
      </c>
      <c r="K697" s="2">
        <v>0</v>
      </c>
      <c r="L697" t="s">
        <v>5856</v>
      </c>
      <c r="M697" t="s">
        <v>13216</v>
      </c>
      <c r="N697" s="3">
        <v>43298</v>
      </c>
      <c r="O697" s="3">
        <v>43287</v>
      </c>
      <c r="P697" t="s">
        <v>5971</v>
      </c>
      <c r="Q697" t="s">
        <v>8132</v>
      </c>
      <c r="R697" t="s">
        <v>6036</v>
      </c>
      <c r="S697" s="3">
        <v>43298</v>
      </c>
      <c r="T697" t="s">
        <v>9938</v>
      </c>
      <c r="U697" t="s">
        <v>6052</v>
      </c>
      <c r="V697" t="s">
        <v>8133</v>
      </c>
      <c r="W697" t="s">
        <v>5857</v>
      </c>
      <c r="X697" s="2">
        <v>1020</v>
      </c>
      <c r="Y697" t="s">
        <v>5858</v>
      </c>
      <c r="Z697" t="s">
        <v>6037</v>
      </c>
      <c r="AA697" s="2">
        <v>9950</v>
      </c>
      <c r="AB697" t="s">
        <v>5859</v>
      </c>
      <c r="AC697" t="s">
        <v>9974</v>
      </c>
      <c r="AD697" s="32">
        <v>43270</v>
      </c>
      <c r="AJ697" t="s">
        <v>9958</v>
      </c>
      <c r="AL697" t="s">
        <v>14015</v>
      </c>
    </row>
    <row r="698" spans="1:38">
      <c r="A698" t="s">
        <v>8204</v>
      </c>
      <c r="B698" t="s">
        <v>12067</v>
      </c>
      <c r="C698" t="s">
        <v>6835</v>
      </c>
      <c r="D698" t="s">
        <v>6836</v>
      </c>
      <c r="E698" s="2">
        <v>147</v>
      </c>
      <c r="F698" s="2">
        <v>5047</v>
      </c>
      <c r="G698" s="3">
        <v>43287</v>
      </c>
      <c r="H698" s="4">
        <v>2.0833333333330002E-2</v>
      </c>
      <c r="I698" s="3">
        <v>43287</v>
      </c>
      <c r="J698" s="4">
        <v>0.22700231481481001</v>
      </c>
      <c r="K698" s="2">
        <v>0</v>
      </c>
      <c r="L698" t="s">
        <v>5856</v>
      </c>
      <c r="M698" t="s">
        <v>8211</v>
      </c>
      <c r="N698" s="3">
        <v>43285</v>
      </c>
      <c r="O698" s="3">
        <v>43289</v>
      </c>
      <c r="P698" t="s">
        <v>5862</v>
      </c>
      <c r="Q698" t="s">
        <v>6038</v>
      </c>
      <c r="R698" t="s">
        <v>6039</v>
      </c>
      <c r="S698" s="3"/>
      <c r="T698" t="s">
        <v>9938</v>
      </c>
      <c r="U698" t="s">
        <v>5894</v>
      </c>
      <c r="V698" t="s">
        <v>6838</v>
      </c>
      <c r="W698" t="s">
        <v>5857</v>
      </c>
      <c r="X698" s="2">
        <v>1020</v>
      </c>
      <c r="Y698" t="s">
        <v>5858</v>
      </c>
      <c r="Z698" t="s">
        <v>6037</v>
      </c>
      <c r="AA698" s="2">
        <v>0</v>
      </c>
      <c r="AB698" t="s">
        <v>5859</v>
      </c>
      <c r="AC698" t="s">
        <v>9978</v>
      </c>
      <c r="AD698" s="32">
        <v>43243</v>
      </c>
      <c r="AI698" t="s">
        <v>9939</v>
      </c>
      <c r="AJ698" t="s">
        <v>9958</v>
      </c>
      <c r="AL698" t="s">
        <v>10933</v>
      </c>
    </row>
    <row r="699" spans="1:38">
      <c r="A699" t="s">
        <v>8204</v>
      </c>
      <c r="B699" t="s">
        <v>12046</v>
      </c>
      <c r="C699" t="s">
        <v>8177</v>
      </c>
      <c r="D699" t="s">
        <v>8178</v>
      </c>
      <c r="E699" s="2">
        <v>20600</v>
      </c>
      <c r="F699" s="2">
        <v>20600</v>
      </c>
      <c r="G699" s="3">
        <v>43287</v>
      </c>
      <c r="H699" s="4">
        <v>2.0833333333330002E-2</v>
      </c>
      <c r="I699" s="3">
        <v>43287</v>
      </c>
      <c r="J699" s="4">
        <v>0.86233796296295995</v>
      </c>
      <c r="K699" s="2">
        <v>0</v>
      </c>
      <c r="L699" t="s">
        <v>5856</v>
      </c>
      <c r="M699" t="s">
        <v>8151</v>
      </c>
      <c r="N699" s="3">
        <v>43298</v>
      </c>
      <c r="O699" s="3">
        <v>43289</v>
      </c>
      <c r="P699" t="s">
        <v>5889</v>
      </c>
      <c r="Q699" t="s">
        <v>8179</v>
      </c>
      <c r="R699" t="s">
        <v>6036</v>
      </c>
      <c r="S699" s="3">
        <v>43298</v>
      </c>
      <c r="T699" t="s">
        <v>9938</v>
      </c>
      <c r="U699" t="s">
        <v>5893</v>
      </c>
      <c r="V699" t="s">
        <v>5999</v>
      </c>
      <c r="W699" t="s">
        <v>5857</v>
      </c>
      <c r="X699" s="2">
        <v>1020</v>
      </c>
      <c r="Y699" t="s">
        <v>5858</v>
      </c>
      <c r="Z699" t="s">
        <v>6037</v>
      </c>
      <c r="AA699" s="2">
        <v>20000</v>
      </c>
      <c r="AB699" t="s">
        <v>5859</v>
      </c>
      <c r="AC699" t="s">
        <v>9978</v>
      </c>
      <c r="AD699" s="32">
        <v>43270</v>
      </c>
      <c r="AJ699" t="s">
        <v>9958</v>
      </c>
      <c r="AL699" t="s">
        <v>14016</v>
      </c>
    </row>
    <row r="700" spans="1:38">
      <c r="A700" t="s">
        <v>8204</v>
      </c>
      <c r="B700" t="s">
        <v>12068</v>
      </c>
      <c r="C700" t="s">
        <v>8212</v>
      </c>
      <c r="D700" t="s">
        <v>8213</v>
      </c>
      <c r="E700" s="2">
        <v>125</v>
      </c>
      <c r="F700" s="2">
        <v>10300</v>
      </c>
      <c r="G700" s="3">
        <v>43288</v>
      </c>
      <c r="H700" s="4">
        <v>2.0833333333330002E-2</v>
      </c>
      <c r="I700" s="3">
        <v>43288</v>
      </c>
      <c r="J700" s="4">
        <v>0.44158564814814999</v>
      </c>
      <c r="K700" s="2">
        <v>0</v>
      </c>
      <c r="L700" t="s">
        <v>5856</v>
      </c>
      <c r="M700" t="s">
        <v>8165</v>
      </c>
      <c r="N700" s="3">
        <v>43290</v>
      </c>
      <c r="O700" s="3">
        <v>43290</v>
      </c>
      <c r="P700" t="s">
        <v>5889</v>
      </c>
      <c r="Q700" t="s">
        <v>6038</v>
      </c>
      <c r="R700" t="s">
        <v>6039</v>
      </c>
      <c r="S700" s="3"/>
      <c r="T700" t="s">
        <v>9938</v>
      </c>
      <c r="U700" t="s">
        <v>5894</v>
      </c>
      <c r="V700" t="s">
        <v>5983</v>
      </c>
      <c r="W700" t="s">
        <v>5857</v>
      </c>
      <c r="X700" s="2">
        <v>1020</v>
      </c>
      <c r="Y700" t="s">
        <v>5858</v>
      </c>
      <c r="Z700" t="s">
        <v>6037</v>
      </c>
      <c r="AA700" s="2">
        <v>0</v>
      </c>
      <c r="AB700" t="s">
        <v>5859</v>
      </c>
      <c r="AC700" t="s">
        <v>9978</v>
      </c>
      <c r="AD700" s="32">
        <v>43206</v>
      </c>
      <c r="AJ700" t="s">
        <v>9958</v>
      </c>
      <c r="AL700" t="s">
        <v>10934</v>
      </c>
    </row>
    <row r="701" spans="1:38">
      <c r="A701" t="s">
        <v>8204</v>
      </c>
      <c r="B701" t="s">
        <v>13217</v>
      </c>
      <c r="C701" t="s">
        <v>8180</v>
      </c>
      <c r="D701" t="s">
        <v>8181</v>
      </c>
      <c r="E701" s="2">
        <v>10300</v>
      </c>
      <c r="F701" s="2">
        <v>10300</v>
      </c>
      <c r="G701" s="3">
        <v>43288</v>
      </c>
      <c r="H701" s="4">
        <v>8.0347222222220002E-2</v>
      </c>
      <c r="I701" s="3">
        <v>43288</v>
      </c>
      <c r="J701" s="4">
        <v>0.50109953703704002</v>
      </c>
      <c r="K701" s="2">
        <v>0</v>
      </c>
      <c r="L701" t="s">
        <v>5856</v>
      </c>
      <c r="M701" t="s">
        <v>8165</v>
      </c>
      <c r="N701" s="3">
        <v>43293</v>
      </c>
      <c r="O701" s="3">
        <v>43290</v>
      </c>
      <c r="P701" t="s">
        <v>5869</v>
      </c>
      <c r="Q701" t="s">
        <v>6038</v>
      </c>
      <c r="R701" t="s">
        <v>6040</v>
      </c>
      <c r="S701" s="3">
        <v>43288</v>
      </c>
      <c r="T701" t="s">
        <v>9938</v>
      </c>
      <c r="U701" t="s">
        <v>7029</v>
      </c>
      <c r="V701" t="s">
        <v>6864</v>
      </c>
      <c r="W701" t="s">
        <v>5857</v>
      </c>
      <c r="X701" s="2">
        <v>1020</v>
      </c>
      <c r="Y701" t="s">
        <v>5858</v>
      </c>
      <c r="Z701" t="s">
        <v>6037</v>
      </c>
      <c r="AA701" s="2">
        <v>10000</v>
      </c>
      <c r="AB701" t="s">
        <v>5863</v>
      </c>
      <c r="AC701" t="s">
        <v>9975</v>
      </c>
      <c r="AD701" s="32">
        <v>43280</v>
      </c>
      <c r="AJ701" t="s">
        <v>9958</v>
      </c>
      <c r="AL701" t="s">
        <v>14017</v>
      </c>
    </row>
    <row r="702" spans="1:38">
      <c r="A702" t="s">
        <v>8204</v>
      </c>
      <c r="B702" t="s">
        <v>12069</v>
      </c>
      <c r="C702" t="s">
        <v>6776</v>
      </c>
      <c r="D702" t="s">
        <v>6777</v>
      </c>
      <c r="E702" s="5">
        <v>512.5</v>
      </c>
      <c r="F702" s="5">
        <v>14162.5</v>
      </c>
      <c r="G702" s="3">
        <v>43289</v>
      </c>
      <c r="H702" s="4">
        <v>4.1666666666670002E-2</v>
      </c>
      <c r="I702" s="3">
        <v>43289</v>
      </c>
      <c r="J702" s="4">
        <v>0.62019675925925999</v>
      </c>
      <c r="K702" s="2">
        <v>20</v>
      </c>
      <c r="L702" t="s">
        <v>5856</v>
      </c>
      <c r="M702" t="s">
        <v>8214</v>
      </c>
      <c r="N702" s="3">
        <v>43291</v>
      </c>
      <c r="O702" s="3">
        <v>43291</v>
      </c>
      <c r="P702" t="s">
        <v>5881</v>
      </c>
      <c r="Q702" t="s">
        <v>8215</v>
      </c>
      <c r="R702" t="s">
        <v>6036</v>
      </c>
      <c r="S702" s="3">
        <v>43291</v>
      </c>
      <c r="T702" t="s">
        <v>9938</v>
      </c>
      <c r="U702" t="s">
        <v>5894</v>
      </c>
      <c r="V702" t="s">
        <v>6780</v>
      </c>
      <c r="W702" t="s">
        <v>6038</v>
      </c>
      <c r="X702" s="2">
        <v>1020</v>
      </c>
      <c r="Y702" t="s">
        <v>5858</v>
      </c>
      <c r="Z702" t="s">
        <v>6037</v>
      </c>
      <c r="AA702" s="2">
        <v>100</v>
      </c>
      <c r="AB702" t="s">
        <v>5859</v>
      </c>
      <c r="AC702" t="s">
        <v>9978</v>
      </c>
      <c r="AD702" s="32">
        <v>43263</v>
      </c>
      <c r="AJ702" t="s">
        <v>9958</v>
      </c>
      <c r="AL702" t="s">
        <v>10935</v>
      </c>
    </row>
    <row r="703" spans="1:38">
      <c r="A703" t="s">
        <v>8204</v>
      </c>
      <c r="B703" t="s">
        <v>12070</v>
      </c>
      <c r="C703" t="s">
        <v>6087</v>
      </c>
      <c r="D703" t="s">
        <v>6000</v>
      </c>
      <c r="E703" s="2">
        <v>200</v>
      </c>
      <c r="F703" s="2">
        <v>5150</v>
      </c>
      <c r="G703" s="3">
        <v>43290</v>
      </c>
      <c r="H703" s="4">
        <v>2.0833333333330002E-2</v>
      </c>
      <c r="I703" s="3">
        <v>43290</v>
      </c>
      <c r="J703" s="4">
        <v>0.2312037037037</v>
      </c>
      <c r="K703" s="2">
        <v>20</v>
      </c>
      <c r="L703" t="s">
        <v>5856</v>
      </c>
      <c r="M703" t="s">
        <v>8159</v>
      </c>
      <c r="N703" s="3">
        <v>43292</v>
      </c>
      <c r="O703" s="3">
        <v>43292</v>
      </c>
      <c r="P703" t="s">
        <v>5889</v>
      </c>
      <c r="Q703" t="s">
        <v>8216</v>
      </c>
      <c r="R703" t="s">
        <v>6036</v>
      </c>
      <c r="S703" s="3">
        <v>43292</v>
      </c>
      <c r="T703" t="s">
        <v>9938</v>
      </c>
      <c r="U703" t="s">
        <v>5882</v>
      </c>
      <c r="V703" t="s">
        <v>6001</v>
      </c>
      <c r="W703" t="s">
        <v>5857</v>
      </c>
      <c r="X703" s="2">
        <v>1020</v>
      </c>
      <c r="Y703" t="s">
        <v>5858</v>
      </c>
      <c r="Z703" t="s">
        <v>6037</v>
      </c>
      <c r="AA703" s="2">
        <v>50</v>
      </c>
      <c r="AB703" t="s">
        <v>5859</v>
      </c>
      <c r="AC703" t="s">
        <v>9978</v>
      </c>
      <c r="AD703" s="32">
        <v>43264</v>
      </c>
      <c r="AJ703" t="s">
        <v>9958</v>
      </c>
      <c r="AL703" t="s">
        <v>10936</v>
      </c>
    </row>
    <row r="704" spans="1:38">
      <c r="A704" t="s">
        <v>8204</v>
      </c>
      <c r="B704" t="s">
        <v>12071</v>
      </c>
      <c r="C704" t="s">
        <v>8217</v>
      </c>
      <c r="D704" t="s">
        <v>8218</v>
      </c>
      <c r="E704" s="2">
        <v>2000</v>
      </c>
      <c r="F704" s="2">
        <v>2000</v>
      </c>
      <c r="G704" s="3">
        <v>43290</v>
      </c>
      <c r="H704" s="4">
        <v>0.25203703703704</v>
      </c>
      <c r="I704" s="3">
        <v>43290</v>
      </c>
      <c r="J704" s="4">
        <v>0.33373842592593</v>
      </c>
      <c r="K704" s="2">
        <v>0</v>
      </c>
      <c r="L704" t="s">
        <v>5856</v>
      </c>
      <c r="M704" t="s">
        <v>8079</v>
      </c>
      <c r="N704" s="3">
        <v>43292</v>
      </c>
      <c r="O704" s="3">
        <v>43292</v>
      </c>
      <c r="P704" t="s">
        <v>5967</v>
      </c>
      <c r="Q704" t="s">
        <v>8219</v>
      </c>
      <c r="R704" t="s">
        <v>6036</v>
      </c>
      <c r="S704" s="3">
        <v>43292</v>
      </c>
      <c r="T704" t="s">
        <v>9938</v>
      </c>
      <c r="U704" t="s">
        <v>8220</v>
      </c>
      <c r="V704" t="s">
        <v>8221</v>
      </c>
      <c r="W704" t="s">
        <v>5857</v>
      </c>
      <c r="X704" s="2">
        <v>1020</v>
      </c>
      <c r="Y704" t="s">
        <v>5858</v>
      </c>
      <c r="Z704" t="s">
        <v>6037</v>
      </c>
      <c r="AA704" s="2">
        <v>2000</v>
      </c>
      <c r="AB704" t="s">
        <v>5863</v>
      </c>
      <c r="AC704" t="s">
        <v>9981</v>
      </c>
      <c r="AD704" s="32">
        <v>43277</v>
      </c>
      <c r="AI704" t="s">
        <v>9939</v>
      </c>
      <c r="AJ704" t="s">
        <v>9958</v>
      </c>
      <c r="AL704" t="s">
        <v>10937</v>
      </c>
    </row>
    <row r="705" spans="1:38">
      <c r="A705" t="s">
        <v>8204</v>
      </c>
      <c r="B705" t="s">
        <v>11797</v>
      </c>
      <c r="C705" t="s">
        <v>7378</v>
      </c>
      <c r="D705" t="s">
        <v>7379</v>
      </c>
      <c r="E705" s="2">
        <v>20600</v>
      </c>
      <c r="F705" s="2">
        <v>20600</v>
      </c>
      <c r="G705" s="3">
        <v>43290</v>
      </c>
      <c r="H705" s="4">
        <v>0.25204861111110999</v>
      </c>
      <c r="I705" s="3">
        <v>43295</v>
      </c>
      <c r="J705" s="4">
        <v>9.3541666666670006E-2</v>
      </c>
      <c r="K705" s="2">
        <v>20</v>
      </c>
      <c r="L705" t="s">
        <v>5856</v>
      </c>
      <c r="M705" t="s">
        <v>8279</v>
      </c>
      <c r="N705" s="3">
        <v>43297</v>
      </c>
      <c r="O705" s="3">
        <v>43297</v>
      </c>
      <c r="P705" t="s">
        <v>5862</v>
      </c>
      <c r="Q705" t="s">
        <v>7380</v>
      </c>
      <c r="R705" t="s">
        <v>6036</v>
      </c>
      <c r="S705" s="3">
        <v>43297</v>
      </c>
      <c r="T705" t="s">
        <v>9938</v>
      </c>
      <c r="U705" t="s">
        <v>6063</v>
      </c>
      <c r="V705" t="s">
        <v>7381</v>
      </c>
      <c r="W705" t="s">
        <v>5857</v>
      </c>
      <c r="X705" s="2">
        <v>1020</v>
      </c>
      <c r="Y705" t="s">
        <v>5858</v>
      </c>
      <c r="Z705" t="s">
        <v>6037</v>
      </c>
      <c r="AA705" s="2">
        <v>20000</v>
      </c>
      <c r="AB705" t="s">
        <v>5859</v>
      </c>
      <c r="AC705" t="s">
        <v>9974</v>
      </c>
      <c r="AD705" s="32">
        <v>43266</v>
      </c>
      <c r="AJ705" t="s">
        <v>9958</v>
      </c>
      <c r="AL705" t="s">
        <v>14018</v>
      </c>
    </row>
    <row r="706" spans="1:38">
      <c r="A706" t="s">
        <v>8204</v>
      </c>
      <c r="B706" t="s">
        <v>12043</v>
      </c>
      <c r="C706" t="s">
        <v>6092</v>
      </c>
      <c r="D706" t="s">
        <v>6008</v>
      </c>
      <c r="E706" s="2">
        <v>20600</v>
      </c>
      <c r="F706" s="2">
        <v>20600</v>
      </c>
      <c r="G706" s="3">
        <v>43296</v>
      </c>
      <c r="H706" s="4">
        <v>2.0833333333330002E-2</v>
      </c>
      <c r="I706" s="3">
        <v>43296</v>
      </c>
      <c r="J706" s="4">
        <v>0.86233796296295995</v>
      </c>
      <c r="K706" s="2">
        <v>0</v>
      </c>
      <c r="L706" t="s">
        <v>5856</v>
      </c>
      <c r="M706" t="s">
        <v>8151</v>
      </c>
      <c r="N706" s="3">
        <v>43290</v>
      </c>
      <c r="O706" s="3">
        <v>43298</v>
      </c>
      <c r="P706" t="s">
        <v>5862</v>
      </c>
      <c r="Q706" t="s">
        <v>6038</v>
      </c>
      <c r="R706" t="s">
        <v>6040</v>
      </c>
      <c r="S706" s="3">
        <v>43288</v>
      </c>
      <c r="T706" t="s">
        <v>9938</v>
      </c>
      <c r="U706" t="s">
        <v>5893</v>
      </c>
      <c r="V706" t="s">
        <v>6041</v>
      </c>
      <c r="W706" t="s">
        <v>5857</v>
      </c>
      <c r="X706" s="2">
        <v>1020</v>
      </c>
      <c r="Y706" t="s">
        <v>5858</v>
      </c>
      <c r="Z706" t="s">
        <v>6037</v>
      </c>
      <c r="AA706" s="2">
        <v>20000</v>
      </c>
      <c r="AB706" t="s">
        <v>5859</v>
      </c>
      <c r="AC706" t="s">
        <v>9979</v>
      </c>
      <c r="AD706" s="32">
        <v>43259</v>
      </c>
      <c r="AJ706" t="s">
        <v>9958</v>
      </c>
      <c r="AL706" t="s">
        <v>14019</v>
      </c>
    </row>
    <row r="707" spans="1:38">
      <c r="A707" t="s">
        <v>8204</v>
      </c>
      <c r="B707" t="s">
        <v>12072</v>
      </c>
      <c r="C707" t="s">
        <v>6086</v>
      </c>
      <c r="D707" t="s">
        <v>5998</v>
      </c>
      <c r="E707" s="2">
        <v>600</v>
      </c>
      <c r="F707" s="2">
        <v>20600</v>
      </c>
      <c r="G707" s="3">
        <v>43297</v>
      </c>
      <c r="H707" s="4">
        <v>4.1666666666670002E-2</v>
      </c>
      <c r="I707" s="3">
        <v>43297</v>
      </c>
      <c r="J707" s="4">
        <v>0.88317129629629998</v>
      </c>
      <c r="K707" s="2">
        <v>0</v>
      </c>
      <c r="L707" t="s">
        <v>5856</v>
      </c>
      <c r="M707" t="s">
        <v>8151</v>
      </c>
      <c r="N707" s="3">
        <v>43286</v>
      </c>
      <c r="O707" s="3">
        <v>43299</v>
      </c>
      <c r="P707" t="s">
        <v>5889</v>
      </c>
      <c r="Q707" t="s">
        <v>6038</v>
      </c>
      <c r="R707" t="s">
        <v>6039</v>
      </c>
      <c r="S707" s="3"/>
      <c r="T707" t="s">
        <v>9938</v>
      </c>
      <c r="U707" t="s">
        <v>5894</v>
      </c>
      <c r="V707" t="s">
        <v>5999</v>
      </c>
      <c r="W707" t="s">
        <v>5857</v>
      </c>
      <c r="X707" s="2">
        <v>1020</v>
      </c>
      <c r="Y707" t="s">
        <v>5858</v>
      </c>
      <c r="Z707" t="s">
        <v>6037</v>
      </c>
      <c r="AA707" s="2">
        <v>0</v>
      </c>
      <c r="AB707" t="s">
        <v>5859</v>
      </c>
      <c r="AC707" t="s">
        <v>9979</v>
      </c>
      <c r="AD707" s="32">
        <v>43272</v>
      </c>
      <c r="AJ707" t="s">
        <v>9958</v>
      </c>
      <c r="AL707" t="s">
        <v>10938</v>
      </c>
    </row>
    <row r="708" spans="1:38">
      <c r="A708" t="s">
        <v>8204</v>
      </c>
      <c r="B708" t="s">
        <v>12073</v>
      </c>
      <c r="C708" t="s">
        <v>8222</v>
      </c>
      <c r="D708" t="s">
        <v>8223</v>
      </c>
      <c r="E708" s="2">
        <v>4950</v>
      </c>
      <c r="F708" s="2">
        <v>4950</v>
      </c>
      <c r="G708" s="3">
        <v>43299</v>
      </c>
      <c r="H708" s="4">
        <v>4.1666666666670002E-2</v>
      </c>
      <c r="I708" s="3">
        <v>43299</v>
      </c>
      <c r="J708" s="4">
        <v>0.24387731481481001</v>
      </c>
      <c r="K708" s="2">
        <v>0</v>
      </c>
      <c r="L708" t="s">
        <v>5856</v>
      </c>
      <c r="M708" t="s">
        <v>8224</v>
      </c>
      <c r="N708" s="3">
        <v>43285</v>
      </c>
      <c r="O708" s="3">
        <v>43301</v>
      </c>
      <c r="P708" t="s">
        <v>5889</v>
      </c>
      <c r="Q708" t="s">
        <v>8225</v>
      </c>
      <c r="R708" t="s">
        <v>6036</v>
      </c>
      <c r="S708" s="3">
        <v>43285</v>
      </c>
      <c r="T708" t="s">
        <v>9938</v>
      </c>
      <c r="U708" t="s">
        <v>5893</v>
      </c>
      <c r="V708" t="s">
        <v>8226</v>
      </c>
      <c r="W708" t="s">
        <v>5857</v>
      </c>
      <c r="X708" s="2">
        <v>1020</v>
      </c>
      <c r="Y708" t="s">
        <v>5858</v>
      </c>
      <c r="Z708" t="s">
        <v>6037</v>
      </c>
      <c r="AA708" s="2">
        <v>4950</v>
      </c>
      <c r="AB708" t="s">
        <v>5863</v>
      </c>
      <c r="AC708" t="s">
        <v>9978</v>
      </c>
      <c r="AD708" s="32">
        <v>43257</v>
      </c>
      <c r="AJ708" t="s">
        <v>9958</v>
      </c>
      <c r="AL708" t="s">
        <v>10939</v>
      </c>
    </row>
    <row r="709" spans="1:38">
      <c r="A709" t="s">
        <v>8204</v>
      </c>
      <c r="B709" t="s">
        <v>12074</v>
      </c>
      <c r="C709" t="s">
        <v>8227</v>
      </c>
      <c r="D709" t="s">
        <v>8228</v>
      </c>
      <c r="E709" s="2">
        <v>20000</v>
      </c>
      <c r="F709" s="2">
        <v>20000</v>
      </c>
      <c r="G709" s="3">
        <v>43299</v>
      </c>
      <c r="H709" s="4">
        <v>0.36724537037036997</v>
      </c>
      <c r="I709" s="3">
        <v>43300</v>
      </c>
      <c r="J709" s="4">
        <v>0.18423611111110999</v>
      </c>
      <c r="K709" s="2">
        <v>20</v>
      </c>
      <c r="L709" t="s">
        <v>5856</v>
      </c>
      <c r="M709" t="s">
        <v>8072</v>
      </c>
      <c r="N709" s="3">
        <v>43305</v>
      </c>
      <c r="O709" s="3">
        <v>43302</v>
      </c>
      <c r="P709" t="s">
        <v>5883</v>
      </c>
      <c r="Q709" t="s">
        <v>8229</v>
      </c>
      <c r="R709" t="s">
        <v>6036</v>
      </c>
      <c r="S709" s="3">
        <v>43305</v>
      </c>
      <c r="T709" t="s">
        <v>9938</v>
      </c>
      <c r="U709" t="s">
        <v>7483</v>
      </c>
      <c r="V709" t="s">
        <v>8230</v>
      </c>
      <c r="W709" t="s">
        <v>5857</v>
      </c>
      <c r="X709" s="2">
        <v>1020</v>
      </c>
      <c r="Y709" t="s">
        <v>5858</v>
      </c>
      <c r="Z709" t="s">
        <v>6037</v>
      </c>
      <c r="AA709" s="2">
        <v>20000</v>
      </c>
      <c r="AB709" t="s">
        <v>5863</v>
      </c>
      <c r="AC709" t="s">
        <v>9978</v>
      </c>
      <c r="AD709" s="32">
        <v>43179</v>
      </c>
      <c r="AJ709" t="s">
        <v>9958</v>
      </c>
      <c r="AL709" t="s">
        <v>10940</v>
      </c>
    </row>
    <row r="710" spans="1:38">
      <c r="A710" t="s">
        <v>8204</v>
      </c>
      <c r="B710" t="s">
        <v>12075</v>
      </c>
      <c r="C710" t="s">
        <v>8232</v>
      </c>
      <c r="D710" t="s">
        <v>8233</v>
      </c>
      <c r="E710" s="2">
        <v>2060</v>
      </c>
      <c r="F710" s="2">
        <v>2060</v>
      </c>
      <c r="G710" s="3">
        <v>43301</v>
      </c>
      <c r="H710" s="4">
        <v>4.2893518518520003E-2</v>
      </c>
      <c r="I710" s="3">
        <v>43301</v>
      </c>
      <c r="J710" s="4">
        <v>0.12704861111110999</v>
      </c>
      <c r="K710" s="2">
        <v>20</v>
      </c>
      <c r="L710" t="s">
        <v>5856</v>
      </c>
      <c r="M710" t="s">
        <v>8234</v>
      </c>
      <c r="N710" s="3">
        <v>43299</v>
      </c>
      <c r="O710" s="3">
        <v>43303</v>
      </c>
      <c r="P710" t="s">
        <v>6868</v>
      </c>
      <c r="Q710" t="s">
        <v>8235</v>
      </c>
      <c r="R710" t="s">
        <v>6042</v>
      </c>
      <c r="S710" s="3">
        <v>43299</v>
      </c>
      <c r="T710" t="s">
        <v>9938</v>
      </c>
      <c r="U710" t="s">
        <v>8236</v>
      </c>
      <c r="V710" t="s">
        <v>8237</v>
      </c>
      <c r="W710" t="s">
        <v>5857</v>
      </c>
      <c r="X710" s="2">
        <v>1020</v>
      </c>
      <c r="Y710" t="s">
        <v>5858</v>
      </c>
      <c r="Z710" t="s">
        <v>6037</v>
      </c>
      <c r="AA710" s="2">
        <v>2000</v>
      </c>
      <c r="AB710" t="s">
        <v>5863</v>
      </c>
      <c r="AC710" t="s">
        <v>9976</v>
      </c>
      <c r="AD710" s="32">
        <v>43276</v>
      </c>
      <c r="AI710" t="s">
        <v>9939</v>
      </c>
      <c r="AJ710" t="s">
        <v>9958</v>
      </c>
      <c r="AL710" t="s">
        <v>10941</v>
      </c>
    </row>
    <row r="711" spans="1:38">
      <c r="A711" t="s">
        <v>8204</v>
      </c>
      <c r="B711" t="s">
        <v>12076</v>
      </c>
      <c r="C711" t="s">
        <v>8238</v>
      </c>
      <c r="D711" t="s">
        <v>8239</v>
      </c>
      <c r="E711" s="2">
        <v>5000</v>
      </c>
      <c r="F711" s="2">
        <v>5000</v>
      </c>
      <c r="G711" s="3">
        <v>43301</v>
      </c>
      <c r="H711" s="4">
        <v>0.14788194444444</v>
      </c>
      <c r="I711" s="3">
        <v>43301</v>
      </c>
      <c r="J711" s="4">
        <v>0.35212962962963001</v>
      </c>
      <c r="K711" s="2">
        <v>0</v>
      </c>
      <c r="L711" t="s">
        <v>5856</v>
      </c>
      <c r="M711" t="s">
        <v>7277</v>
      </c>
      <c r="N711" s="3">
        <v>43299</v>
      </c>
      <c r="O711" s="3">
        <v>43303</v>
      </c>
      <c r="P711" t="s">
        <v>5889</v>
      </c>
      <c r="Q711" t="s">
        <v>8240</v>
      </c>
      <c r="R711" t="s">
        <v>6036</v>
      </c>
      <c r="S711" s="3">
        <v>43299</v>
      </c>
      <c r="T711" t="s">
        <v>9938</v>
      </c>
      <c r="U711" t="s">
        <v>5874</v>
      </c>
      <c r="V711" t="s">
        <v>8226</v>
      </c>
      <c r="W711" t="s">
        <v>5857</v>
      </c>
      <c r="X711" s="2">
        <v>1020</v>
      </c>
      <c r="Y711" t="s">
        <v>5858</v>
      </c>
      <c r="Z711" t="s">
        <v>6037</v>
      </c>
      <c r="AA711" s="2">
        <v>5000</v>
      </c>
      <c r="AB711" t="s">
        <v>5863</v>
      </c>
      <c r="AC711" t="s">
        <v>9978</v>
      </c>
      <c r="AD711" s="32">
        <v>43273</v>
      </c>
      <c r="AJ711" t="s">
        <v>9958</v>
      </c>
      <c r="AL711" t="s">
        <v>10942</v>
      </c>
    </row>
    <row r="712" spans="1:38">
      <c r="A712" t="s">
        <v>8204</v>
      </c>
      <c r="B712" t="s">
        <v>12077</v>
      </c>
      <c r="C712" t="s">
        <v>8222</v>
      </c>
      <c r="D712" t="s">
        <v>8223</v>
      </c>
      <c r="E712" s="2">
        <v>10000</v>
      </c>
      <c r="F712" s="2">
        <v>10000</v>
      </c>
      <c r="G712" s="3">
        <v>43301</v>
      </c>
      <c r="H712" s="4">
        <v>0.37296296296296</v>
      </c>
      <c r="I712" s="3">
        <v>43301</v>
      </c>
      <c r="J712" s="4">
        <v>0.78145833333333004</v>
      </c>
      <c r="K712" s="2">
        <v>20</v>
      </c>
      <c r="L712" t="s">
        <v>5856</v>
      </c>
      <c r="M712" t="s">
        <v>7264</v>
      </c>
      <c r="N712" s="3">
        <v>43298</v>
      </c>
      <c r="O712" s="3">
        <v>43303</v>
      </c>
      <c r="P712" t="s">
        <v>5889</v>
      </c>
      <c r="Q712" t="s">
        <v>8241</v>
      </c>
      <c r="R712" t="s">
        <v>6036</v>
      </c>
      <c r="S712" s="3">
        <v>43298</v>
      </c>
      <c r="T712" t="s">
        <v>9938</v>
      </c>
      <c r="U712" t="s">
        <v>5893</v>
      </c>
      <c r="V712" t="s">
        <v>8226</v>
      </c>
      <c r="W712" t="s">
        <v>5857</v>
      </c>
      <c r="X712" s="2">
        <v>1020</v>
      </c>
      <c r="Y712" t="s">
        <v>5858</v>
      </c>
      <c r="Z712" t="s">
        <v>6037</v>
      </c>
      <c r="AA712" s="2">
        <v>10000</v>
      </c>
      <c r="AB712" t="s">
        <v>5863</v>
      </c>
      <c r="AC712" t="s">
        <v>9978</v>
      </c>
      <c r="AD712" s="32">
        <v>43270</v>
      </c>
      <c r="AJ712" t="s">
        <v>9958</v>
      </c>
      <c r="AL712" t="s">
        <v>10943</v>
      </c>
    </row>
    <row r="713" spans="1:38">
      <c r="A713" t="s">
        <v>8204</v>
      </c>
      <c r="B713" t="s">
        <v>12078</v>
      </c>
      <c r="C713" t="s">
        <v>6091</v>
      </c>
      <c r="D713" t="s">
        <v>6007</v>
      </c>
      <c r="E713" s="2">
        <v>20000</v>
      </c>
      <c r="F713" s="2">
        <v>20000</v>
      </c>
      <c r="G713" s="3">
        <v>43303</v>
      </c>
      <c r="H713" s="4">
        <v>0.61263888888888995</v>
      </c>
      <c r="I713" s="3">
        <v>43304</v>
      </c>
      <c r="J713" s="4">
        <v>0.42962962962963003</v>
      </c>
      <c r="K713" s="2">
        <v>0</v>
      </c>
      <c r="L713" t="s">
        <v>5856</v>
      </c>
      <c r="M713" t="s">
        <v>8072</v>
      </c>
      <c r="N713" s="3">
        <v>43300</v>
      </c>
      <c r="O713" s="3">
        <v>43306</v>
      </c>
      <c r="P713" t="s">
        <v>5971</v>
      </c>
      <c r="Q713" t="s">
        <v>6038</v>
      </c>
      <c r="R713" t="s">
        <v>6040</v>
      </c>
      <c r="S713" s="3">
        <v>43313</v>
      </c>
      <c r="T713" t="s">
        <v>9938</v>
      </c>
      <c r="U713" t="s">
        <v>6052</v>
      </c>
      <c r="V713" t="s">
        <v>6041</v>
      </c>
      <c r="W713" t="s">
        <v>5857</v>
      </c>
      <c r="X713" s="2">
        <v>0</v>
      </c>
      <c r="Y713" t="s">
        <v>5858</v>
      </c>
      <c r="Z713" t="s">
        <v>6037</v>
      </c>
      <c r="AA713" s="2">
        <v>20000</v>
      </c>
      <c r="AB713" t="s">
        <v>5915</v>
      </c>
      <c r="AC713" t="s">
        <v>9975</v>
      </c>
      <c r="AD713" s="32"/>
      <c r="AJ713" t="s">
        <v>9958</v>
      </c>
      <c r="AL713" t="s">
        <v>10944</v>
      </c>
    </row>
    <row r="714" spans="1:38">
      <c r="A714" t="s">
        <v>8204</v>
      </c>
      <c r="B714" t="s">
        <v>12079</v>
      </c>
      <c r="C714" t="s">
        <v>6770</v>
      </c>
      <c r="D714" t="s">
        <v>6771</v>
      </c>
      <c r="E714" s="2">
        <v>20000</v>
      </c>
      <c r="F714" s="2">
        <v>20000</v>
      </c>
      <c r="G714" s="3">
        <v>43304</v>
      </c>
      <c r="H714" s="4">
        <v>0.45046296296296001</v>
      </c>
      <c r="I714" s="3">
        <v>43305</v>
      </c>
      <c r="J714" s="4">
        <v>0.26745370370369997</v>
      </c>
      <c r="K714" s="2">
        <v>0</v>
      </c>
      <c r="L714" t="s">
        <v>5856</v>
      </c>
      <c r="M714" t="s">
        <v>8072</v>
      </c>
      <c r="N714" s="3"/>
      <c r="O714" s="3">
        <v>43307</v>
      </c>
      <c r="P714" t="s">
        <v>6018</v>
      </c>
      <c r="Q714" t="s">
        <v>8557</v>
      </c>
      <c r="R714" t="s">
        <v>6036</v>
      </c>
      <c r="S714" s="3">
        <v>43305</v>
      </c>
      <c r="T714" t="s">
        <v>9938</v>
      </c>
      <c r="U714" t="s">
        <v>6675</v>
      </c>
      <c r="V714" t="s">
        <v>6760</v>
      </c>
      <c r="W714" t="s">
        <v>5857</v>
      </c>
      <c r="X714" s="2">
        <v>0</v>
      </c>
      <c r="Y714" t="s">
        <v>5858</v>
      </c>
      <c r="Z714" t="s">
        <v>6037</v>
      </c>
      <c r="AA714" s="2">
        <v>20000</v>
      </c>
      <c r="AB714" t="s">
        <v>5861</v>
      </c>
      <c r="AC714" t="s">
        <v>9979</v>
      </c>
      <c r="AD714" s="32"/>
      <c r="AJ714" t="s">
        <v>9958</v>
      </c>
      <c r="AL714" t="s">
        <v>10945</v>
      </c>
    </row>
    <row r="715" spans="1:38">
      <c r="A715" t="s">
        <v>8204</v>
      </c>
      <c r="B715" t="s">
        <v>12080</v>
      </c>
      <c r="C715" t="s">
        <v>6770</v>
      </c>
      <c r="D715" t="s">
        <v>6771</v>
      </c>
      <c r="E715" s="2">
        <v>20000</v>
      </c>
      <c r="F715" s="2">
        <v>20000</v>
      </c>
      <c r="G715" s="3">
        <v>43305</v>
      </c>
      <c r="H715" s="4">
        <v>0.28828703703704001</v>
      </c>
      <c r="I715" s="3">
        <v>43306</v>
      </c>
      <c r="J715" s="4">
        <v>0.10527777777778</v>
      </c>
      <c r="K715" s="2">
        <v>0</v>
      </c>
      <c r="L715" t="s">
        <v>5856</v>
      </c>
      <c r="M715" t="s">
        <v>8072</v>
      </c>
      <c r="N715" s="3"/>
      <c r="O715" s="3">
        <v>43308</v>
      </c>
      <c r="P715" t="s">
        <v>6018</v>
      </c>
      <c r="Q715" t="s">
        <v>13218</v>
      </c>
      <c r="R715" t="s">
        <v>6036</v>
      </c>
      <c r="S715" s="3">
        <v>43307</v>
      </c>
      <c r="T715" t="s">
        <v>9938</v>
      </c>
      <c r="U715" t="s">
        <v>6675</v>
      </c>
      <c r="V715" t="s">
        <v>6760</v>
      </c>
      <c r="W715" t="s">
        <v>5857</v>
      </c>
      <c r="X715" s="2">
        <v>0</v>
      </c>
      <c r="Y715" t="s">
        <v>5858</v>
      </c>
      <c r="Z715" t="s">
        <v>6037</v>
      </c>
      <c r="AA715" s="2">
        <v>20000</v>
      </c>
      <c r="AB715" t="s">
        <v>5861</v>
      </c>
      <c r="AC715" t="s">
        <v>9979</v>
      </c>
      <c r="AD715" s="32"/>
      <c r="AJ715" t="s">
        <v>9958</v>
      </c>
      <c r="AL715" t="s">
        <v>10946</v>
      </c>
    </row>
    <row r="716" spans="1:38">
      <c r="A716" t="s">
        <v>8204</v>
      </c>
      <c r="B716" t="s">
        <v>12081</v>
      </c>
      <c r="C716" t="s">
        <v>6770</v>
      </c>
      <c r="D716" t="s">
        <v>6771</v>
      </c>
      <c r="E716" s="2">
        <v>20000</v>
      </c>
      <c r="F716" s="2">
        <v>20000</v>
      </c>
      <c r="G716" s="3">
        <v>43306</v>
      </c>
      <c r="H716" s="4">
        <v>0.12611111111111001</v>
      </c>
      <c r="I716" s="3">
        <v>43306</v>
      </c>
      <c r="J716" s="4">
        <v>0.94310185185185003</v>
      </c>
      <c r="K716" s="2">
        <v>0</v>
      </c>
      <c r="L716" t="s">
        <v>5856</v>
      </c>
      <c r="M716" t="s">
        <v>8072</v>
      </c>
      <c r="N716" s="3"/>
      <c r="O716" s="3">
        <v>43308</v>
      </c>
      <c r="P716" t="s">
        <v>6018</v>
      </c>
      <c r="Q716" t="s">
        <v>13219</v>
      </c>
      <c r="R716" t="s">
        <v>6036</v>
      </c>
      <c r="S716" s="3">
        <v>43307</v>
      </c>
      <c r="T716" t="s">
        <v>9938</v>
      </c>
      <c r="U716" t="s">
        <v>6675</v>
      </c>
      <c r="V716" t="s">
        <v>6760</v>
      </c>
      <c r="W716" t="s">
        <v>5857</v>
      </c>
      <c r="X716" s="2">
        <v>0</v>
      </c>
      <c r="Y716" t="s">
        <v>5858</v>
      </c>
      <c r="Z716" t="s">
        <v>6037</v>
      </c>
      <c r="AA716" s="2">
        <v>20000</v>
      </c>
      <c r="AB716" t="s">
        <v>5861</v>
      </c>
      <c r="AC716" t="s">
        <v>9979</v>
      </c>
      <c r="AD716" s="32"/>
      <c r="AJ716" t="s">
        <v>9958</v>
      </c>
      <c r="AL716" t="s">
        <v>10947</v>
      </c>
    </row>
    <row r="717" spans="1:38">
      <c r="A717" t="s">
        <v>8204</v>
      </c>
      <c r="B717" t="s">
        <v>12082</v>
      </c>
      <c r="C717" t="s">
        <v>6770</v>
      </c>
      <c r="D717" t="s">
        <v>6771</v>
      </c>
      <c r="E717" s="2">
        <v>20000</v>
      </c>
      <c r="F717" s="2">
        <v>20000</v>
      </c>
      <c r="G717" s="3">
        <v>43306</v>
      </c>
      <c r="H717" s="4">
        <v>0.96393518518518995</v>
      </c>
      <c r="I717" s="3">
        <v>43307</v>
      </c>
      <c r="J717" s="4">
        <v>0.78092592592593002</v>
      </c>
      <c r="K717" s="2">
        <v>0</v>
      </c>
      <c r="L717" t="s">
        <v>5856</v>
      </c>
      <c r="M717" t="s">
        <v>8072</v>
      </c>
      <c r="N717" s="3"/>
      <c r="O717" s="3">
        <v>43309</v>
      </c>
      <c r="P717" t="s">
        <v>6018</v>
      </c>
      <c r="Q717" t="s">
        <v>13220</v>
      </c>
      <c r="R717" t="s">
        <v>6036</v>
      </c>
      <c r="S717" s="3">
        <v>43307</v>
      </c>
      <c r="T717" t="s">
        <v>9938</v>
      </c>
      <c r="U717" t="s">
        <v>6675</v>
      </c>
      <c r="V717" t="s">
        <v>6760</v>
      </c>
      <c r="W717" t="s">
        <v>5857</v>
      </c>
      <c r="X717" s="2">
        <v>0</v>
      </c>
      <c r="Y717" t="s">
        <v>5858</v>
      </c>
      <c r="Z717" t="s">
        <v>6037</v>
      </c>
      <c r="AA717" s="2">
        <v>20000</v>
      </c>
      <c r="AB717" t="s">
        <v>5861</v>
      </c>
      <c r="AC717" t="s">
        <v>9979</v>
      </c>
      <c r="AD717" s="32"/>
      <c r="AJ717" t="s">
        <v>9958</v>
      </c>
      <c r="AL717" t="s">
        <v>10948</v>
      </c>
    </row>
    <row r="718" spans="1:38">
      <c r="A718" t="s">
        <v>8204</v>
      </c>
      <c r="B718" t="s">
        <v>12083</v>
      </c>
      <c r="C718" t="s">
        <v>8245</v>
      </c>
      <c r="D718" t="s">
        <v>8246</v>
      </c>
      <c r="E718" s="2">
        <v>7000</v>
      </c>
      <c r="F718" s="2">
        <v>7000</v>
      </c>
      <c r="G718" s="3">
        <v>43309</v>
      </c>
      <c r="H718" s="4">
        <v>0.5019212962963</v>
      </c>
      <c r="I718" s="3">
        <v>43309</v>
      </c>
      <c r="J718" s="4">
        <v>0.78787037037037</v>
      </c>
      <c r="K718" s="2">
        <v>0</v>
      </c>
      <c r="L718" t="s">
        <v>5856</v>
      </c>
      <c r="M718" t="s">
        <v>8247</v>
      </c>
      <c r="N718" s="3">
        <v>43306</v>
      </c>
      <c r="O718" s="3">
        <v>43311</v>
      </c>
      <c r="P718" t="s">
        <v>5913</v>
      </c>
      <c r="Q718" t="s">
        <v>8248</v>
      </c>
      <c r="R718" t="s">
        <v>6036</v>
      </c>
      <c r="S718" s="3">
        <v>43306</v>
      </c>
      <c r="T718" t="s">
        <v>9938</v>
      </c>
      <c r="U718" t="s">
        <v>6052</v>
      </c>
      <c r="V718" t="s">
        <v>5954</v>
      </c>
      <c r="W718" t="s">
        <v>5857</v>
      </c>
      <c r="X718" s="2">
        <v>1020</v>
      </c>
      <c r="Y718" t="s">
        <v>5858</v>
      </c>
      <c r="Z718" t="s">
        <v>6037</v>
      </c>
      <c r="AA718" s="2">
        <v>7000</v>
      </c>
      <c r="AB718" t="s">
        <v>5863</v>
      </c>
      <c r="AC718" t="s">
        <v>9974</v>
      </c>
      <c r="AD718" s="32">
        <v>43230</v>
      </c>
      <c r="AJ718" t="s">
        <v>9958</v>
      </c>
      <c r="AL718" t="s">
        <v>10951</v>
      </c>
    </row>
    <row r="719" spans="1:38">
      <c r="A719" t="s">
        <v>8204</v>
      </c>
      <c r="B719" t="s">
        <v>12084</v>
      </c>
      <c r="C719" t="s">
        <v>6077</v>
      </c>
      <c r="D719" t="s">
        <v>5970</v>
      </c>
      <c r="E719" s="2">
        <v>10300</v>
      </c>
      <c r="F719" s="2">
        <v>10300</v>
      </c>
      <c r="G719" s="3">
        <v>43309</v>
      </c>
      <c r="H719" s="4">
        <v>0.80870370370370004</v>
      </c>
      <c r="I719" s="3">
        <v>43310</v>
      </c>
      <c r="J719" s="4">
        <v>0.22945601851851999</v>
      </c>
      <c r="K719" s="2">
        <v>20</v>
      </c>
      <c r="L719" t="s">
        <v>5856</v>
      </c>
      <c r="M719" t="s">
        <v>8165</v>
      </c>
      <c r="N719" s="3">
        <v>43311</v>
      </c>
      <c r="O719" s="3">
        <v>43312</v>
      </c>
      <c r="P719" t="s">
        <v>5971</v>
      </c>
      <c r="Q719" t="s">
        <v>8249</v>
      </c>
      <c r="R719" t="s">
        <v>6036</v>
      </c>
      <c r="S719" s="3">
        <v>43311</v>
      </c>
      <c r="T719" t="s">
        <v>9938</v>
      </c>
      <c r="U719" t="s">
        <v>6052</v>
      </c>
      <c r="V719" t="s">
        <v>5972</v>
      </c>
      <c r="W719" t="s">
        <v>5857</v>
      </c>
      <c r="X719" s="2">
        <v>1020</v>
      </c>
      <c r="Y719" t="s">
        <v>5858</v>
      </c>
      <c r="Z719" t="s">
        <v>6037</v>
      </c>
      <c r="AA719" s="2">
        <v>10000</v>
      </c>
      <c r="AB719" t="s">
        <v>5863</v>
      </c>
      <c r="AC719" t="s">
        <v>9974</v>
      </c>
      <c r="AD719" s="32">
        <v>43278</v>
      </c>
      <c r="AJ719" t="s">
        <v>9958</v>
      </c>
      <c r="AL719" t="s">
        <v>10952</v>
      </c>
    </row>
    <row r="720" spans="1:38">
      <c r="A720" t="s">
        <v>8204</v>
      </c>
      <c r="B720" t="s">
        <v>12085</v>
      </c>
      <c r="C720" t="s">
        <v>6770</v>
      </c>
      <c r="D720" t="s">
        <v>6771</v>
      </c>
      <c r="E720" s="2">
        <v>20000</v>
      </c>
      <c r="F720" s="2">
        <v>20000</v>
      </c>
      <c r="G720" s="3">
        <v>43310</v>
      </c>
      <c r="H720" s="4">
        <v>0.25028935185184997</v>
      </c>
      <c r="I720" s="3">
        <v>43311</v>
      </c>
      <c r="J720" s="4">
        <v>6.7280092592590005E-2</v>
      </c>
      <c r="K720" s="2">
        <v>0</v>
      </c>
      <c r="L720" t="s">
        <v>5856</v>
      </c>
      <c r="M720" t="s">
        <v>8072</v>
      </c>
      <c r="N720" s="3"/>
      <c r="O720" s="3">
        <v>43313</v>
      </c>
      <c r="P720" t="s">
        <v>6018</v>
      </c>
      <c r="Q720" t="s">
        <v>8243</v>
      </c>
      <c r="R720" t="s">
        <v>6036</v>
      </c>
      <c r="S720" s="3">
        <v>43307</v>
      </c>
      <c r="T720" t="s">
        <v>9938</v>
      </c>
      <c r="U720" t="s">
        <v>6675</v>
      </c>
      <c r="V720" t="s">
        <v>6760</v>
      </c>
      <c r="W720" t="s">
        <v>5857</v>
      </c>
      <c r="X720" s="2">
        <v>0</v>
      </c>
      <c r="Y720" t="s">
        <v>5858</v>
      </c>
      <c r="Z720" t="s">
        <v>6037</v>
      </c>
      <c r="AA720" s="2">
        <v>20000</v>
      </c>
      <c r="AB720" t="s">
        <v>5861</v>
      </c>
      <c r="AC720" t="s">
        <v>9979</v>
      </c>
      <c r="AD720" s="32"/>
      <c r="AJ720" t="s">
        <v>9958</v>
      </c>
      <c r="AL720" t="s">
        <v>10953</v>
      </c>
    </row>
    <row r="721" spans="1:38">
      <c r="A721" t="s">
        <v>8204</v>
      </c>
      <c r="B721" t="s">
        <v>12086</v>
      </c>
      <c r="C721" t="s">
        <v>6770</v>
      </c>
      <c r="D721" t="s">
        <v>6771</v>
      </c>
      <c r="E721" s="2">
        <v>20000</v>
      </c>
      <c r="F721" s="2">
        <v>20000</v>
      </c>
      <c r="G721" s="3">
        <v>43311</v>
      </c>
      <c r="H721" s="4">
        <v>8.8113425925929995E-2</v>
      </c>
      <c r="I721" s="3">
        <v>43311</v>
      </c>
      <c r="J721" s="4">
        <v>0.90510416666667004</v>
      </c>
      <c r="K721" s="2">
        <v>0</v>
      </c>
      <c r="L721" t="s">
        <v>5856</v>
      </c>
      <c r="M721" t="s">
        <v>8072</v>
      </c>
      <c r="N721" s="3"/>
      <c r="O721" s="3">
        <v>43313</v>
      </c>
      <c r="P721" t="s">
        <v>6018</v>
      </c>
      <c r="Q721" t="s">
        <v>8244</v>
      </c>
      <c r="R721" t="s">
        <v>6036</v>
      </c>
      <c r="S721" s="3">
        <v>43311</v>
      </c>
      <c r="T721" t="s">
        <v>9938</v>
      </c>
      <c r="U721" t="s">
        <v>6675</v>
      </c>
      <c r="V721" t="s">
        <v>6760</v>
      </c>
      <c r="W721" t="s">
        <v>5857</v>
      </c>
      <c r="X721" s="2">
        <v>0</v>
      </c>
      <c r="Y721" t="s">
        <v>5858</v>
      </c>
      <c r="Z721" t="s">
        <v>6037</v>
      </c>
      <c r="AA721" s="2">
        <v>20000</v>
      </c>
      <c r="AB721" t="s">
        <v>5861</v>
      </c>
      <c r="AC721" t="s">
        <v>9979</v>
      </c>
      <c r="AD721" s="32"/>
      <c r="AJ721" t="s">
        <v>9958</v>
      </c>
      <c r="AL721" t="s">
        <v>10954</v>
      </c>
    </row>
    <row r="722" spans="1:38">
      <c r="A722" t="s">
        <v>8204</v>
      </c>
      <c r="B722" t="s">
        <v>12087</v>
      </c>
      <c r="C722" t="s">
        <v>6770</v>
      </c>
      <c r="D722" t="s">
        <v>6771</v>
      </c>
      <c r="E722" s="2">
        <v>20000</v>
      </c>
      <c r="F722" s="2">
        <v>20000</v>
      </c>
      <c r="G722" s="3">
        <v>43311</v>
      </c>
      <c r="H722" s="4">
        <v>0.92593749999999997</v>
      </c>
      <c r="I722" s="3">
        <v>43312</v>
      </c>
      <c r="J722" s="4">
        <v>0.74292824074074004</v>
      </c>
      <c r="K722" s="2">
        <v>0</v>
      </c>
      <c r="L722" t="s">
        <v>5856</v>
      </c>
      <c r="M722" t="s">
        <v>8072</v>
      </c>
      <c r="N722" s="3"/>
      <c r="O722" s="3">
        <v>43314</v>
      </c>
      <c r="P722" t="s">
        <v>6018</v>
      </c>
      <c r="Q722" t="s">
        <v>6038</v>
      </c>
      <c r="R722" t="s">
        <v>6040</v>
      </c>
      <c r="S722" s="3">
        <v>43313</v>
      </c>
      <c r="T722" t="s">
        <v>9938</v>
      </c>
      <c r="U722" t="s">
        <v>6675</v>
      </c>
      <c r="V722" t="s">
        <v>6760</v>
      </c>
      <c r="W722" t="s">
        <v>5857</v>
      </c>
      <c r="X722" s="2">
        <v>0</v>
      </c>
      <c r="Y722" t="s">
        <v>5858</v>
      </c>
      <c r="Z722" t="s">
        <v>6037</v>
      </c>
      <c r="AA722" s="2">
        <v>20000</v>
      </c>
      <c r="AB722" t="s">
        <v>5861</v>
      </c>
      <c r="AC722" t="s">
        <v>9979</v>
      </c>
      <c r="AD722" s="32"/>
      <c r="AJ722" t="s">
        <v>9958</v>
      </c>
      <c r="AL722" t="s">
        <v>10955</v>
      </c>
    </row>
    <row r="723" spans="1:38">
      <c r="A723" t="s">
        <v>8204</v>
      </c>
      <c r="B723" t="s">
        <v>13221</v>
      </c>
      <c r="C723" t="s">
        <v>6091</v>
      </c>
      <c r="D723" t="s">
        <v>6007</v>
      </c>
      <c r="E723" s="2">
        <v>20600</v>
      </c>
      <c r="F723" s="2">
        <v>20600</v>
      </c>
      <c r="G723" s="3">
        <v>43312</v>
      </c>
      <c r="H723" s="4">
        <v>0.15848379629629999</v>
      </c>
      <c r="I723" s="3">
        <v>43312</v>
      </c>
      <c r="J723" s="4">
        <v>0.99998842592592996</v>
      </c>
      <c r="K723" s="2">
        <v>0</v>
      </c>
      <c r="L723" t="s">
        <v>5856</v>
      </c>
      <c r="M723" t="s">
        <v>8151</v>
      </c>
      <c r="N723" s="3">
        <v>43314</v>
      </c>
      <c r="O723" s="3">
        <v>43314</v>
      </c>
      <c r="P723" t="s">
        <v>5971</v>
      </c>
      <c r="Q723" t="s">
        <v>13222</v>
      </c>
      <c r="R723" t="s">
        <v>6036</v>
      </c>
      <c r="S723" s="3">
        <v>43335</v>
      </c>
      <c r="T723" t="s">
        <v>9938</v>
      </c>
      <c r="U723" t="s">
        <v>6052</v>
      </c>
      <c r="V723" t="s">
        <v>6041</v>
      </c>
      <c r="W723" t="s">
        <v>5857</v>
      </c>
      <c r="X723" s="2">
        <v>0</v>
      </c>
      <c r="Y723" t="s">
        <v>5858</v>
      </c>
      <c r="Z723" t="s">
        <v>6037</v>
      </c>
      <c r="AA723" s="2">
        <v>20000</v>
      </c>
      <c r="AB723" t="s">
        <v>5915</v>
      </c>
      <c r="AC723" t="s">
        <v>9975</v>
      </c>
      <c r="AD723" s="32"/>
      <c r="AJ723" t="s">
        <v>9958</v>
      </c>
      <c r="AL723" t="s">
        <v>14020</v>
      </c>
    </row>
    <row r="724" spans="1:38">
      <c r="A724" t="s">
        <v>8204</v>
      </c>
      <c r="B724" t="s">
        <v>12088</v>
      </c>
      <c r="C724" t="s">
        <v>6770</v>
      </c>
      <c r="D724" t="s">
        <v>6771</v>
      </c>
      <c r="E724" s="2">
        <v>20000</v>
      </c>
      <c r="F724" s="2">
        <v>20000</v>
      </c>
      <c r="G724" s="3">
        <v>43312</v>
      </c>
      <c r="H724" s="4">
        <v>0.76376157407406997</v>
      </c>
      <c r="I724" s="3">
        <v>43313</v>
      </c>
      <c r="J724" s="4">
        <v>0.58075231481481004</v>
      </c>
      <c r="K724" s="2">
        <v>0</v>
      </c>
      <c r="L724" t="s">
        <v>5856</v>
      </c>
      <c r="M724" t="s">
        <v>8072</v>
      </c>
      <c r="N724" s="3"/>
      <c r="O724" s="3">
        <v>43315</v>
      </c>
      <c r="P724" t="s">
        <v>6018</v>
      </c>
      <c r="Q724" t="s">
        <v>13223</v>
      </c>
      <c r="R724" t="s">
        <v>6036</v>
      </c>
      <c r="S724" s="3">
        <v>43314</v>
      </c>
      <c r="T724" t="s">
        <v>9938</v>
      </c>
      <c r="U724" t="s">
        <v>6675</v>
      </c>
      <c r="V724" t="s">
        <v>6760</v>
      </c>
      <c r="W724" t="s">
        <v>5857</v>
      </c>
      <c r="X724" s="2">
        <v>0</v>
      </c>
      <c r="Y724" t="s">
        <v>5858</v>
      </c>
      <c r="Z724" t="s">
        <v>6037</v>
      </c>
      <c r="AA724" s="2">
        <v>20000</v>
      </c>
      <c r="AB724" t="s">
        <v>5861</v>
      </c>
      <c r="AC724" t="s">
        <v>9979</v>
      </c>
      <c r="AD724" s="32"/>
      <c r="AJ724" t="s">
        <v>9958</v>
      </c>
      <c r="AL724" t="s">
        <v>10956</v>
      </c>
    </row>
    <row r="725" spans="1:38">
      <c r="A725" t="s">
        <v>8204</v>
      </c>
      <c r="B725" t="s">
        <v>12089</v>
      </c>
      <c r="C725" t="s">
        <v>6770</v>
      </c>
      <c r="D725" t="s">
        <v>6771</v>
      </c>
      <c r="E725" s="2">
        <v>20000</v>
      </c>
      <c r="F725" s="2">
        <v>20000</v>
      </c>
      <c r="G725" s="3">
        <v>43313</v>
      </c>
      <c r="H725" s="4">
        <v>0.60158564814814997</v>
      </c>
      <c r="I725" s="3">
        <v>43314</v>
      </c>
      <c r="J725" s="4">
        <v>0.41857638888888998</v>
      </c>
      <c r="K725" s="2">
        <v>0</v>
      </c>
      <c r="L725" t="s">
        <v>5856</v>
      </c>
      <c r="M725" t="s">
        <v>8072</v>
      </c>
      <c r="N725" s="3"/>
      <c r="O725" s="3">
        <v>43316</v>
      </c>
      <c r="P725" t="s">
        <v>6018</v>
      </c>
      <c r="Q725" t="s">
        <v>13224</v>
      </c>
      <c r="R725" t="s">
        <v>6036</v>
      </c>
      <c r="S725" s="3">
        <v>43316</v>
      </c>
      <c r="T725" t="s">
        <v>9938</v>
      </c>
      <c r="U725" t="s">
        <v>6675</v>
      </c>
      <c r="V725" t="s">
        <v>6760</v>
      </c>
      <c r="W725" t="s">
        <v>5857</v>
      </c>
      <c r="X725" s="2">
        <v>0</v>
      </c>
      <c r="Y725" t="s">
        <v>5858</v>
      </c>
      <c r="Z725" t="s">
        <v>6037</v>
      </c>
      <c r="AA725" s="2">
        <v>20000</v>
      </c>
      <c r="AB725" t="s">
        <v>5861</v>
      </c>
      <c r="AC725" t="s">
        <v>9979</v>
      </c>
      <c r="AD725" s="32"/>
      <c r="AJ725" t="s">
        <v>9958</v>
      </c>
      <c r="AL725" t="s">
        <v>10957</v>
      </c>
    </row>
    <row r="726" spans="1:38">
      <c r="A726" t="s">
        <v>8204</v>
      </c>
      <c r="B726" t="s">
        <v>12090</v>
      </c>
      <c r="C726" t="s">
        <v>6770</v>
      </c>
      <c r="D726" t="s">
        <v>6771</v>
      </c>
      <c r="E726" s="2">
        <v>20000</v>
      </c>
      <c r="F726" s="2">
        <v>20000</v>
      </c>
      <c r="G726" s="3">
        <v>43314</v>
      </c>
      <c r="H726" s="4">
        <v>0.43940972222222002</v>
      </c>
      <c r="I726" s="3">
        <v>43315</v>
      </c>
      <c r="J726" s="4">
        <v>0.25640046296295999</v>
      </c>
      <c r="K726" s="2">
        <v>0</v>
      </c>
      <c r="L726" t="s">
        <v>5856</v>
      </c>
      <c r="M726" t="s">
        <v>8072</v>
      </c>
      <c r="N726" s="3"/>
      <c r="O726" s="3">
        <v>43317</v>
      </c>
      <c r="P726" t="s">
        <v>6018</v>
      </c>
      <c r="Q726" t="s">
        <v>8191</v>
      </c>
      <c r="R726" t="s">
        <v>6036</v>
      </c>
      <c r="S726" s="3">
        <v>43326</v>
      </c>
      <c r="T726" t="s">
        <v>9938</v>
      </c>
      <c r="U726" t="s">
        <v>6675</v>
      </c>
      <c r="V726" t="s">
        <v>6760</v>
      </c>
      <c r="W726" t="s">
        <v>5857</v>
      </c>
      <c r="X726" s="2">
        <v>0</v>
      </c>
      <c r="Y726" t="s">
        <v>5858</v>
      </c>
      <c r="Z726" t="s">
        <v>6037</v>
      </c>
      <c r="AA726" s="2">
        <v>20000</v>
      </c>
      <c r="AB726" t="s">
        <v>5861</v>
      </c>
      <c r="AC726" t="s">
        <v>9979</v>
      </c>
      <c r="AD726" s="32"/>
      <c r="AJ726" t="s">
        <v>9958</v>
      </c>
      <c r="AL726" t="s">
        <v>10958</v>
      </c>
    </row>
    <row r="727" spans="1:38">
      <c r="A727" t="s">
        <v>8204</v>
      </c>
      <c r="B727" t="s">
        <v>12091</v>
      </c>
      <c r="C727" t="s">
        <v>6770</v>
      </c>
      <c r="D727" t="s">
        <v>6771</v>
      </c>
      <c r="E727" s="2">
        <v>20000</v>
      </c>
      <c r="F727" s="2">
        <v>20000</v>
      </c>
      <c r="G727" s="3">
        <v>43315</v>
      </c>
      <c r="H727" s="4">
        <v>0.27723379629630002</v>
      </c>
      <c r="I727" s="3">
        <v>43316</v>
      </c>
      <c r="J727" s="4">
        <v>9.4224537037039993E-2</v>
      </c>
      <c r="K727" s="2">
        <v>0</v>
      </c>
      <c r="L727" t="s">
        <v>5856</v>
      </c>
      <c r="M727" t="s">
        <v>8072</v>
      </c>
      <c r="N727" s="3"/>
      <c r="O727" s="3">
        <v>43318</v>
      </c>
      <c r="P727" t="s">
        <v>6018</v>
      </c>
      <c r="Q727" t="s">
        <v>8565</v>
      </c>
      <c r="R727" t="s">
        <v>6036</v>
      </c>
      <c r="S727" s="3">
        <v>43327</v>
      </c>
      <c r="T727" t="s">
        <v>9938</v>
      </c>
      <c r="U727" t="s">
        <v>6675</v>
      </c>
      <c r="V727" t="s">
        <v>6760</v>
      </c>
      <c r="W727" t="s">
        <v>5857</v>
      </c>
      <c r="X727" s="2">
        <v>0</v>
      </c>
      <c r="Y727" t="s">
        <v>5858</v>
      </c>
      <c r="Z727" t="s">
        <v>6037</v>
      </c>
      <c r="AA727" s="2">
        <v>20000</v>
      </c>
      <c r="AB727" t="s">
        <v>5861</v>
      </c>
      <c r="AC727" t="s">
        <v>9979</v>
      </c>
      <c r="AD727" s="32"/>
      <c r="AJ727" t="s">
        <v>9958</v>
      </c>
      <c r="AL727" t="s">
        <v>10959</v>
      </c>
    </row>
    <row r="728" spans="1:38">
      <c r="A728" t="s">
        <v>8204</v>
      </c>
      <c r="B728" t="s">
        <v>12092</v>
      </c>
      <c r="C728" t="s">
        <v>6711</v>
      </c>
      <c r="D728" t="s">
        <v>6712</v>
      </c>
      <c r="E728" s="2">
        <v>20000</v>
      </c>
      <c r="F728" s="2">
        <v>20000</v>
      </c>
      <c r="G728" s="3">
        <v>43317</v>
      </c>
      <c r="H728" s="4">
        <v>0.18299768518519</v>
      </c>
      <c r="I728" s="3">
        <v>43317</v>
      </c>
      <c r="J728" s="4">
        <v>0.99998842592592996</v>
      </c>
      <c r="K728" s="2">
        <v>0</v>
      </c>
      <c r="L728" t="s">
        <v>5856</v>
      </c>
      <c r="M728" t="s">
        <v>8072</v>
      </c>
      <c r="N728" s="3"/>
      <c r="O728" s="3">
        <v>43319</v>
      </c>
      <c r="P728" t="s">
        <v>6018</v>
      </c>
      <c r="Q728" t="s">
        <v>13225</v>
      </c>
      <c r="R728" t="s">
        <v>6036</v>
      </c>
      <c r="S728" s="3">
        <v>43319</v>
      </c>
      <c r="T728" t="s">
        <v>9938</v>
      </c>
      <c r="U728" t="s">
        <v>6714</v>
      </c>
      <c r="V728" t="s">
        <v>5973</v>
      </c>
      <c r="W728" t="s">
        <v>5857</v>
      </c>
      <c r="X728" s="2">
        <v>0</v>
      </c>
      <c r="Y728" t="s">
        <v>5858</v>
      </c>
      <c r="Z728" t="s">
        <v>6037</v>
      </c>
      <c r="AA728" s="2">
        <v>20000</v>
      </c>
      <c r="AB728" t="s">
        <v>5861</v>
      </c>
      <c r="AC728" t="s">
        <v>9979</v>
      </c>
      <c r="AD728" s="32"/>
      <c r="AJ728" t="s">
        <v>9958</v>
      </c>
      <c r="AL728" t="s">
        <v>10960</v>
      </c>
    </row>
    <row r="729" spans="1:38">
      <c r="A729" t="s">
        <v>8204</v>
      </c>
      <c r="B729" t="s">
        <v>12093</v>
      </c>
      <c r="C729" t="s">
        <v>6875</v>
      </c>
      <c r="D729" t="s">
        <v>6876</v>
      </c>
      <c r="E729" s="2">
        <v>20600</v>
      </c>
      <c r="F729" s="2">
        <v>20600</v>
      </c>
      <c r="G729" s="3">
        <v>43323</v>
      </c>
      <c r="H729" s="4">
        <v>0.15848379629629999</v>
      </c>
      <c r="I729" s="3">
        <v>43323</v>
      </c>
      <c r="J729" s="4">
        <v>0.99998842592592996</v>
      </c>
      <c r="K729" s="2">
        <v>0</v>
      </c>
      <c r="L729" t="s">
        <v>5856</v>
      </c>
      <c r="M729" t="s">
        <v>8151</v>
      </c>
      <c r="N729" s="3">
        <v>43325</v>
      </c>
      <c r="O729" s="3">
        <v>43325</v>
      </c>
      <c r="P729" t="s">
        <v>6026</v>
      </c>
      <c r="Q729" t="s">
        <v>13226</v>
      </c>
      <c r="R729" t="s">
        <v>6036</v>
      </c>
      <c r="S729" s="3">
        <v>43325</v>
      </c>
      <c r="T729" t="s">
        <v>9938</v>
      </c>
      <c r="U729" t="s">
        <v>6582</v>
      </c>
      <c r="V729" t="s">
        <v>6864</v>
      </c>
      <c r="W729" t="s">
        <v>5857</v>
      </c>
      <c r="X729" s="2">
        <v>0</v>
      </c>
      <c r="Y729" t="s">
        <v>5858</v>
      </c>
      <c r="Z729" t="s">
        <v>6037</v>
      </c>
      <c r="AA729" s="2">
        <v>20000</v>
      </c>
      <c r="AB729" t="s">
        <v>5915</v>
      </c>
      <c r="AC729" t="s">
        <v>9980</v>
      </c>
      <c r="AD729" s="32"/>
      <c r="AJ729" t="s">
        <v>9958</v>
      </c>
      <c r="AL729" t="s">
        <v>10961</v>
      </c>
    </row>
    <row r="730" spans="1:38">
      <c r="A730" t="s">
        <v>8204</v>
      </c>
      <c r="B730" t="s">
        <v>12094</v>
      </c>
      <c r="C730" t="s">
        <v>8245</v>
      </c>
      <c r="D730" t="s">
        <v>8246</v>
      </c>
      <c r="E730" s="2">
        <v>5000</v>
      </c>
      <c r="F730" s="2">
        <v>5000</v>
      </c>
      <c r="G730" s="3">
        <v>43332</v>
      </c>
      <c r="H730" s="4">
        <v>0.79575231481481001</v>
      </c>
      <c r="I730" s="3">
        <v>43333</v>
      </c>
      <c r="J730" s="4">
        <v>0</v>
      </c>
      <c r="K730" s="2">
        <v>0</v>
      </c>
      <c r="L730" t="s">
        <v>5856</v>
      </c>
      <c r="M730" t="s">
        <v>7277</v>
      </c>
      <c r="N730" s="3">
        <v>43335</v>
      </c>
      <c r="O730" s="3">
        <v>43334</v>
      </c>
      <c r="P730" t="s">
        <v>5913</v>
      </c>
      <c r="Q730" t="s">
        <v>8252</v>
      </c>
      <c r="R730" t="s">
        <v>6036</v>
      </c>
      <c r="S730" s="3">
        <v>43335</v>
      </c>
      <c r="T730" t="s">
        <v>9938</v>
      </c>
      <c r="U730" t="s">
        <v>6052</v>
      </c>
      <c r="V730" t="s">
        <v>5954</v>
      </c>
      <c r="W730" t="s">
        <v>5857</v>
      </c>
      <c r="X730" s="2">
        <v>1020</v>
      </c>
      <c r="Y730" t="s">
        <v>5858</v>
      </c>
      <c r="Z730" t="s">
        <v>6037</v>
      </c>
      <c r="AA730" s="2">
        <v>5000</v>
      </c>
      <c r="AB730" t="s">
        <v>5863</v>
      </c>
      <c r="AC730" t="s">
        <v>9974</v>
      </c>
      <c r="AD730" s="32"/>
      <c r="AJ730" t="s">
        <v>9958</v>
      </c>
      <c r="AL730" t="s">
        <v>10962</v>
      </c>
    </row>
    <row r="731" spans="1:38">
      <c r="A731" t="s">
        <v>8204</v>
      </c>
      <c r="B731" t="s">
        <v>12095</v>
      </c>
      <c r="C731" t="s">
        <v>6770</v>
      </c>
      <c r="D731" t="s">
        <v>6771</v>
      </c>
      <c r="E731" s="2">
        <v>20000</v>
      </c>
      <c r="F731" s="2">
        <v>20000</v>
      </c>
      <c r="G731" s="3">
        <v>43342</v>
      </c>
      <c r="H731" s="4">
        <v>0.52776620370369998</v>
      </c>
      <c r="I731" s="3">
        <v>43343</v>
      </c>
      <c r="J731" s="4">
        <v>0.34475694444443999</v>
      </c>
      <c r="K731" s="2">
        <v>0</v>
      </c>
      <c r="L731" t="s">
        <v>5856</v>
      </c>
      <c r="M731" t="s">
        <v>8072</v>
      </c>
      <c r="N731" s="3"/>
      <c r="O731" s="3">
        <v>43345</v>
      </c>
      <c r="P731" t="s">
        <v>6018</v>
      </c>
      <c r="Q731" t="s">
        <v>13227</v>
      </c>
      <c r="R731" t="s">
        <v>6036</v>
      </c>
      <c r="S731" s="3">
        <v>43348</v>
      </c>
      <c r="T731" t="s">
        <v>9938</v>
      </c>
      <c r="U731" t="s">
        <v>6675</v>
      </c>
      <c r="V731" t="s">
        <v>6760</v>
      </c>
      <c r="W731" t="s">
        <v>5857</v>
      </c>
      <c r="X731" s="2">
        <v>0</v>
      </c>
      <c r="Y731" t="s">
        <v>5858</v>
      </c>
      <c r="Z731" t="s">
        <v>6037</v>
      </c>
      <c r="AA731" s="2">
        <v>20000</v>
      </c>
      <c r="AB731" t="s">
        <v>5861</v>
      </c>
      <c r="AC731" t="s">
        <v>9979</v>
      </c>
      <c r="AD731" s="32"/>
      <c r="AJ731" t="s">
        <v>9958</v>
      </c>
      <c r="AL731" t="s">
        <v>10963</v>
      </c>
    </row>
    <row r="732" spans="1:38">
      <c r="A732" t="s">
        <v>8204</v>
      </c>
      <c r="B732" t="s">
        <v>12096</v>
      </c>
      <c r="C732" t="s">
        <v>6770</v>
      </c>
      <c r="D732" t="s">
        <v>6771</v>
      </c>
      <c r="E732" s="2">
        <v>20000</v>
      </c>
      <c r="F732" s="2">
        <v>20000</v>
      </c>
      <c r="G732" s="3">
        <v>43343</v>
      </c>
      <c r="H732" s="4">
        <v>0.22221064814815</v>
      </c>
      <c r="I732" s="3">
        <v>43344</v>
      </c>
      <c r="J732" s="4">
        <v>3.920138888889E-2</v>
      </c>
      <c r="K732" s="2">
        <v>0</v>
      </c>
      <c r="L732" t="s">
        <v>5856</v>
      </c>
      <c r="M732" t="s">
        <v>8072</v>
      </c>
      <c r="N732" s="3"/>
      <c r="O732" s="3">
        <v>43346</v>
      </c>
      <c r="P732" t="s">
        <v>6018</v>
      </c>
      <c r="Q732" t="s">
        <v>13228</v>
      </c>
      <c r="R732" t="s">
        <v>6036</v>
      </c>
      <c r="S732" s="3">
        <v>43349</v>
      </c>
      <c r="T732" t="s">
        <v>9938</v>
      </c>
      <c r="U732" t="s">
        <v>6675</v>
      </c>
      <c r="V732" t="s">
        <v>6760</v>
      </c>
      <c r="W732" t="s">
        <v>5857</v>
      </c>
      <c r="X732" s="2">
        <v>0</v>
      </c>
      <c r="Y732" t="s">
        <v>5858</v>
      </c>
      <c r="Z732" t="s">
        <v>6037</v>
      </c>
      <c r="AA732" s="2">
        <v>20000</v>
      </c>
      <c r="AB732" t="s">
        <v>5861</v>
      </c>
      <c r="AC732" t="s">
        <v>9979</v>
      </c>
      <c r="AD732" s="32"/>
      <c r="AJ732" t="s">
        <v>9958</v>
      </c>
      <c r="AL732" t="s">
        <v>10964</v>
      </c>
    </row>
    <row r="733" spans="1:38">
      <c r="A733" t="s">
        <v>8204</v>
      </c>
      <c r="B733" t="s">
        <v>12097</v>
      </c>
      <c r="C733" t="s">
        <v>6770</v>
      </c>
      <c r="D733" t="s">
        <v>6771</v>
      </c>
      <c r="E733" s="2">
        <v>20000</v>
      </c>
      <c r="F733" s="2">
        <v>20000</v>
      </c>
      <c r="G733" s="3">
        <v>43343</v>
      </c>
      <c r="H733" s="4">
        <v>0.91665509259259004</v>
      </c>
      <c r="I733" s="3">
        <v>43344</v>
      </c>
      <c r="J733" s="4">
        <v>0.73364583333333</v>
      </c>
      <c r="K733" s="2">
        <v>0</v>
      </c>
      <c r="L733" t="s">
        <v>5856</v>
      </c>
      <c r="M733" t="s">
        <v>8072</v>
      </c>
      <c r="N733" s="3"/>
      <c r="O733" s="3">
        <v>43346</v>
      </c>
      <c r="P733" t="s">
        <v>6018</v>
      </c>
      <c r="Q733" t="s">
        <v>13229</v>
      </c>
      <c r="R733" t="s">
        <v>6036</v>
      </c>
      <c r="S733" s="3">
        <v>43350</v>
      </c>
      <c r="T733" t="s">
        <v>9938</v>
      </c>
      <c r="U733" t="s">
        <v>6675</v>
      </c>
      <c r="V733" t="s">
        <v>6760</v>
      </c>
      <c r="W733" t="s">
        <v>5857</v>
      </c>
      <c r="X733" s="2">
        <v>0</v>
      </c>
      <c r="Y733" t="s">
        <v>5858</v>
      </c>
      <c r="Z733" t="s">
        <v>6037</v>
      </c>
      <c r="AA733" s="2">
        <v>20000</v>
      </c>
      <c r="AB733" t="s">
        <v>5861</v>
      </c>
      <c r="AC733" t="s">
        <v>9979</v>
      </c>
      <c r="AD733" s="32"/>
      <c r="AJ733" t="s">
        <v>9958</v>
      </c>
      <c r="AL733" t="s">
        <v>10965</v>
      </c>
    </row>
    <row r="734" spans="1:38">
      <c r="A734" t="s">
        <v>8204</v>
      </c>
      <c r="B734" t="s">
        <v>12098</v>
      </c>
      <c r="C734" t="s">
        <v>6770</v>
      </c>
      <c r="D734" t="s">
        <v>6771</v>
      </c>
      <c r="E734" s="2">
        <v>20000</v>
      </c>
      <c r="F734" s="2">
        <v>20000</v>
      </c>
      <c r="G734" s="3">
        <v>43344</v>
      </c>
      <c r="H734" s="4">
        <v>0.61109953703704001</v>
      </c>
      <c r="I734" s="3">
        <v>43345</v>
      </c>
      <c r="J734" s="4">
        <v>0.42809027777778003</v>
      </c>
      <c r="K734" s="2">
        <v>0</v>
      </c>
      <c r="L734" t="s">
        <v>5856</v>
      </c>
      <c r="M734" t="s">
        <v>8072</v>
      </c>
      <c r="N734" s="3"/>
      <c r="O734" s="3">
        <v>43347</v>
      </c>
      <c r="P734" t="s">
        <v>6018</v>
      </c>
      <c r="Q734" t="s">
        <v>13230</v>
      </c>
      <c r="R734" t="s">
        <v>6036</v>
      </c>
      <c r="S734" s="3">
        <v>43350</v>
      </c>
      <c r="T734" t="s">
        <v>9938</v>
      </c>
      <c r="U734" t="s">
        <v>6675</v>
      </c>
      <c r="V734" t="s">
        <v>6760</v>
      </c>
      <c r="W734" t="s">
        <v>5857</v>
      </c>
      <c r="X734" s="2">
        <v>0</v>
      </c>
      <c r="Y734" t="s">
        <v>5858</v>
      </c>
      <c r="Z734" t="s">
        <v>6037</v>
      </c>
      <c r="AA734" s="2">
        <v>20000</v>
      </c>
      <c r="AB734" t="s">
        <v>5861</v>
      </c>
      <c r="AC734" t="s">
        <v>9979</v>
      </c>
      <c r="AD734" s="32"/>
      <c r="AJ734" t="s">
        <v>9958</v>
      </c>
      <c r="AL734" t="s">
        <v>10966</v>
      </c>
    </row>
    <row r="735" spans="1:38">
      <c r="A735" t="s">
        <v>8204</v>
      </c>
      <c r="B735" t="s">
        <v>12099</v>
      </c>
      <c r="C735" t="s">
        <v>8245</v>
      </c>
      <c r="D735" t="s">
        <v>8246</v>
      </c>
      <c r="E735" s="2">
        <v>8000</v>
      </c>
      <c r="F735" s="2">
        <v>8000</v>
      </c>
      <c r="G735" s="3">
        <v>43344</v>
      </c>
      <c r="H735" s="4">
        <v>0.67320601851852002</v>
      </c>
      <c r="I735" s="3">
        <v>43345</v>
      </c>
      <c r="J735" s="4">
        <v>0</v>
      </c>
      <c r="K735" s="2">
        <v>0</v>
      </c>
      <c r="L735" t="s">
        <v>5856</v>
      </c>
      <c r="M735" t="s">
        <v>6498</v>
      </c>
      <c r="N735" s="3">
        <v>43349</v>
      </c>
      <c r="O735" s="3">
        <v>43346</v>
      </c>
      <c r="P735" t="s">
        <v>5913</v>
      </c>
      <c r="Q735" t="s">
        <v>8256</v>
      </c>
      <c r="R735" t="s">
        <v>6036</v>
      </c>
      <c r="S735" s="3">
        <v>43349</v>
      </c>
      <c r="T735" t="s">
        <v>9938</v>
      </c>
      <c r="U735" t="s">
        <v>6052</v>
      </c>
      <c r="V735" t="s">
        <v>5954</v>
      </c>
      <c r="W735" t="s">
        <v>5857</v>
      </c>
      <c r="X735" s="2">
        <v>1020</v>
      </c>
      <c r="Y735" t="s">
        <v>5858</v>
      </c>
      <c r="Z735" t="s">
        <v>6037</v>
      </c>
      <c r="AA735" s="2">
        <v>8000</v>
      </c>
      <c r="AB735" t="s">
        <v>5863</v>
      </c>
      <c r="AC735" t="s">
        <v>9974</v>
      </c>
      <c r="AD735" s="32"/>
      <c r="AJ735" t="s">
        <v>9958</v>
      </c>
      <c r="AL735" t="s">
        <v>10967</v>
      </c>
    </row>
    <row r="736" spans="1:38">
      <c r="A736" t="s">
        <v>8204</v>
      </c>
      <c r="B736" t="s">
        <v>12100</v>
      </c>
      <c r="C736" t="s">
        <v>6770</v>
      </c>
      <c r="D736" t="s">
        <v>6771</v>
      </c>
      <c r="E736" s="2">
        <v>20000</v>
      </c>
      <c r="F736" s="2">
        <v>20000</v>
      </c>
      <c r="G736" s="3">
        <v>43345</v>
      </c>
      <c r="H736" s="4">
        <v>0.30554398148147999</v>
      </c>
      <c r="I736" s="3">
        <v>43346</v>
      </c>
      <c r="J736" s="4">
        <v>0.12253472222222</v>
      </c>
      <c r="K736" s="2">
        <v>0</v>
      </c>
      <c r="L736" t="s">
        <v>5856</v>
      </c>
      <c r="M736" t="s">
        <v>8072</v>
      </c>
      <c r="N736" s="3"/>
      <c r="O736" s="3">
        <v>43348</v>
      </c>
      <c r="P736" t="s">
        <v>6018</v>
      </c>
      <c r="Q736" t="s">
        <v>13231</v>
      </c>
      <c r="R736" t="s">
        <v>6036</v>
      </c>
      <c r="S736" s="3">
        <v>43354</v>
      </c>
      <c r="T736" t="s">
        <v>9938</v>
      </c>
      <c r="U736" t="s">
        <v>6675</v>
      </c>
      <c r="V736" t="s">
        <v>6760</v>
      </c>
      <c r="W736" t="s">
        <v>5857</v>
      </c>
      <c r="X736" s="2">
        <v>0</v>
      </c>
      <c r="Y736" t="s">
        <v>5858</v>
      </c>
      <c r="Z736" t="s">
        <v>6037</v>
      </c>
      <c r="AA736" s="2">
        <v>20000</v>
      </c>
      <c r="AB736" t="s">
        <v>5861</v>
      </c>
      <c r="AC736" t="s">
        <v>9979</v>
      </c>
      <c r="AD736" s="32"/>
      <c r="AJ736" t="s">
        <v>9958</v>
      </c>
      <c r="AL736" t="s">
        <v>10968</v>
      </c>
    </row>
    <row r="737" spans="1:38">
      <c r="A737" t="s">
        <v>8258</v>
      </c>
      <c r="B737" t="s">
        <v>12101</v>
      </c>
      <c r="C737" t="s">
        <v>7673</v>
      </c>
      <c r="D737" t="s">
        <v>7674</v>
      </c>
      <c r="E737" s="5">
        <v>721.25</v>
      </c>
      <c r="F737" s="5">
        <v>20471.25</v>
      </c>
      <c r="G737" s="3">
        <v>43283</v>
      </c>
      <c r="H737" s="4">
        <v>0.18604166666666999</v>
      </c>
      <c r="I737" s="3">
        <v>43284</v>
      </c>
      <c r="J737" s="4">
        <v>2.2280092592589999E-2</v>
      </c>
      <c r="K737" s="2">
        <v>0</v>
      </c>
      <c r="L737" t="s">
        <v>5856</v>
      </c>
      <c r="M737" t="s">
        <v>8264</v>
      </c>
      <c r="N737" s="3">
        <v>43285</v>
      </c>
      <c r="O737" s="3">
        <v>43286</v>
      </c>
      <c r="P737" t="s">
        <v>5862</v>
      </c>
      <c r="Q737" t="s">
        <v>8265</v>
      </c>
      <c r="R737" t="s">
        <v>6036</v>
      </c>
      <c r="S737" s="3">
        <v>43285</v>
      </c>
      <c r="T737" t="s">
        <v>9938</v>
      </c>
      <c r="U737" t="s">
        <v>6052</v>
      </c>
      <c r="V737" t="s">
        <v>5965</v>
      </c>
      <c r="W737" t="s">
        <v>5857</v>
      </c>
      <c r="X737" s="2">
        <v>1020</v>
      </c>
      <c r="Y737" t="s">
        <v>5858</v>
      </c>
      <c r="Z737" t="s">
        <v>6037</v>
      </c>
      <c r="AA737" s="2">
        <v>125</v>
      </c>
      <c r="AB737" t="s">
        <v>5859</v>
      </c>
      <c r="AC737" t="s">
        <v>9974</v>
      </c>
      <c r="AD737" s="32">
        <v>43245</v>
      </c>
      <c r="AJ737" t="s">
        <v>9958</v>
      </c>
      <c r="AL737" t="s">
        <v>10969</v>
      </c>
    </row>
    <row r="738" spans="1:38">
      <c r="A738" t="s">
        <v>8258</v>
      </c>
      <c r="B738" t="s">
        <v>12102</v>
      </c>
      <c r="C738" t="s">
        <v>8266</v>
      </c>
      <c r="D738" t="s">
        <v>8267</v>
      </c>
      <c r="E738" s="2">
        <v>20600</v>
      </c>
      <c r="F738" s="2">
        <v>20600</v>
      </c>
      <c r="G738" s="3">
        <v>43284</v>
      </c>
      <c r="H738" s="4">
        <v>4.3113425925930003E-2</v>
      </c>
      <c r="I738" s="3">
        <v>43284</v>
      </c>
      <c r="J738" s="4">
        <v>0.88461805555555995</v>
      </c>
      <c r="K738" s="2">
        <v>0</v>
      </c>
      <c r="L738" t="s">
        <v>5856</v>
      </c>
      <c r="M738" t="s">
        <v>8151</v>
      </c>
      <c r="N738" s="3">
        <v>43287</v>
      </c>
      <c r="O738" s="3">
        <v>43286</v>
      </c>
      <c r="P738" t="s">
        <v>6591</v>
      </c>
      <c r="Q738" t="s">
        <v>8268</v>
      </c>
      <c r="R738" t="s">
        <v>6036</v>
      </c>
      <c r="S738" s="3">
        <v>43287</v>
      </c>
      <c r="T738" t="s">
        <v>9938</v>
      </c>
      <c r="U738" t="s">
        <v>6052</v>
      </c>
      <c r="V738" t="s">
        <v>8269</v>
      </c>
      <c r="W738" t="s">
        <v>5857</v>
      </c>
      <c r="X738" s="2">
        <v>1020</v>
      </c>
      <c r="Y738" t="s">
        <v>5858</v>
      </c>
      <c r="Z738" t="s">
        <v>6037</v>
      </c>
      <c r="AA738" s="2">
        <v>20000</v>
      </c>
      <c r="AB738" t="s">
        <v>5859</v>
      </c>
      <c r="AC738" t="s">
        <v>9974</v>
      </c>
      <c r="AD738" s="32">
        <v>43259</v>
      </c>
      <c r="AJ738" t="s">
        <v>9958</v>
      </c>
      <c r="AL738" t="s">
        <v>14021</v>
      </c>
    </row>
    <row r="739" spans="1:38">
      <c r="A739" t="s">
        <v>8258</v>
      </c>
      <c r="B739" t="s">
        <v>12103</v>
      </c>
      <c r="C739" t="s">
        <v>8266</v>
      </c>
      <c r="D739" t="s">
        <v>8267</v>
      </c>
      <c r="E739" s="2">
        <v>6550</v>
      </c>
      <c r="F739" s="2">
        <v>20600</v>
      </c>
      <c r="G739" s="3">
        <v>43285</v>
      </c>
      <c r="H739" s="4">
        <v>4.1666666666670002E-2</v>
      </c>
      <c r="I739" s="3">
        <v>43285</v>
      </c>
      <c r="J739" s="4">
        <v>0.88317129629629998</v>
      </c>
      <c r="K739" s="2">
        <v>0</v>
      </c>
      <c r="L739" t="s">
        <v>5856</v>
      </c>
      <c r="M739" t="s">
        <v>8151</v>
      </c>
      <c r="N739" s="3">
        <v>43287</v>
      </c>
      <c r="O739" s="3">
        <v>43287</v>
      </c>
      <c r="P739" t="s">
        <v>6591</v>
      </c>
      <c r="Q739" t="s">
        <v>8268</v>
      </c>
      <c r="R739" t="s">
        <v>6044</v>
      </c>
      <c r="S739" s="3">
        <v>43287</v>
      </c>
      <c r="T739" t="s">
        <v>9938</v>
      </c>
      <c r="U739" t="s">
        <v>6052</v>
      </c>
      <c r="V739" t="s">
        <v>8269</v>
      </c>
      <c r="W739" t="s">
        <v>5857</v>
      </c>
      <c r="X739" s="2">
        <v>1020</v>
      </c>
      <c r="Y739" t="s">
        <v>5858</v>
      </c>
      <c r="Z739" t="s">
        <v>6037</v>
      </c>
      <c r="AA739" s="2">
        <v>5950</v>
      </c>
      <c r="AB739" t="s">
        <v>5859</v>
      </c>
      <c r="AC739" t="s">
        <v>9974</v>
      </c>
      <c r="AD739" s="32">
        <v>43259</v>
      </c>
      <c r="AJ739" t="s">
        <v>9958</v>
      </c>
      <c r="AL739" t="s">
        <v>10970</v>
      </c>
    </row>
    <row r="740" spans="1:38">
      <c r="A740" t="s">
        <v>8258</v>
      </c>
      <c r="B740" t="s">
        <v>12104</v>
      </c>
      <c r="C740" t="s">
        <v>8266</v>
      </c>
      <c r="D740" t="s">
        <v>8267</v>
      </c>
      <c r="E740" s="2">
        <v>600</v>
      </c>
      <c r="F740" s="2">
        <v>20600</v>
      </c>
      <c r="G740" s="3">
        <v>43286</v>
      </c>
      <c r="H740" s="4">
        <v>4.1666666666670002E-2</v>
      </c>
      <c r="I740" s="3">
        <v>43286</v>
      </c>
      <c r="J740" s="4">
        <v>0.88317129629629998</v>
      </c>
      <c r="K740" s="2">
        <v>0</v>
      </c>
      <c r="L740" t="s">
        <v>5856</v>
      </c>
      <c r="M740" t="s">
        <v>8151</v>
      </c>
      <c r="N740" s="3">
        <v>43287</v>
      </c>
      <c r="O740" s="3">
        <v>43288</v>
      </c>
      <c r="P740" t="s">
        <v>6591</v>
      </c>
      <c r="Q740" t="s">
        <v>6038</v>
      </c>
      <c r="R740" t="s">
        <v>6039</v>
      </c>
      <c r="S740" s="3"/>
      <c r="T740" t="s">
        <v>9938</v>
      </c>
      <c r="U740" t="s">
        <v>6052</v>
      </c>
      <c r="V740" t="s">
        <v>8269</v>
      </c>
      <c r="W740" t="s">
        <v>5857</v>
      </c>
      <c r="X740" s="2">
        <v>1020</v>
      </c>
      <c r="Y740" t="s">
        <v>5858</v>
      </c>
      <c r="Z740" t="s">
        <v>6037</v>
      </c>
      <c r="AA740" s="2">
        <v>0</v>
      </c>
      <c r="AB740" t="s">
        <v>5859</v>
      </c>
      <c r="AC740" t="s">
        <v>9974</v>
      </c>
      <c r="AD740" s="32">
        <v>43259</v>
      </c>
      <c r="AJ740" t="s">
        <v>9958</v>
      </c>
      <c r="AL740" t="s">
        <v>10971</v>
      </c>
    </row>
    <row r="741" spans="1:38">
      <c r="A741" t="s">
        <v>8258</v>
      </c>
      <c r="B741" t="s">
        <v>13232</v>
      </c>
      <c r="C741" t="s">
        <v>8270</v>
      </c>
      <c r="D741" t="s">
        <v>8271</v>
      </c>
      <c r="E741" s="2">
        <v>20000</v>
      </c>
      <c r="F741" s="2">
        <v>20000</v>
      </c>
      <c r="G741" s="3">
        <v>43286</v>
      </c>
      <c r="H741" s="4">
        <v>0.90400462962963002</v>
      </c>
      <c r="I741" s="3">
        <v>43287</v>
      </c>
      <c r="J741" s="4">
        <v>0.59844907407407</v>
      </c>
      <c r="K741" s="2">
        <v>0</v>
      </c>
      <c r="L741" t="s">
        <v>5856</v>
      </c>
      <c r="M741" t="s">
        <v>8171</v>
      </c>
      <c r="N741" s="3">
        <v>43290</v>
      </c>
      <c r="O741" s="3">
        <v>43289</v>
      </c>
      <c r="P741" t="s">
        <v>5862</v>
      </c>
      <c r="Q741" t="s">
        <v>13233</v>
      </c>
      <c r="R741" t="s">
        <v>8292</v>
      </c>
      <c r="S741" s="3">
        <v>43306</v>
      </c>
      <c r="T741" t="s">
        <v>9938</v>
      </c>
      <c r="U741" t="s">
        <v>8272</v>
      </c>
      <c r="V741" t="s">
        <v>6073</v>
      </c>
      <c r="W741" t="s">
        <v>5868</v>
      </c>
      <c r="X741" s="2">
        <v>1020</v>
      </c>
      <c r="Y741" t="s">
        <v>5858</v>
      </c>
      <c r="Z741" t="s">
        <v>6037</v>
      </c>
      <c r="AA741" s="2">
        <v>20000</v>
      </c>
      <c r="AB741" t="s">
        <v>5863</v>
      </c>
      <c r="AC741" t="s">
        <v>9985</v>
      </c>
      <c r="AD741" s="32">
        <v>43280</v>
      </c>
      <c r="AI741" t="s">
        <v>9939</v>
      </c>
      <c r="AJ741" t="s">
        <v>9957</v>
      </c>
      <c r="AL741" t="s">
        <v>14022</v>
      </c>
    </row>
    <row r="742" spans="1:38">
      <c r="A742" t="s">
        <v>8258</v>
      </c>
      <c r="B742" t="s">
        <v>12114</v>
      </c>
      <c r="C742" t="s">
        <v>6560</v>
      </c>
      <c r="D742" t="s">
        <v>6561</v>
      </c>
      <c r="E742" s="2">
        <v>20000</v>
      </c>
      <c r="F742" s="2">
        <v>20000</v>
      </c>
      <c r="G742" s="3">
        <v>43289</v>
      </c>
      <c r="H742" s="4">
        <v>0.18300925925926001</v>
      </c>
      <c r="I742" s="3">
        <v>43290</v>
      </c>
      <c r="J742" s="4">
        <v>0</v>
      </c>
      <c r="K742" s="2">
        <v>0</v>
      </c>
      <c r="L742" t="s">
        <v>5856</v>
      </c>
      <c r="M742" t="s">
        <v>8072</v>
      </c>
      <c r="N742" s="3">
        <v>43300</v>
      </c>
      <c r="O742" s="3">
        <v>43299</v>
      </c>
      <c r="P742" t="s">
        <v>5911</v>
      </c>
      <c r="Q742" t="s">
        <v>13234</v>
      </c>
      <c r="R742" t="s">
        <v>6036</v>
      </c>
      <c r="S742" s="3">
        <v>43301</v>
      </c>
      <c r="T742" t="s">
        <v>9938</v>
      </c>
      <c r="U742" t="s">
        <v>6052</v>
      </c>
      <c r="V742" t="s">
        <v>6562</v>
      </c>
      <c r="W742" t="s">
        <v>5857</v>
      </c>
      <c r="X742" s="2">
        <v>0</v>
      </c>
      <c r="Y742" t="s">
        <v>5858</v>
      </c>
      <c r="Z742" t="s">
        <v>6037</v>
      </c>
      <c r="AA742" s="2">
        <v>20000</v>
      </c>
      <c r="AB742" t="s">
        <v>5861</v>
      </c>
      <c r="AC742" t="s">
        <v>9975</v>
      </c>
      <c r="AD742" s="32"/>
      <c r="AJ742" t="s">
        <v>9958</v>
      </c>
      <c r="AL742" t="s">
        <v>10979</v>
      </c>
    </row>
    <row r="743" spans="1:38">
      <c r="A743" t="s">
        <v>8258</v>
      </c>
      <c r="B743" t="s">
        <v>12107</v>
      </c>
      <c r="C743" t="s">
        <v>8266</v>
      </c>
      <c r="D743" t="s">
        <v>8267</v>
      </c>
      <c r="E743" s="2">
        <v>20600</v>
      </c>
      <c r="F743" s="2">
        <v>20600</v>
      </c>
      <c r="G743" s="3">
        <v>43290</v>
      </c>
      <c r="H743" s="4">
        <v>2.0833333333330002E-2</v>
      </c>
      <c r="I743" s="3">
        <v>43290</v>
      </c>
      <c r="J743" s="4">
        <v>0.86233796296295995</v>
      </c>
      <c r="K743" s="2">
        <v>0</v>
      </c>
      <c r="L743" t="s">
        <v>5856</v>
      </c>
      <c r="M743" t="s">
        <v>8151</v>
      </c>
      <c r="N743" s="3">
        <v>43287</v>
      </c>
      <c r="O743" s="3">
        <v>43292</v>
      </c>
      <c r="P743" t="s">
        <v>6591</v>
      </c>
      <c r="Q743" t="s">
        <v>8273</v>
      </c>
      <c r="R743" t="s">
        <v>6036</v>
      </c>
      <c r="S743" s="3">
        <v>43287</v>
      </c>
      <c r="T743" t="s">
        <v>9938</v>
      </c>
      <c r="U743" t="s">
        <v>6052</v>
      </c>
      <c r="V743" t="s">
        <v>8269</v>
      </c>
      <c r="W743" t="s">
        <v>5857</v>
      </c>
      <c r="X743" s="2">
        <v>1020</v>
      </c>
      <c r="Y743" t="s">
        <v>5858</v>
      </c>
      <c r="Z743" t="s">
        <v>6037</v>
      </c>
      <c r="AA743" s="2">
        <v>20000</v>
      </c>
      <c r="AB743" t="s">
        <v>5859</v>
      </c>
      <c r="AC743" t="s">
        <v>9974</v>
      </c>
      <c r="AD743" s="32">
        <v>43259</v>
      </c>
      <c r="AJ743" t="s">
        <v>9958</v>
      </c>
      <c r="AL743" t="s">
        <v>10974</v>
      </c>
    </row>
    <row r="744" spans="1:38">
      <c r="A744" t="s">
        <v>8258</v>
      </c>
      <c r="B744" t="s">
        <v>12215</v>
      </c>
      <c r="C744" t="s">
        <v>8509</v>
      </c>
      <c r="D744" t="s">
        <v>8510</v>
      </c>
      <c r="E744" s="5">
        <v>4197.25</v>
      </c>
      <c r="F744" s="5">
        <v>4197.25</v>
      </c>
      <c r="G744" s="3">
        <v>43295</v>
      </c>
      <c r="H744" s="4">
        <v>2.0821759259260001E-2</v>
      </c>
      <c r="I744" s="3">
        <v>43295</v>
      </c>
      <c r="J744" s="4">
        <v>0.19228009259258999</v>
      </c>
      <c r="K744" s="2">
        <v>0</v>
      </c>
      <c r="L744" t="s">
        <v>5856</v>
      </c>
      <c r="M744" t="s">
        <v>13235</v>
      </c>
      <c r="N744" s="3">
        <v>43285</v>
      </c>
      <c r="O744" s="3">
        <v>43297</v>
      </c>
      <c r="P744" t="s">
        <v>5964</v>
      </c>
      <c r="Q744" t="s">
        <v>8511</v>
      </c>
      <c r="R744" t="s">
        <v>6036</v>
      </c>
      <c r="S744" s="3">
        <v>43294</v>
      </c>
      <c r="T744" t="s">
        <v>9938</v>
      </c>
      <c r="U744" t="s">
        <v>8512</v>
      </c>
      <c r="V744" t="s">
        <v>8513</v>
      </c>
      <c r="W744" t="s">
        <v>5857</v>
      </c>
      <c r="X744" s="2">
        <v>1020</v>
      </c>
      <c r="Y744" t="s">
        <v>5858</v>
      </c>
      <c r="Z744" t="s">
        <v>6037</v>
      </c>
      <c r="AA744" s="2">
        <v>4075</v>
      </c>
      <c r="AB744" t="s">
        <v>5863</v>
      </c>
      <c r="AC744" t="s">
        <v>9978</v>
      </c>
      <c r="AD744" s="32">
        <v>43272</v>
      </c>
      <c r="AJ744" t="s">
        <v>9958</v>
      </c>
      <c r="AL744" t="s">
        <v>14023</v>
      </c>
    </row>
    <row r="745" spans="1:38">
      <c r="A745" t="s">
        <v>8258</v>
      </c>
      <c r="B745" t="s">
        <v>12105</v>
      </c>
      <c r="C745" t="s">
        <v>8266</v>
      </c>
      <c r="D745" t="s">
        <v>8267</v>
      </c>
      <c r="E745" s="2">
        <v>20600</v>
      </c>
      <c r="F745" s="2">
        <v>20600</v>
      </c>
      <c r="G745" s="3">
        <v>43295</v>
      </c>
      <c r="H745" s="4">
        <v>0.21311342592592999</v>
      </c>
      <c r="I745" s="3">
        <v>43296</v>
      </c>
      <c r="J745" s="4">
        <v>5.4618055555559999E-2</v>
      </c>
      <c r="K745" s="2">
        <v>0</v>
      </c>
      <c r="L745" t="s">
        <v>5856</v>
      </c>
      <c r="M745" t="s">
        <v>8151</v>
      </c>
      <c r="N745" s="3">
        <v>43287</v>
      </c>
      <c r="O745" s="3">
        <v>43298</v>
      </c>
      <c r="P745" t="s">
        <v>6591</v>
      </c>
      <c r="Q745" t="s">
        <v>8273</v>
      </c>
      <c r="R745" t="s">
        <v>6042</v>
      </c>
      <c r="S745" s="3">
        <v>43287</v>
      </c>
      <c r="T745" t="s">
        <v>9938</v>
      </c>
      <c r="U745" t="s">
        <v>6052</v>
      </c>
      <c r="V745" t="s">
        <v>8269</v>
      </c>
      <c r="W745" t="s">
        <v>5857</v>
      </c>
      <c r="X745" s="2">
        <v>1020</v>
      </c>
      <c r="Y745" t="s">
        <v>5858</v>
      </c>
      <c r="Z745" t="s">
        <v>6037</v>
      </c>
      <c r="AA745" s="2">
        <v>20000</v>
      </c>
      <c r="AB745" t="s">
        <v>5859</v>
      </c>
      <c r="AC745" t="s">
        <v>9974</v>
      </c>
      <c r="AD745" s="32">
        <v>43259</v>
      </c>
      <c r="AJ745" t="s">
        <v>9958</v>
      </c>
      <c r="AL745" t="s">
        <v>10972</v>
      </c>
    </row>
    <row r="746" spans="1:38">
      <c r="A746" t="s">
        <v>8258</v>
      </c>
      <c r="B746" t="s">
        <v>12106</v>
      </c>
      <c r="C746" t="s">
        <v>8274</v>
      </c>
      <c r="D746" t="s">
        <v>8275</v>
      </c>
      <c r="E746" s="2">
        <v>5150</v>
      </c>
      <c r="F746" s="2">
        <v>5150</v>
      </c>
      <c r="G746" s="3">
        <v>43296</v>
      </c>
      <c r="H746" s="4">
        <v>7.5451388888889998E-2</v>
      </c>
      <c r="I746" s="3">
        <v>43296</v>
      </c>
      <c r="J746" s="4">
        <v>0.28582175925926001</v>
      </c>
      <c r="K746" s="2">
        <v>0</v>
      </c>
      <c r="L746" t="s">
        <v>5856</v>
      </c>
      <c r="M746" t="s">
        <v>8159</v>
      </c>
      <c r="N746" s="3">
        <v>43293</v>
      </c>
      <c r="O746" s="3">
        <v>43298</v>
      </c>
      <c r="P746" t="s">
        <v>5862</v>
      </c>
      <c r="Q746" t="s">
        <v>8276</v>
      </c>
      <c r="R746" t="s">
        <v>6036</v>
      </c>
      <c r="S746" s="3">
        <v>43293</v>
      </c>
      <c r="T746" t="s">
        <v>9938</v>
      </c>
      <c r="U746" t="s">
        <v>8277</v>
      </c>
      <c r="V746" t="s">
        <v>8278</v>
      </c>
      <c r="W746" t="s">
        <v>5857</v>
      </c>
      <c r="X746" s="2">
        <v>1020</v>
      </c>
      <c r="Y746" t="s">
        <v>5858</v>
      </c>
      <c r="Z746" t="s">
        <v>6037</v>
      </c>
      <c r="AA746" s="2">
        <v>5000</v>
      </c>
      <c r="AB746" t="s">
        <v>5863</v>
      </c>
      <c r="AC746" t="s">
        <v>9976</v>
      </c>
      <c r="AD746" s="32">
        <v>43272</v>
      </c>
      <c r="AJ746" t="s">
        <v>9958</v>
      </c>
      <c r="AL746" t="s">
        <v>10973</v>
      </c>
    </row>
    <row r="747" spans="1:38">
      <c r="A747" t="s">
        <v>8258</v>
      </c>
      <c r="B747" t="s">
        <v>13236</v>
      </c>
      <c r="C747" t="s">
        <v>8826</v>
      </c>
      <c r="D747" t="s">
        <v>8827</v>
      </c>
      <c r="E747" s="2">
        <v>2060</v>
      </c>
      <c r="F747" s="2">
        <v>2060</v>
      </c>
      <c r="G747" s="3">
        <v>43296</v>
      </c>
      <c r="H747" s="4">
        <v>0.73353009259259006</v>
      </c>
      <c r="I747" s="3">
        <v>43296</v>
      </c>
      <c r="J747" s="4">
        <v>0.81768518518518996</v>
      </c>
      <c r="K747" s="2">
        <v>20</v>
      </c>
      <c r="L747" t="s">
        <v>5856</v>
      </c>
      <c r="M747" t="s">
        <v>8234</v>
      </c>
      <c r="N747" s="3">
        <v>43301</v>
      </c>
      <c r="O747" s="3">
        <v>43298</v>
      </c>
      <c r="P747" t="s">
        <v>6580</v>
      </c>
      <c r="Q747" t="s">
        <v>13237</v>
      </c>
      <c r="R747" t="s">
        <v>6036</v>
      </c>
      <c r="S747" s="3">
        <v>43301</v>
      </c>
      <c r="T747" t="s">
        <v>9938</v>
      </c>
      <c r="U747" t="s">
        <v>6582</v>
      </c>
      <c r="V747" t="s">
        <v>8829</v>
      </c>
      <c r="W747" t="s">
        <v>6038</v>
      </c>
      <c r="X747" s="2">
        <v>1020</v>
      </c>
      <c r="Y747" t="s">
        <v>5858</v>
      </c>
      <c r="Z747" t="s">
        <v>6037</v>
      </c>
      <c r="AA747" s="2">
        <v>2000</v>
      </c>
      <c r="AB747" t="s">
        <v>5863</v>
      </c>
      <c r="AC747" t="s">
        <v>9976</v>
      </c>
      <c r="AD747" s="32">
        <v>43280</v>
      </c>
      <c r="AJ747" t="s">
        <v>9958</v>
      </c>
      <c r="AL747" t="s">
        <v>14024</v>
      </c>
    </row>
    <row r="748" spans="1:38">
      <c r="A748" t="s">
        <v>8258</v>
      </c>
      <c r="B748" t="s">
        <v>12110</v>
      </c>
      <c r="C748" t="s">
        <v>8270</v>
      </c>
      <c r="D748" t="s">
        <v>8271</v>
      </c>
      <c r="E748" s="2">
        <v>20000</v>
      </c>
      <c r="F748" s="2">
        <v>20000</v>
      </c>
      <c r="G748" s="3">
        <v>43296</v>
      </c>
      <c r="H748" s="4">
        <v>0.83851851851852</v>
      </c>
      <c r="I748" s="3">
        <v>43297</v>
      </c>
      <c r="J748" s="4">
        <v>0.53296296296295997</v>
      </c>
      <c r="K748" s="2">
        <v>0</v>
      </c>
      <c r="L748" t="s">
        <v>5856</v>
      </c>
      <c r="M748" t="s">
        <v>8171</v>
      </c>
      <c r="N748" s="3">
        <v>43297</v>
      </c>
      <c r="O748" s="3">
        <v>43299</v>
      </c>
      <c r="P748" t="s">
        <v>5862</v>
      </c>
      <c r="Q748" t="s">
        <v>13238</v>
      </c>
      <c r="R748" t="s">
        <v>6476</v>
      </c>
      <c r="S748" s="3">
        <v>43323</v>
      </c>
      <c r="T748" t="s">
        <v>9938</v>
      </c>
      <c r="U748" t="s">
        <v>8272</v>
      </c>
      <c r="V748" t="s">
        <v>6073</v>
      </c>
      <c r="W748" t="s">
        <v>5868</v>
      </c>
      <c r="X748" s="2">
        <v>0</v>
      </c>
      <c r="Y748" t="s">
        <v>5858</v>
      </c>
      <c r="Z748" t="s">
        <v>6037</v>
      </c>
      <c r="AA748" s="2">
        <v>20000</v>
      </c>
      <c r="AB748" t="s">
        <v>5861</v>
      </c>
      <c r="AC748" t="s">
        <v>9985</v>
      </c>
      <c r="AD748" s="32"/>
      <c r="AI748" t="s">
        <v>9939</v>
      </c>
      <c r="AJ748" t="s">
        <v>9957</v>
      </c>
      <c r="AL748" t="s">
        <v>10975</v>
      </c>
    </row>
    <row r="749" spans="1:38">
      <c r="A749" t="s">
        <v>8258</v>
      </c>
      <c r="B749" t="s">
        <v>12111</v>
      </c>
      <c r="C749" t="s">
        <v>8287</v>
      </c>
      <c r="D749" t="s">
        <v>8288</v>
      </c>
      <c r="E749" s="2">
        <v>2060</v>
      </c>
      <c r="F749" s="2">
        <v>2060</v>
      </c>
      <c r="G749" s="3">
        <v>43297</v>
      </c>
      <c r="H749" s="4">
        <v>0.55379629629630001</v>
      </c>
      <c r="I749" s="3">
        <v>43297</v>
      </c>
      <c r="J749" s="4">
        <v>0.63795138888889003</v>
      </c>
      <c r="K749" s="2">
        <v>20</v>
      </c>
      <c r="L749" t="s">
        <v>5856</v>
      </c>
      <c r="M749" t="s">
        <v>8234</v>
      </c>
      <c r="N749" s="3">
        <v>43299</v>
      </c>
      <c r="O749" s="3">
        <v>43299</v>
      </c>
      <c r="P749" t="s">
        <v>5862</v>
      </c>
      <c r="Q749" t="s">
        <v>8289</v>
      </c>
      <c r="R749" t="s">
        <v>6042</v>
      </c>
      <c r="S749" s="3">
        <v>43299</v>
      </c>
      <c r="T749" t="s">
        <v>9938</v>
      </c>
      <c r="U749" t="s">
        <v>8236</v>
      </c>
      <c r="V749" t="s">
        <v>8290</v>
      </c>
      <c r="W749" t="s">
        <v>5857</v>
      </c>
      <c r="X749" s="2">
        <v>1020</v>
      </c>
      <c r="Y749" t="s">
        <v>5858</v>
      </c>
      <c r="Z749" t="s">
        <v>6037</v>
      </c>
      <c r="AA749" s="2">
        <v>2000</v>
      </c>
      <c r="AB749" t="s">
        <v>5863</v>
      </c>
      <c r="AC749" t="s">
        <v>9976</v>
      </c>
      <c r="AD749" s="32">
        <v>43276</v>
      </c>
      <c r="AI749" t="s">
        <v>9939</v>
      </c>
      <c r="AJ749" t="s">
        <v>9958</v>
      </c>
      <c r="AL749" t="s">
        <v>10976</v>
      </c>
    </row>
    <row r="750" spans="1:38">
      <c r="A750" t="s">
        <v>8258</v>
      </c>
      <c r="B750" t="s">
        <v>12112</v>
      </c>
      <c r="C750" t="s">
        <v>8270</v>
      </c>
      <c r="D750" t="s">
        <v>8271</v>
      </c>
      <c r="E750" s="2">
        <v>20000</v>
      </c>
      <c r="F750" s="2">
        <v>20000</v>
      </c>
      <c r="G750" s="3">
        <v>43297</v>
      </c>
      <c r="H750" s="4">
        <v>0.65878472222221995</v>
      </c>
      <c r="I750" s="3">
        <v>43298</v>
      </c>
      <c r="J750" s="4">
        <v>0.35322916666666998</v>
      </c>
      <c r="K750" s="2">
        <v>0</v>
      </c>
      <c r="L750" t="s">
        <v>5856</v>
      </c>
      <c r="M750" t="s">
        <v>8171</v>
      </c>
      <c r="N750" s="3"/>
      <c r="O750" s="3">
        <v>43300</v>
      </c>
      <c r="P750" t="s">
        <v>5862</v>
      </c>
      <c r="Q750" t="s">
        <v>13239</v>
      </c>
      <c r="R750" t="s">
        <v>6476</v>
      </c>
      <c r="S750" s="3">
        <v>43330</v>
      </c>
      <c r="T750" t="s">
        <v>9938</v>
      </c>
      <c r="U750" t="s">
        <v>8272</v>
      </c>
      <c r="V750" t="s">
        <v>6073</v>
      </c>
      <c r="W750" t="s">
        <v>5868</v>
      </c>
      <c r="X750" s="2">
        <v>0</v>
      </c>
      <c r="Y750" t="s">
        <v>5858</v>
      </c>
      <c r="Z750" t="s">
        <v>6037</v>
      </c>
      <c r="AA750" s="2">
        <v>20000</v>
      </c>
      <c r="AB750" t="s">
        <v>5861</v>
      </c>
      <c r="AC750" t="s">
        <v>9985</v>
      </c>
      <c r="AD750" s="32"/>
      <c r="AI750" t="s">
        <v>9939</v>
      </c>
      <c r="AJ750" t="s">
        <v>9957</v>
      </c>
      <c r="AL750" t="s">
        <v>10977</v>
      </c>
    </row>
    <row r="751" spans="1:38">
      <c r="A751" t="s">
        <v>8258</v>
      </c>
      <c r="B751" t="s">
        <v>12113</v>
      </c>
      <c r="C751" t="s">
        <v>7673</v>
      </c>
      <c r="D751" t="s">
        <v>7674</v>
      </c>
      <c r="E751" s="2">
        <v>20000</v>
      </c>
      <c r="F751" s="2">
        <v>20000</v>
      </c>
      <c r="G751" s="3">
        <v>43298</v>
      </c>
      <c r="H751" s="4">
        <v>0.37406250000000002</v>
      </c>
      <c r="I751" s="3">
        <v>43299</v>
      </c>
      <c r="J751" s="4">
        <v>0.19105324074074001</v>
      </c>
      <c r="K751" s="2">
        <v>0</v>
      </c>
      <c r="L751" t="s">
        <v>5856</v>
      </c>
      <c r="M751" t="s">
        <v>8072</v>
      </c>
      <c r="N751" s="3">
        <v>43318</v>
      </c>
      <c r="O751" s="3">
        <v>43301</v>
      </c>
      <c r="P751" t="s">
        <v>5862</v>
      </c>
      <c r="Q751" t="s">
        <v>8291</v>
      </c>
      <c r="R751" t="s">
        <v>6036</v>
      </c>
      <c r="S751" s="3">
        <v>43318</v>
      </c>
      <c r="T751" t="s">
        <v>9938</v>
      </c>
      <c r="U751" t="s">
        <v>6052</v>
      </c>
      <c r="V751" t="s">
        <v>5965</v>
      </c>
      <c r="W751" t="s">
        <v>5857</v>
      </c>
      <c r="X751" s="2">
        <v>1020</v>
      </c>
      <c r="Y751" t="s">
        <v>5858</v>
      </c>
      <c r="Z751" t="s">
        <v>6037</v>
      </c>
      <c r="AA751" s="2">
        <v>20000</v>
      </c>
      <c r="AB751" t="s">
        <v>5863</v>
      </c>
      <c r="AC751" t="s">
        <v>9974</v>
      </c>
      <c r="AD751" s="32">
        <v>43259</v>
      </c>
      <c r="AJ751" t="s">
        <v>9958</v>
      </c>
      <c r="AL751" t="s">
        <v>10978</v>
      </c>
    </row>
    <row r="752" spans="1:38">
      <c r="A752" t="s">
        <v>8258</v>
      </c>
      <c r="B752" t="s">
        <v>12115</v>
      </c>
      <c r="C752" t="s">
        <v>8270</v>
      </c>
      <c r="D752" t="s">
        <v>8271</v>
      </c>
      <c r="E752" s="2">
        <v>20000</v>
      </c>
      <c r="F752" s="2">
        <v>20000</v>
      </c>
      <c r="G752" s="3">
        <v>43300</v>
      </c>
      <c r="H752" s="4">
        <v>0.87622685185185001</v>
      </c>
      <c r="I752" s="3">
        <v>43301</v>
      </c>
      <c r="J752" s="4">
        <v>0.57067129629629998</v>
      </c>
      <c r="K752" s="2">
        <v>0</v>
      </c>
      <c r="L752" t="s">
        <v>5856</v>
      </c>
      <c r="M752" t="s">
        <v>8171</v>
      </c>
      <c r="N752" s="3">
        <v>43303</v>
      </c>
      <c r="O752" s="3">
        <v>43304</v>
      </c>
      <c r="P752" t="s">
        <v>5862</v>
      </c>
      <c r="Q752" t="s">
        <v>13240</v>
      </c>
      <c r="R752" t="s">
        <v>6476</v>
      </c>
      <c r="S752" s="3">
        <v>43337</v>
      </c>
      <c r="T752" t="s">
        <v>9938</v>
      </c>
      <c r="U752" t="s">
        <v>8272</v>
      </c>
      <c r="V752" t="s">
        <v>6073</v>
      </c>
      <c r="W752" t="s">
        <v>5868</v>
      </c>
      <c r="X752" s="2">
        <v>0</v>
      </c>
      <c r="Y752" t="s">
        <v>5858</v>
      </c>
      <c r="Z752" t="s">
        <v>6037</v>
      </c>
      <c r="AA752" s="2">
        <v>20000</v>
      </c>
      <c r="AB752" t="s">
        <v>5861</v>
      </c>
      <c r="AC752" t="s">
        <v>9985</v>
      </c>
      <c r="AD752" s="32"/>
      <c r="AI752" t="s">
        <v>9939</v>
      </c>
      <c r="AJ752" t="s">
        <v>9957</v>
      </c>
      <c r="AL752" t="s">
        <v>10980</v>
      </c>
    </row>
    <row r="753" spans="1:38">
      <c r="A753" t="s">
        <v>8258</v>
      </c>
      <c r="B753" t="s">
        <v>12116</v>
      </c>
      <c r="C753" t="s">
        <v>7631</v>
      </c>
      <c r="D753" t="s">
        <v>7632</v>
      </c>
      <c r="E753" s="2">
        <v>10000</v>
      </c>
      <c r="F753" s="2">
        <v>10000</v>
      </c>
      <c r="G753" s="3">
        <v>43301</v>
      </c>
      <c r="H753" s="4">
        <v>0.59150462962963002</v>
      </c>
      <c r="I753" s="3">
        <v>43302</v>
      </c>
      <c r="J753" s="4">
        <v>0</v>
      </c>
      <c r="K753" s="2">
        <v>0</v>
      </c>
      <c r="L753" t="s">
        <v>5856</v>
      </c>
      <c r="M753" t="s">
        <v>7264</v>
      </c>
      <c r="N753" s="3">
        <v>43304</v>
      </c>
      <c r="O753" s="3">
        <v>43303</v>
      </c>
      <c r="P753" t="s">
        <v>5911</v>
      </c>
      <c r="Q753" t="s">
        <v>8293</v>
      </c>
      <c r="R753" t="s">
        <v>6036</v>
      </c>
      <c r="S753" s="3">
        <v>43304</v>
      </c>
      <c r="T753" t="s">
        <v>9938</v>
      </c>
      <c r="U753" t="s">
        <v>6052</v>
      </c>
      <c r="V753" t="s">
        <v>7634</v>
      </c>
      <c r="W753" t="s">
        <v>5857</v>
      </c>
      <c r="X753" s="2">
        <v>1020</v>
      </c>
      <c r="Y753" t="s">
        <v>5858</v>
      </c>
      <c r="Z753" t="s">
        <v>6037</v>
      </c>
      <c r="AA753" s="2">
        <v>10000</v>
      </c>
      <c r="AB753" t="s">
        <v>5863</v>
      </c>
      <c r="AC753" t="s">
        <v>9974</v>
      </c>
      <c r="AD753" s="32">
        <v>43257</v>
      </c>
      <c r="AJ753" t="s">
        <v>9958</v>
      </c>
      <c r="AL753" t="s">
        <v>10981</v>
      </c>
    </row>
    <row r="754" spans="1:38">
      <c r="A754" t="s">
        <v>8258</v>
      </c>
      <c r="B754" t="s">
        <v>12117</v>
      </c>
      <c r="C754" t="s">
        <v>8284</v>
      </c>
      <c r="D754" t="s">
        <v>8285</v>
      </c>
      <c r="E754" s="2">
        <v>10000</v>
      </c>
      <c r="F754" s="2">
        <v>10000</v>
      </c>
      <c r="G754" s="3">
        <v>43302</v>
      </c>
      <c r="H754" s="4">
        <v>0.16217592592593</v>
      </c>
      <c r="I754" s="3">
        <v>43302</v>
      </c>
      <c r="J754" s="4">
        <v>0.57067129629629998</v>
      </c>
      <c r="K754" s="2">
        <v>0</v>
      </c>
      <c r="L754" t="s">
        <v>5856</v>
      </c>
      <c r="M754" t="s">
        <v>7264</v>
      </c>
      <c r="N754" s="3">
        <v>43305</v>
      </c>
      <c r="O754" s="3">
        <v>43304</v>
      </c>
      <c r="P754" t="s">
        <v>5898</v>
      </c>
      <c r="Q754" t="s">
        <v>8294</v>
      </c>
      <c r="R754" t="s">
        <v>6036</v>
      </c>
      <c r="S754" s="3">
        <v>43305</v>
      </c>
      <c r="T754" t="s">
        <v>9938</v>
      </c>
      <c r="U754" t="s">
        <v>6054</v>
      </c>
      <c r="V754" t="s">
        <v>5899</v>
      </c>
      <c r="W754" t="s">
        <v>5857</v>
      </c>
      <c r="X754" s="2">
        <v>1020</v>
      </c>
      <c r="Y754" t="s">
        <v>5858</v>
      </c>
      <c r="Z754" t="s">
        <v>6037</v>
      </c>
      <c r="AA754" s="2">
        <v>10000</v>
      </c>
      <c r="AB754" t="s">
        <v>5863</v>
      </c>
      <c r="AC754" t="s">
        <v>9974</v>
      </c>
      <c r="AD754" s="32">
        <v>43263</v>
      </c>
      <c r="AI754" t="s">
        <v>9939</v>
      </c>
      <c r="AJ754" t="s">
        <v>9958</v>
      </c>
      <c r="AL754" t="s">
        <v>10982</v>
      </c>
    </row>
    <row r="755" spans="1:38">
      <c r="A755" t="s">
        <v>8258</v>
      </c>
      <c r="B755" t="s">
        <v>12118</v>
      </c>
      <c r="C755" t="s">
        <v>8266</v>
      </c>
      <c r="D755" t="s">
        <v>8267</v>
      </c>
      <c r="E755" s="2">
        <v>10000</v>
      </c>
      <c r="F755" s="2">
        <v>10000</v>
      </c>
      <c r="G755" s="3">
        <v>43302</v>
      </c>
      <c r="H755" s="4">
        <v>0.59150462962963002</v>
      </c>
      <c r="I755" s="3">
        <v>43303</v>
      </c>
      <c r="J755" s="4">
        <v>0</v>
      </c>
      <c r="K755" s="2">
        <v>20</v>
      </c>
      <c r="L755" t="s">
        <v>5856</v>
      </c>
      <c r="M755" t="s">
        <v>7264</v>
      </c>
      <c r="N755" s="3">
        <v>43305</v>
      </c>
      <c r="O755" s="3">
        <v>43304</v>
      </c>
      <c r="P755" t="s">
        <v>6591</v>
      </c>
      <c r="Q755" t="s">
        <v>8295</v>
      </c>
      <c r="R755" t="s">
        <v>6036</v>
      </c>
      <c r="S755" s="3">
        <v>43305</v>
      </c>
      <c r="T755" t="s">
        <v>9938</v>
      </c>
      <c r="U755" t="s">
        <v>6052</v>
      </c>
      <c r="V755" t="s">
        <v>8269</v>
      </c>
      <c r="W755" t="s">
        <v>5857</v>
      </c>
      <c r="X755" s="2">
        <v>1020</v>
      </c>
      <c r="Y755" t="s">
        <v>5858</v>
      </c>
      <c r="Z755" t="s">
        <v>6037</v>
      </c>
      <c r="AA755" s="2">
        <v>10000</v>
      </c>
      <c r="AB755" t="s">
        <v>5863</v>
      </c>
      <c r="AC755" t="s">
        <v>9974</v>
      </c>
      <c r="AD755" s="32">
        <v>43216</v>
      </c>
      <c r="AJ755" t="s">
        <v>9958</v>
      </c>
      <c r="AL755" t="s">
        <v>10983</v>
      </c>
    </row>
    <row r="756" spans="1:38">
      <c r="A756" t="s">
        <v>8258</v>
      </c>
      <c r="B756" t="s">
        <v>12119</v>
      </c>
      <c r="C756" t="s">
        <v>6560</v>
      </c>
      <c r="D756" t="s">
        <v>6561</v>
      </c>
      <c r="E756" s="2">
        <v>20600</v>
      </c>
      <c r="F756" s="2">
        <v>20600</v>
      </c>
      <c r="G756" s="3">
        <v>43303</v>
      </c>
      <c r="H756" s="4">
        <v>0.15848379629629999</v>
      </c>
      <c r="I756" s="3">
        <v>43303</v>
      </c>
      <c r="J756" s="4">
        <v>0.99998842592592996</v>
      </c>
      <c r="K756" s="2">
        <v>0</v>
      </c>
      <c r="L756" t="s">
        <v>5856</v>
      </c>
      <c r="M756" t="s">
        <v>8151</v>
      </c>
      <c r="N756" s="3">
        <v>43305</v>
      </c>
      <c r="O756" s="3">
        <v>43305</v>
      </c>
      <c r="P756" t="s">
        <v>5911</v>
      </c>
      <c r="Q756" t="s">
        <v>6038</v>
      </c>
      <c r="R756" t="s">
        <v>6039</v>
      </c>
      <c r="S756" s="3"/>
      <c r="T756" t="s">
        <v>9938</v>
      </c>
      <c r="U756" t="s">
        <v>6052</v>
      </c>
      <c r="V756" t="s">
        <v>6562</v>
      </c>
      <c r="W756" t="s">
        <v>5857</v>
      </c>
      <c r="X756" s="2">
        <v>0</v>
      </c>
      <c r="Y756" t="s">
        <v>5858</v>
      </c>
      <c r="Z756" t="s">
        <v>6037</v>
      </c>
      <c r="AA756" s="2">
        <v>20000</v>
      </c>
      <c r="AB756" t="s">
        <v>5861</v>
      </c>
      <c r="AC756" t="s">
        <v>9975</v>
      </c>
      <c r="AD756" s="32"/>
      <c r="AJ756" t="s">
        <v>9958</v>
      </c>
      <c r="AL756" t="s">
        <v>10984</v>
      </c>
    </row>
    <row r="757" spans="1:38">
      <c r="A757" t="s">
        <v>8258</v>
      </c>
      <c r="B757" t="s">
        <v>13241</v>
      </c>
      <c r="C757" t="s">
        <v>6560</v>
      </c>
      <c r="D757" t="s">
        <v>6561</v>
      </c>
      <c r="E757" s="2">
        <v>20600</v>
      </c>
      <c r="F757" s="2">
        <v>20600</v>
      </c>
      <c r="G757" s="3">
        <v>43304</v>
      </c>
      <c r="H757" s="4">
        <v>0.15848379629629999</v>
      </c>
      <c r="I757" s="3">
        <v>43304</v>
      </c>
      <c r="J757" s="4">
        <v>0.99998842592592996</v>
      </c>
      <c r="K757" s="2">
        <v>0</v>
      </c>
      <c r="L757" t="s">
        <v>5856</v>
      </c>
      <c r="M757" t="s">
        <v>8151</v>
      </c>
      <c r="N757" s="3">
        <v>43306</v>
      </c>
      <c r="O757" s="3">
        <v>43306</v>
      </c>
      <c r="P757" t="s">
        <v>5911</v>
      </c>
      <c r="Q757" t="s">
        <v>8296</v>
      </c>
      <c r="R757" t="s">
        <v>6036</v>
      </c>
      <c r="S757" s="3">
        <v>43308</v>
      </c>
      <c r="T757" t="s">
        <v>9938</v>
      </c>
      <c r="U757" t="s">
        <v>6052</v>
      </c>
      <c r="V757" t="s">
        <v>6562</v>
      </c>
      <c r="W757" t="s">
        <v>5857</v>
      </c>
      <c r="X757" s="2">
        <v>0</v>
      </c>
      <c r="Y757" t="s">
        <v>5858</v>
      </c>
      <c r="Z757" t="s">
        <v>6037</v>
      </c>
      <c r="AA757" s="2">
        <v>20000</v>
      </c>
      <c r="AB757" t="s">
        <v>5861</v>
      </c>
      <c r="AC757" t="s">
        <v>9975</v>
      </c>
      <c r="AD757" s="32"/>
      <c r="AJ757" t="s">
        <v>9958</v>
      </c>
      <c r="AL757" t="s">
        <v>14025</v>
      </c>
    </row>
    <row r="758" spans="1:38">
      <c r="A758" t="s">
        <v>8258</v>
      </c>
      <c r="B758" t="s">
        <v>12120</v>
      </c>
      <c r="C758" t="s">
        <v>8270</v>
      </c>
      <c r="D758" t="s">
        <v>8271</v>
      </c>
      <c r="E758" s="2">
        <v>20000</v>
      </c>
      <c r="F758" s="2">
        <v>20000</v>
      </c>
      <c r="G758" s="3">
        <v>43308</v>
      </c>
      <c r="H758" s="4">
        <v>0.28472222222221999</v>
      </c>
      <c r="I758" s="3">
        <v>43308</v>
      </c>
      <c r="J758" s="4">
        <v>0.97916666666666996</v>
      </c>
      <c r="K758" s="2">
        <v>0</v>
      </c>
      <c r="L758" t="s">
        <v>5856</v>
      </c>
      <c r="M758" t="s">
        <v>8171</v>
      </c>
      <c r="N758" s="3">
        <v>43310</v>
      </c>
      <c r="O758" s="3">
        <v>43311</v>
      </c>
      <c r="P758" t="s">
        <v>5862</v>
      </c>
      <c r="Q758" t="s">
        <v>13242</v>
      </c>
      <c r="R758" t="s">
        <v>6476</v>
      </c>
      <c r="S758" s="3">
        <v>43344</v>
      </c>
      <c r="T758" t="s">
        <v>9938</v>
      </c>
      <c r="U758" t="s">
        <v>8272</v>
      </c>
      <c r="V758" t="s">
        <v>6073</v>
      </c>
      <c r="W758" t="s">
        <v>5868</v>
      </c>
      <c r="X758" s="2">
        <v>0</v>
      </c>
      <c r="Y758" t="s">
        <v>5858</v>
      </c>
      <c r="Z758" t="s">
        <v>6037</v>
      </c>
      <c r="AA758" s="2">
        <v>20000</v>
      </c>
      <c r="AB758" t="s">
        <v>5861</v>
      </c>
      <c r="AC758" t="s">
        <v>9985</v>
      </c>
      <c r="AD758" s="32"/>
      <c r="AI758" t="s">
        <v>9939</v>
      </c>
      <c r="AJ758" t="s">
        <v>9957</v>
      </c>
      <c r="AL758" t="s">
        <v>10985</v>
      </c>
    </row>
    <row r="759" spans="1:38">
      <c r="A759" t="s">
        <v>8258</v>
      </c>
      <c r="B759" t="s">
        <v>12121</v>
      </c>
      <c r="C759" t="s">
        <v>7060</v>
      </c>
      <c r="D759" t="s">
        <v>7061</v>
      </c>
      <c r="E759" s="2">
        <v>10197</v>
      </c>
      <c r="F759" s="2">
        <v>10197</v>
      </c>
      <c r="G759" s="3">
        <v>43309</v>
      </c>
      <c r="H759" s="4">
        <v>0</v>
      </c>
      <c r="I759" s="3">
        <v>43309</v>
      </c>
      <c r="J759" s="4">
        <v>0.41653935185184998</v>
      </c>
      <c r="K759" s="2">
        <v>20</v>
      </c>
      <c r="L759" t="s">
        <v>5856</v>
      </c>
      <c r="M759" t="s">
        <v>8297</v>
      </c>
      <c r="N759" s="3">
        <v>43312</v>
      </c>
      <c r="O759" s="3">
        <v>43311</v>
      </c>
      <c r="P759" t="s">
        <v>5904</v>
      </c>
      <c r="Q759" t="s">
        <v>8298</v>
      </c>
      <c r="R759" t="s">
        <v>6036</v>
      </c>
      <c r="S759" s="3">
        <v>43312</v>
      </c>
      <c r="T759" t="s">
        <v>9938</v>
      </c>
      <c r="U759" t="s">
        <v>6593</v>
      </c>
      <c r="V759" t="s">
        <v>5899</v>
      </c>
      <c r="W759" t="s">
        <v>5857</v>
      </c>
      <c r="X759" s="2">
        <v>1020</v>
      </c>
      <c r="Y759" t="s">
        <v>5858</v>
      </c>
      <c r="Z759" t="s">
        <v>6037</v>
      </c>
      <c r="AA759" s="2">
        <v>10197</v>
      </c>
      <c r="AB759" t="s">
        <v>5859</v>
      </c>
      <c r="AC759" t="s">
        <v>9974</v>
      </c>
      <c r="AD759" s="32">
        <v>43179</v>
      </c>
      <c r="AJ759" t="s">
        <v>9958</v>
      </c>
      <c r="AL759" t="s">
        <v>10986</v>
      </c>
    </row>
    <row r="760" spans="1:38">
      <c r="A760" t="s">
        <v>8258</v>
      </c>
      <c r="B760" t="s">
        <v>13243</v>
      </c>
      <c r="C760" t="s">
        <v>6560</v>
      </c>
      <c r="D760" t="s">
        <v>6561</v>
      </c>
      <c r="E760" s="2">
        <v>20600</v>
      </c>
      <c r="F760" s="2">
        <v>20600</v>
      </c>
      <c r="G760" s="3">
        <v>43311</v>
      </c>
      <c r="H760" s="4">
        <v>0.71689814814815001</v>
      </c>
      <c r="I760" s="3">
        <v>43312</v>
      </c>
      <c r="J760" s="4">
        <v>0.55840277777778002</v>
      </c>
      <c r="K760" s="2">
        <v>0</v>
      </c>
      <c r="L760" t="s">
        <v>5856</v>
      </c>
      <c r="M760" t="s">
        <v>8151</v>
      </c>
      <c r="N760" s="3">
        <v>43314</v>
      </c>
      <c r="O760" s="3">
        <v>43314</v>
      </c>
      <c r="P760" t="s">
        <v>5911</v>
      </c>
      <c r="Q760" t="s">
        <v>6038</v>
      </c>
      <c r="R760" t="s">
        <v>6039</v>
      </c>
      <c r="S760" s="3"/>
      <c r="T760" t="s">
        <v>9938</v>
      </c>
      <c r="U760" t="s">
        <v>6052</v>
      </c>
      <c r="V760" t="s">
        <v>6562</v>
      </c>
      <c r="W760" t="s">
        <v>5857</v>
      </c>
      <c r="X760" s="2">
        <v>0</v>
      </c>
      <c r="Y760" t="s">
        <v>5858</v>
      </c>
      <c r="Z760" t="s">
        <v>6037</v>
      </c>
      <c r="AA760" s="2">
        <v>20000</v>
      </c>
      <c r="AB760" t="s">
        <v>5861</v>
      </c>
      <c r="AC760" t="s">
        <v>9975</v>
      </c>
      <c r="AD760" s="32"/>
      <c r="AJ760" t="s">
        <v>9958</v>
      </c>
      <c r="AL760" t="s">
        <v>14026</v>
      </c>
    </row>
    <row r="761" spans="1:38">
      <c r="A761" t="s">
        <v>8258</v>
      </c>
      <c r="B761" t="s">
        <v>13244</v>
      </c>
      <c r="C761" t="s">
        <v>6560</v>
      </c>
      <c r="D761" t="s">
        <v>6561</v>
      </c>
      <c r="E761" s="2">
        <v>20600</v>
      </c>
      <c r="F761" s="2">
        <v>20600</v>
      </c>
      <c r="G761" s="3">
        <v>43312</v>
      </c>
      <c r="H761" s="4">
        <v>0.15848379629629999</v>
      </c>
      <c r="I761" s="3">
        <v>43312</v>
      </c>
      <c r="J761" s="4">
        <v>0.99998842592592996</v>
      </c>
      <c r="K761" s="2">
        <v>0</v>
      </c>
      <c r="L761" t="s">
        <v>5856</v>
      </c>
      <c r="M761" t="s">
        <v>8151</v>
      </c>
      <c r="N761" s="3">
        <v>43314</v>
      </c>
      <c r="O761" s="3">
        <v>43314</v>
      </c>
      <c r="P761" t="s">
        <v>5911</v>
      </c>
      <c r="Q761" t="s">
        <v>8299</v>
      </c>
      <c r="R761" t="s">
        <v>6036</v>
      </c>
      <c r="S761" s="3">
        <v>43321</v>
      </c>
      <c r="T761" t="s">
        <v>9938</v>
      </c>
      <c r="U761" t="s">
        <v>6052</v>
      </c>
      <c r="V761" t="s">
        <v>6562</v>
      </c>
      <c r="W761" t="s">
        <v>5857</v>
      </c>
      <c r="X761" s="2">
        <v>0</v>
      </c>
      <c r="Y761" t="s">
        <v>5858</v>
      </c>
      <c r="Z761" t="s">
        <v>6037</v>
      </c>
      <c r="AA761" s="2">
        <v>20000</v>
      </c>
      <c r="AB761" t="s">
        <v>5915</v>
      </c>
      <c r="AC761" t="s">
        <v>9975</v>
      </c>
      <c r="AD761" s="32"/>
      <c r="AJ761" t="s">
        <v>9958</v>
      </c>
      <c r="AL761" t="s">
        <v>14027</v>
      </c>
    </row>
    <row r="762" spans="1:38">
      <c r="A762" t="s">
        <v>8258</v>
      </c>
      <c r="B762" t="s">
        <v>12122</v>
      </c>
      <c r="C762" t="s">
        <v>6560</v>
      </c>
      <c r="D762" t="s">
        <v>6561</v>
      </c>
      <c r="E762" s="2">
        <v>10300</v>
      </c>
      <c r="F762" s="2">
        <v>10300</v>
      </c>
      <c r="G762" s="3">
        <v>43312</v>
      </c>
      <c r="H762" s="4">
        <v>0.57923611111110995</v>
      </c>
      <c r="I762" s="3">
        <v>43312</v>
      </c>
      <c r="J762" s="4">
        <v>0.99998842592592996</v>
      </c>
      <c r="K762" s="2">
        <v>0</v>
      </c>
      <c r="L762" t="s">
        <v>5856</v>
      </c>
      <c r="M762" t="s">
        <v>8165</v>
      </c>
      <c r="N762" s="3">
        <v>43314</v>
      </c>
      <c r="O762" s="3">
        <v>43314</v>
      </c>
      <c r="P762" t="s">
        <v>5911</v>
      </c>
      <c r="Q762" t="s">
        <v>6038</v>
      </c>
      <c r="R762" t="s">
        <v>6039</v>
      </c>
      <c r="S762" s="3"/>
      <c r="T762" t="s">
        <v>9938</v>
      </c>
      <c r="U762" t="s">
        <v>6052</v>
      </c>
      <c r="V762" t="s">
        <v>6562</v>
      </c>
      <c r="W762" t="s">
        <v>5857</v>
      </c>
      <c r="X762" s="2">
        <v>0</v>
      </c>
      <c r="Y762" t="s">
        <v>5858</v>
      </c>
      <c r="Z762" t="s">
        <v>6037</v>
      </c>
      <c r="AA762" s="2">
        <v>10000</v>
      </c>
      <c r="AB762" t="s">
        <v>5861</v>
      </c>
      <c r="AC762" t="s">
        <v>9975</v>
      </c>
      <c r="AD762" s="32"/>
      <c r="AJ762" t="s">
        <v>9958</v>
      </c>
      <c r="AL762" t="s">
        <v>10987</v>
      </c>
    </row>
    <row r="763" spans="1:38">
      <c r="A763" t="s">
        <v>8258</v>
      </c>
      <c r="B763" t="s">
        <v>12123</v>
      </c>
      <c r="C763" t="s">
        <v>8300</v>
      </c>
      <c r="D763" t="s">
        <v>8301</v>
      </c>
      <c r="E763" s="2">
        <v>8000</v>
      </c>
      <c r="F763" s="2">
        <v>8000</v>
      </c>
      <c r="G763" s="3">
        <v>43314</v>
      </c>
      <c r="H763" s="4">
        <v>0.85327546296295997</v>
      </c>
      <c r="I763" s="3">
        <v>43315</v>
      </c>
      <c r="J763" s="4">
        <v>0.18006944444444001</v>
      </c>
      <c r="K763" s="2">
        <v>20</v>
      </c>
      <c r="L763" t="s">
        <v>5856</v>
      </c>
      <c r="M763" t="s">
        <v>6498</v>
      </c>
      <c r="N763" s="3">
        <v>43325</v>
      </c>
      <c r="O763" s="3">
        <v>43317</v>
      </c>
      <c r="P763" t="s">
        <v>5911</v>
      </c>
      <c r="Q763" t="s">
        <v>8302</v>
      </c>
      <c r="R763" t="s">
        <v>6036</v>
      </c>
      <c r="S763" s="3">
        <v>43325</v>
      </c>
      <c r="T763" t="s">
        <v>9938</v>
      </c>
      <c r="U763" t="s">
        <v>6052</v>
      </c>
      <c r="V763" t="s">
        <v>8303</v>
      </c>
      <c r="W763" t="s">
        <v>6038</v>
      </c>
      <c r="X763" s="2">
        <v>1020</v>
      </c>
      <c r="Y763" t="s">
        <v>5858</v>
      </c>
      <c r="Z763" t="s">
        <v>6037</v>
      </c>
      <c r="AA763" s="2">
        <v>8000</v>
      </c>
      <c r="AB763" t="s">
        <v>5863</v>
      </c>
      <c r="AC763" t="s">
        <v>9974</v>
      </c>
      <c r="AD763" s="32">
        <v>43109</v>
      </c>
      <c r="AJ763" t="s">
        <v>9958</v>
      </c>
      <c r="AL763" t="s">
        <v>14028</v>
      </c>
    </row>
    <row r="764" spans="1:38">
      <c r="A764" t="s">
        <v>8258</v>
      </c>
      <c r="B764" t="s">
        <v>12124</v>
      </c>
      <c r="C764" t="s">
        <v>8270</v>
      </c>
      <c r="D764" t="s">
        <v>8271</v>
      </c>
      <c r="E764" s="2">
        <v>20000</v>
      </c>
      <c r="F764" s="2">
        <v>20000</v>
      </c>
      <c r="G764" s="3">
        <v>43316</v>
      </c>
      <c r="H764" s="4">
        <v>0.30554398148147999</v>
      </c>
      <c r="I764" s="3">
        <v>43316</v>
      </c>
      <c r="J764" s="4">
        <v>0.99998842592592996</v>
      </c>
      <c r="K764" s="2">
        <v>0</v>
      </c>
      <c r="L764" t="s">
        <v>5856</v>
      </c>
      <c r="M764" t="s">
        <v>8171</v>
      </c>
      <c r="N764" s="3">
        <v>43318</v>
      </c>
      <c r="O764" s="3">
        <v>43318</v>
      </c>
      <c r="P764" t="s">
        <v>5862</v>
      </c>
      <c r="Q764" t="s">
        <v>13245</v>
      </c>
      <c r="R764" t="s">
        <v>6476</v>
      </c>
      <c r="S764" s="3">
        <v>43358</v>
      </c>
      <c r="T764" t="s">
        <v>9938</v>
      </c>
      <c r="U764" t="s">
        <v>8272</v>
      </c>
      <c r="V764" t="s">
        <v>6073</v>
      </c>
      <c r="W764" t="s">
        <v>5868</v>
      </c>
      <c r="X764" s="2">
        <v>0</v>
      </c>
      <c r="Y764" t="s">
        <v>5858</v>
      </c>
      <c r="Z764" t="s">
        <v>6037</v>
      </c>
      <c r="AA764" s="2">
        <v>20000</v>
      </c>
      <c r="AB764" t="s">
        <v>5861</v>
      </c>
      <c r="AC764" t="s">
        <v>9985</v>
      </c>
      <c r="AD764" s="32"/>
      <c r="AI764" t="s">
        <v>9939</v>
      </c>
      <c r="AJ764" t="s">
        <v>9957</v>
      </c>
      <c r="AL764" t="s">
        <v>10989</v>
      </c>
    </row>
    <row r="765" spans="1:38">
      <c r="A765" t="s">
        <v>8258</v>
      </c>
      <c r="B765" t="s">
        <v>13246</v>
      </c>
      <c r="C765" t="s">
        <v>8751</v>
      </c>
      <c r="D765" t="s">
        <v>8752</v>
      </c>
      <c r="E765" s="2">
        <v>10300</v>
      </c>
      <c r="F765" s="2">
        <v>10300</v>
      </c>
      <c r="G765" s="3">
        <v>43317</v>
      </c>
      <c r="H765" s="4">
        <v>0.25449074074074002</v>
      </c>
      <c r="I765" s="3">
        <v>43317</v>
      </c>
      <c r="J765" s="4">
        <v>0.67524305555555997</v>
      </c>
      <c r="K765" s="2">
        <v>0</v>
      </c>
      <c r="L765" t="s">
        <v>5856</v>
      </c>
      <c r="M765" t="s">
        <v>8165</v>
      </c>
      <c r="N765" s="3">
        <v>43321</v>
      </c>
      <c r="O765" s="3">
        <v>43319</v>
      </c>
      <c r="P765" t="s">
        <v>5911</v>
      </c>
      <c r="Q765" t="s">
        <v>13247</v>
      </c>
      <c r="R765" t="s">
        <v>6036</v>
      </c>
      <c r="S765" s="3">
        <v>43321</v>
      </c>
      <c r="T765" t="s">
        <v>9938</v>
      </c>
      <c r="U765" t="s">
        <v>8754</v>
      </c>
      <c r="V765" t="s">
        <v>8755</v>
      </c>
      <c r="W765" t="s">
        <v>5857</v>
      </c>
      <c r="X765" s="2">
        <v>1020</v>
      </c>
      <c r="Y765" t="s">
        <v>5858</v>
      </c>
      <c r="Z765" t="s">
        <v>6037</v>
      </c>
      <c r="AA765" s="2">
        <v>10000</v>
      </c>
      <c r="AB765" t="s">
        <v>5863</v>
      </c>
      <c r="AC765" t="s">
        <v>9974</v>
      </c>
      <c r="AD765" s="32">
        <v>43279</v>
      </c>
      <c r="AJ765" t="s">
        <v>9958</v>
      </c>
      <c r="AL765" t="s">
        <v>14029</v>
      </c>
    </row>
    <row r="766" spans="1:38">
      <c r="A766" t="s">
        <v>8258</v>
      </c>
      <c r="B766" t="s">
        <v>13248</v>
      </c>
      <c r="C766" t="s">
        <v>8751</v>
      </c>
      <c r="D766" t="s">
        <v>8752</v>
      </c>
      <c r="E766" s="2">
        <v>10300</v>
      </c>
      <c r="F766" s="2">
        <v>10300</v>
      </c>
      <c r="G766" s="3">
        <v>43317</v>
      </c>
      <c r="H766" s="4">
        <v>0.69607638888889001</v>
      </c>
      <c r="I766" s="3">
        <v>43318</v>
      </c>
      <c r="J766" s="4">
        <v>0.11682870370369999</v>
      </c>
      <c r="K766" s="2">
        <v>0</v>
      </c>
      <c r="L766" t="s">
        <v>5856</v>
      </c>
      <c r="M766" t="s">
        <v>8165</v>
      </c>
      <c r="N766" s="3">
        <v>43321</v>
      </c>
      <c r="O766" s="3">
        <v>43320</v>
      </c>
      <c r="P766" t="s">
        <v>5911</v>
      </c>
      <c r="Q766" t="s">
        <v>13249</v>
      </c>
      <c r="R766" t="s">
        <v>6036</v>
      </c>
      <c r="S766" s="3">
        <v>43321</v>
      </c>
      <c r="T766" t="s">
        <v>9938</v>
      </c>
      <c r="U766" t="s">
        <v>8754</v>
      </c>
      <c r="V766" t="s">
        <v>8755</v>
      </c>
      <c r="W766" t="s">
        <v>5857</v>
      </c>
      <c r="X766" s="2">
        <v>1020</v>
      </c>
      <c r="Y766" t="s">
        <v>5858</v>
      </c>
      <c r="Z766" t="s">
        <v>6037</v>
      </c>
      <c r="AA766" s="2">
        <v>10000</v>
      </c>
      <c r="AB766" t="s">
        <v>5863</v>
      </c>
      <c r="AC766" t="s">
        <v>9974</v>
      </c>
      <c r="AD766" s="32">
        <v>43279</v>
      </c>
      <c r="AJ766" t="s">
        <v>9958</v>
      </c>
      <c r="AL766" t="s">
        <v>14030</v>
      </c>
    </row>
    <row r="767" spans="1:38">
      <c r="A767" t="s">
        <v>8258</v>
      </c>
      <c r="B767" t="s">
        <v>13250</v>
      </c>
      <c r="C767" t="s">
        <v>8751</v>
      </c>
      <c r="D767" t="s">
        <v>8752</v>
      </c>
      <c r="E767" s="2">
        <v>10300</v>
      </c>
      <c r="F767" s="2">
        <v>10300</v>
      </c>
      <c r="G767" s="3">
        <v>43318</v>
      </c>
      <c r="H767" s="4">
        <v>0.13766203703704</v>
      </c>
      <c r="I767" s="3">
        <v>43318</v>
      </c>
      <c r="J767" s="4">
        <v>0.55841435185184995</v>
      </c>
      <c r="K767" s="2">
        <v>0</v>
      </c>
      <c r="L767" t="s">
        <v>5856</v>
      </c>
      <c r="M767" t="s">
        <v>8165</v>
      </c>
      <c r="N767" s="3">
        <v>43321</v>
      </c>
      <c r="O767" s="3">
        <v>43320</v>
      </c>
      <c r="P767" t="s">
        <v>5911</v>
      </c>
      <c r="Q767" t="s">
        <v>13251</v>
      </c>
      <c r="R767" t="s">
        <v>6036</v>
      </c>
      <c r="S767" s="3">
        <v>43321</v>
      </c>
      <c r="T767" t="s">
        <v>9938</v>
      </c>
      <c r="U767" t="s">
        <v>8754</v>
      </c>
      <c r="V767" t="s">
        <v>8755</v>
      </c>
      <c r="W767" t="s">
        <v>5857</v>
      </c>
      <c r="X767" s="2">
        <v>1020</v>
      </c>
      <c r="Y767" t="s">
        <v>5858</v>
      </c>
      <c r="Z767" t="s">
        <v>6037</v>
      </c>
      <c r="AA767" s="2">
        <v>10000</v>
      </c>
      <c r="AB767" t="s">
        <v>5863</v>
      </c>
      <c r="AC767" t="s">
        <v>9974</v>
      </c>
      <c r="AD767" s="32">
        <v>43279</v>
      </c>
      <c r="AJ767" t="s">
        <v>9958</v>
      </c>
      <c r="AL767" t="s">
        <v>14031</v>
      </c>
    </row>
    <row r="768" spans="1:38">
      <c r="A768" t="s">
        <v>8258</v>
      </c>
      <c r="B768" t="s">
        <v>13252</v>
      </c>
      <c r="C768" t="s">
        <v>8751</v>
      </c>
      <c r="D768" t="s">
        <v>8752</v>
      </c>
      <c r="E768" s="2">
        <v>10300</v>
      </c>
      <c r="F768" s="2">
        <v>10300</v>
      </c>
      <c r="G768" s="3">
        <v>43318</v>
      </c>
      <c r="H768" s="4">
        <v>0.57924768518518999</v>
      </c>
      <c r="I768" s="3">
        <v>43319</v>
      </c>
      <c r="J768" s="4">
        <v>0</v>
      </c>
      <c r="K768" s="2">
        <v>0</v>
      </c>
      <c r="L768" t="s">
        <v>5856</v>
      </c>
      <c r="M768" t="s">
        <v>8165</v>
      </c>
      <c r="N768" s="3">
        <v>43321</v>
      </c>
      <c r="O768" s="3">
        <v>43320</v>
      </c>
      <c r="P768" t="s">
        <v>5911</v>
      </c>
      <c r="Q768" t="s">
        <v>13253</v>
      </c>
      <c r="R768" t="s">
        <v>6036</v>
      </c>
      <c r="S768" s="3">
        <v>43321</v>
      </c>
      <c r="T768" t="s">
        <v>9938</v>
      </c>
      <c r="U768" t="s">
        <v>8754</v>
      </c>
      <c r="V768" t="s">
        <v>8755</v>
      </c>
      <c r="W768" t="s">
        <v>5857</v>
      </c>
      <c r="X768" s="2">
        <v>1020</v>
      </c>
      <c r="Y768" t="s">
        <v>5858</v>
      </c>
      <c r="Z768" t="s">
        <v>6037</v>
      </c>
      <c r="AA768" s="2">
        <v>10000</v>
      </c>
      <c r="AB768" t="s">
        <v>5863</v>
      </c>
      <c r="AC768" t="s">
        <v>9974</v>
      </c>
      <c r="AD768" s="32">
        <v>43279</v>
      </c>
      <c r="AJ768" t="s">
        <v>9958</v>
      </c>
      <c r="AL768" t="s">
        <v>14032</v>
      </c>
    </row>
    <row r="769" spans="1:38">
      <c r="A769" t="s">
        <v>8258</v>
      </c>
      <c r="B769" t="s">
        <v>13254</v>
      </c>
      <c r="C769" t="s">
        <v>8751</v>
      </c>
      <c r="D769" t="s">
        <v>8752</v>
      </c>
      <c r="E769" s="2">
        <v>10300</v>
      </c>
      <c r="F769" s="2">
        <v>10300</v>
      </c>
      <c r="G769" s="3">
        <v>43324</v>
      </c>
      <c r="H769" s="4">
        <v>0.69607638888889001</v>
      </c>
      <c r="I769" s="3">
        <v>43325</v>
      </c>
      <c r="J769" s="4">
        <v>0.11682870370369999</v>
      </c>
      <c r="K769" s="2">
        <v>0</v>
      </c>
      <c r="L769" t="s">
        <v>5856</v>
      </c>
      <c r="M769" t="s">
        <v>8165</v>
      </c>
      <c r="N769" s="3">
        <v>43328</v>
      </c>
      <c r="O769" s="3">
        <v>43327</v>
      </c>
      <c r="P769" t="s">
        <v>5911</v>
      </c>
      <c r="Q769" t="s">
        <v>13255</v>
      </c>
      <c r="R769" t="s">
        <v>6036</v>
      </c>
      <c r="S769" s="3">
        <v>43328</v>
      </c>
      <c r="T769" t="s">
        <v>9938</v>
      </c>
      <c r="U769" t="s">
        <v>8754</v>
      </c>
      <c r="V769" t="s">
        <v>8755</v>
      </c>
      <c r="W769" t="s">
        <v>5857</v>
      </c>
      <c r="X769" s="2">
        <v>1020</v>
      </c>
      <c r="Y769" t="s">
        <v>5858</v>
      </c>
      <c r="Z769" t="s">
        <v>6037</v>
      </c>
      <c r="AA769" s="2">
        <v>10000</v>
      </c>
      <c r="AB769" t="s">
        <v>5863</v>
      </c>
      <c r="AC769" t="s">
        <v>9974</v>
      </c>
      <c r="AD769" s="32"/>
      <c r="AJ769" t="s">
        <v>9958</v>
      </c>
      <c r="AL769" t="s">
        <v>14033</v>
      </c>
    </row>
    <row r="770" spans="1:38">
      <c r="A770" t="s">
        <v>8258</v>
      </c>
      <c r="B770" t="s">
        <v>13256</v>
      </c>
      <c r="C770" t="s">
        <v>8751</v>
      </c>
      <c r="D770" t="s">
        <v>8752</v>
      </c>
      <c r="E770" s="2">
        <v>10300</v>
      </c>
      <c r="F770" s="2">
        <v>10300</v>
      </c>
      <c r="G770" s="3">
        <v>43325</v>
      </c>
      <c r="H770" s="4">
        <v>0.13766203703704</v>
      </c>
      <c r="I770" s="3">
        <v>43325</v>
      </c>
      <c r="J770" s="4">
        <v>0.55841435185184995</v>
      </c>
      <c r="K770" s="2">
        <v>0</v>
      </c>
      <c r="L770" t="s">
        <v>5856</v>
      </c>
      <c r="M770" t="s">
        <v>8165</v>
      </c>
      <c r="N770" s="3">
        <v>43328</v>
      </c>
      <c r="O770" s="3">
        <v>43327</v>
      </c>
      <c r="P770" t="s">
        <v>5911</v>
      </c>
      <c r="Q770" t="s">
        <v>13257</v>
      </c>
      <c r="R770" t="s">
        <v>6036</v>
      </c>
      <c r="S770" s="3">
        <v>43328</v>
      </c>
      <c r="T770" t="s">
        <v>9938</v>
      </c>
      <c r="U770" t="s">
        <v>8754</v>
      </c>
      <c r="V770" t="s">
        <v>8755</v>
      </c>
      <c r="W770" t="s">
        <v>5857</v>
      </c>
      <c r="X770" s="2">
        <v>1020</v>
      </c>
      <c r="Y770" t="s">
        <v>5858</v>
      </c>
      <c r="Z770" t="s">
        <v>6037</v>
      </c>
      <c r="AA770" s="2">
        <v>10000</v>
      </c>
      <c r="AB770" t="s">
        <v>5863</v>
      </c>
      <c r="AC770" t="s">
        <v>9974</v>
      </c>
      <c r="AD770" s="32"/>
      <c r="AJ770" t="s">
        <v>9958</v>
      </c>
      <c r="AL770" t="s">
        <v>14034</v>
      </c>
    </row>
    <row r="771" spans="1:38">
      <c r="A771" t="s">
        <v>8258</v>
      </c>
      <c r="B771" t="s">
        <v>13258</v>
      </c>
      <c r="C771" t="s">
        <v>8751</v>
      </c>
      <c r="D771" t="s">
        <v>8752</v>
      </c>
      <c r="E771" s="2">
        <v>10300</v>
      </c>
      <c r="F771" s="2">
        <v>10300</v>
      </c>
      <c r="G771" s="3">
        <v>43325</v>
      </c>
      <c r="H771" s="4">
        <v>0.57924768518518999</v>
      </c>
      <c r="I771" s="3">
        <v>43326</v>
      </c>
      <c r="J771" s="4">
        <v>0</v>
      </c>
      <c r="K771" s="2">
        <v>0</v>
      </c>
      <c r="L771" t="s">
        <v>5856</v>
      </c>
      <c r="M771" t="s">
        <v>8165</v>
      </c>
      <c r="N771" s="3">
        <v>43328</v>
      </c>
      <c r="O771" s="3">
        <v>43327</v>
      </c>
      <c r="P771" t="s">
        <v>5911</v>
      </c>
      <c r="Q771" t="s">
        <v>13259</v>
      </c>
      <c r="R771" t="s">
        <v>6036</v>
      </c>
      <c r="S771" s="3">
        <v>43328</v>
      </c>
      <c r="T771" t="s">
        <v>9938</v>
      </c>
      <c r="U771" t="s">
        <v>8754</v>
      </c>
      <c r="V771" t="s">
        <v>8755</v>
      </c>
      <c r="W771" t="s">
        <v>5857</v>
      </c>
      <c r="X771" s="2">
        <v>1020</v>
      </c>
      <c r="Y771" t="s">
        <v>5858</v>
      </c>
      <c r="Z771" t="s">
        <v>6037</v>
      </c>
      <c r="AA771" s="2">
        <v>10000</v>
      </c>
      <c r="AB771" t="s">
        <v>5863</v>
      </c>
      <c r="AC771" t="s">
        <v>9974</v>
      </c>
      <c r="AD771" s="32"/>
      <c r="AJ771" t="s">
        <v>9958</v>
      </c>
      <c r="AL771" t="s">
        <v>14035</v>
      </c>
    </row>
    <row r="772" spans="1:38">
      <c r="A772" t="s">
        <v>8258</v>
      </c>
      <c r="B772" t="s">
        <v>12125</v>
      </c>
      <c r="C772" t="s">
        <v>8304</v>
      </c>
      <c r="D772" t="s">
        <v>8305</v>
      </c>
      <c r="E772" s="2">
        <v>20600</v>
      </c>
      <c r="F772" s="2">
        <v>20600</v>
      </c>
      <c r="G772" s="3">
        <v>43329</v>
      </c>
      <c r="H772" s="4">
        <v>0.15849537037037001</v>
      </c>
      <c r="I772" s="3">
        <v>43330</v>
      </c>
      <c r="J772" s="4">
        <v>0</v>
      </c>
      <c r="K772" s="2">
        <v>20</v>
      </c>
      <c r="L772" t="s">
        <v>5856</v>
      </c>
      <c r="M772" t="s">
        <v>8151</v>
      </c>
      <c r="N772" s="3">
        <v>43332</v>
      </c>
      <c r="O772" s="3">
        <v>43331</v>
      </c>
      <c r="P772" t="s">
        <v>5911</v>
      </c>
      <c r="Q772" t="s">
        <v>8306</v>
      </c>
      <c r="R772" t="s">
        <v>6036</v>
      </c>
      <c r="S772" s="3">
        <v>43332</v>
      </c>
      <c r="T772" t="s">
        <v>9938</v>
      </c>
      <c r="U772" t="s">
        <v>8154</v>
      </c>
      <c r="V772" t="s">
        <v>8307</v>
      </c>
      <c r="W772" t="s">
        <v>5857</v>
      </c>
      <c r="X772" s="2">
        <v>1020</v>
      </c>
      <c r="Y772" t="s">
        <v>5858</v>
      </c>
      <c r="Z772" t="s">
        <v>6037</v>
      </c>
      <c r="AA772" s="2">
        <v>20000</v>
      </c>
      <c r="AB772" t="s">
        <v>5863</v>
      </c>
      <c r="AC772" t="s">
        <v>9974</v>
      </c>
      <c r="AD772" s="32"/>
      <c r="AI772" t="s">
        <v>9939</v>
      </c>
      <c r="AJ772" t="s">
        <v>9958</v>
      </c>
      <c r="AL772" t="s">
        <v>14036</v>
      </c>
    </row>
    <row r="773" spans="1:38">
      <c r="A773" t="s">
        <v>8258</v>
      </c>
      <c r="B773" t="s">
        <v>13260</v>
      </c>
      <c r="C773" t="s">
        <v>7673</v>
      </c>
      <c r="D773" t="s">
        <v>7674</v>
      </c>
      <c r="E773" s="2">
        <v>10300</v>
      </c>
      <c r="F773" s="2">
        <v>10300</v>
      </c>
      <c r="G773" s="3">
        <v>43333</v>
      </c>
      <c r="H773" s="4">
        <v>0.14991898148148</v>
      </c>
      <c r="I773" s="3">
        <v>43333</v>
      </c>
      <c r="J773" s="4">
        <v>0.57067129629629998</v>
      </c>
      <c r="K773" s="2">
        <v>0</v>
      </c>
      <c r="L773" t="s">
        <v>5856</v>
      </c>
      <c r="M773" t="s">
        <v>8165</v>
      </c>
      <c r="N773" s="3">
        <v>43336</v>
      </c>
      <c r="O773" s="3">
        <v>43335</v>
      </c>
      <c r="P773" t="s">
        <v>5862</v>
      </c>
      <c r="Q773" t="s">
        <v>13261</v>
      </c>
      <c r="R773" t="s">
        <v>6036</v>
      </c>
      <c r="S773" s="3">
        <v>43336</v>
      </c>
      <c r="T773" t="s">
        <v>9938</v>
      </c>
      <c r="U773" t="s">
        <v>6052</v>
      </c>
      <c r="V773" t="s">
        <v>5965</v>
      </c>
      <c r="W773" t="s">
        <v>5857</v>
      </c>
      <c r="X773" s="2">
        <v>1020</v>
      </c>
      <c r="Y773" t="s">
        <v>5858</v>
      </c>
      <c r="Z773" t="s">
        <v>6037</v>
      </c>
      <c r="AA773" s="2">
        <v>10000</v>
      </c>
      <c r="AB773" t="s">
        <v>5863</v>
      </c>
      <c r="AC773" t="s">
        <v>9974</v>
      </c>
      <c r="AD773" s="32"/>
      <c r="AJ773" t="s">
        <v>9958</v>
      </c>
      <c r="AL773" t="s">
        <v>14037</v>
      </c>
    </row>
    <row r="774" spans="1:38">
      <c r="A774" t="s">
        <v>8258</v>
      </c>
      <c r="B774" t="s">
        <v>12126</v>
      </c>
      <c r="C774" t="s">
        <v>7673</v>
      </c>
      <c r="D774" t="s">
        <v>7674</v>
      </c>
      <c r="E774" s="2">
        <v>10000</v>
      </c>
      <c r="F774" s="2">
        <v>10000</v>
      </c>
      <c r="G774" s="3">
        <v>43333</v>
      </c>
      <c r="H774" s="4">
        <v>0.59150462962963002</v>
      </c>
      <c r="I774" s="3">
        <v>43334</v>
      </c>
      <c r="J774" s="4">
        <v>0</v>
      </c>
      <c r="K774" s="2">
        <v>0</v>
      </c>
      <c r="L774" t="s">
        <v>5856</v>
      </c>
      <c r="M774" t="s">
        <v>7264</v>
      </c>
      <c r="N774" s="3">
        <v>43336</v>
      </c>
      <c r="O774" s="3">
        <v>43335</v>
      </c>
      <c r="P774" t="s">
        <v>5862</v>
      </c>
      <c r="Q774" t="s">
        <v>8308</v>
      </c>
      <c r="R774" t="s">
        <v>6036</v>
      </c>
      <c r="S774" s="3">
        <v>43336</v>
      </c>
      <c r="T774" t="s">
        <v>9938</v>
      </c>
      <c r="U774" t="s">
        <v>6052</v>
      </c>
      <c r="V774" t="s">
        <v>5965</v>
      </c>
      <c r="W774" t="s">
        <v>5857</v>
      </c>
      <c r="X774" s="2">
        <v>1020</v>
      </c>
      <c r="Y774" t="s">
        <v>5858</v>
      </c>
      <c r="Z774" t="s">
        <v>6037</v>
      </c>
      <c r="AA774" s="2">
        <v>10000</v>
      </c>
      <c r="AB774" t="s">
        <v>5863</v>
      </c>
      <c r="AC774" t="s">
        <v>9974</v>
      </c>
      <c r="AD774" s="32"/>
      <c r="AJ774" t="s">
        <v>9958</v>
      </c>
      <c r="AL774" t="s">
        <v>10991</v>
      </c>
    </row>
    <row r="775" spans="1:38">
      <c r="A775" t="s">
        <v>8258</v>
      </c>
      <c r="B775" t="s">
        <v>12127</v>
      </c>
      <c r="C775" t="s">
        <v>8304</v>
      </c>
      <c r="D775" t="s">
        <v>8305</v>
      </c>
      <c r="E775" s="2">
        <v>10300</v>
      </c>
      <c r="F775" s="2">
        <v>10300</v>
      </c>
      <c r="G775" s="3">
        <v>43337</v>
      </c>
      <c r="H775" s="4">
        <v>0.57924768518518999</v>
      </c>
      <c r="I775" s="3">
        <v>43338</v>
      </c>
      <c r="J775" s="4">
        <v>0</v>
      </c>
      <c r="K775" s="2">
        <v>20</v>
      </c>
      <c r="L775" t="s">
        <v>5856</v>
      </c>
      <c r="M775" t="s">
        <v>8165</v>
      </c>
      <c r="N775" s="3">
        <v>43340</v>
      </c>
      <c r="O775" s="3">
        <v>43339</v>
      </c>
      <c r="P775" t="s">
        <v>5911</v>
      </c>
      <c r="Q775" t="s">
        <v>8309</v>
      </c>
      <c r="R775" t="s">
        <v>6036</v>
      </c>
      <c r="S775" s="3">
        <v>43340</v>
      </c>
      <c r="T775" t="s">
        <v>9938</v>
      </c>
      <c r="U775" t="s">
        <v>8154</v>
      </c>
      <c r="V775" t="s">
        <v>8307</v>
      </c>
      <c r="W775" t="s">
        <v>5857</v>
      </c>
      <c r="X775" s="2">
        <v>1020</v>
      </c>
      <c r="Y775" t="s">
        <v>5858</v>
      </c>
      <c r="Z775" t="s">
        <v>6037</v>
      </c>
      <c r="AA775" s="2">
        <v>10000</v>
      </c>
      <c r="AB775" t="s">
        <v>5863</v>
      </c>
      <c r="AC775" t="s">
        <v>9974</v>
      </c>
      <c r="AD775" s="32"/>
      <c r="AI775" t="s">
        <v>9939</v>
      </c>
      <c r="AJ775" t="s">
        <v>9958</v>
      </c>
      <c r="AL775" t="s">
        <v>14038</v>
      </c>
    </row>
    <row r="776" spans="1:38">
      <c r="A776" t="s">
        <v>8258</v>
      </c>
      <c r="B776" t="s">
        <v>12128</v>
      </c>
      <c r="C776" t="s">
        <v>8280</v>
      </c>
      <c r="D776" t="s">
        <v>8281</v>
      </c>
      <c r="E776" s="2">
        <v>2000</v>
      </c>
      <c r="F776" s="2">
        <v>2000</v>
      </c>
      <c r="G776" s="3">
        <v>43351</v>
      </c>
      <c r="H776" s="4">
        <v>0.91829861111111</v>
      </c>
      <c r="I776" s="3">
        <v>43352</v>
      </c>
      <c r="J776" s="4">
        <v>0</v>
      </c>
      <c r="K776" s="2">
        <v>20</v>
      </c>
      <c r="L776" t="s">
        <v>5856</v>
      </c>
      <c r="M776" t="s">
        <v>8079</v>
      </c>
      <c r="N776" s="3">
        <v>43354</v>
      </c>
      <c r="O776" s="3">
        <v>43353</v>
      </c>
      <c r="P776" t="s">
        <v>5883</v>
      </c>
      <c r="Q776" t="s">
        <v>8310</v>
      </c>
      <c r="R776" t="s">
        <v>6036</v>
      </c>
      <c r="S776" s="3">
        <v>43354</v>
      </c>
      <c r="T776" t="s">
        <v>9938</v>
      </c>
      <c r="U776" t="s">
        <v>8090</v>
      </c>
      <c r="V776" t="s">
        <v>8283</v>
      </c>
      <c r="W776" t="s">
        <v>5857</v>
      </c>
      <c r="X776" s="2">
        <v>1020</v>
      </c>
      <c r="Y776" t="s">
        <v>5858</v>
      </c>
      <c r="Z776" t="s">
        <v>6037</v>
      </c>
      <c r="AA776" s="2">
        <v>2000</v>
      </c>
      <c r="AB776" t="s">
        <v>5863</v>
      </c>
      <c r="AC776" t="s">
        <v>9978</v>
      </c>
      <c r="AD776" s="32"/>
      <c r="AI776" t="s">
        <v>9949</v>
      </c>
      <c r="AJ776" t="s">
        <v>9958</v>
      </c>
      <c r="AL776" t="s">
        <v>10993</v>
      </c>
    </row>
    <row r="777" spans="1:38">
      <c r="A777" t="s">
        <v>8311</v>
      </c>
      <c r="B777" t="s">
        <v>12129</v>
      </c>
      <c r="C777" t="s">
        <v>6461</v>
      </c>
      <c r="D777" t="s">
        <v>6462</v>
      </c>
      <c r="E777" s="2">
        <v>600</v>
      </c>
      <c r="F777" s="2">
        <v>20600</v>
      </c>
      <c r="G777" s="3">
        <v>43278</v>
      </c>
      <c r="H777" s="4">
        <v>0.98244212962962996</v>
      </c>
      <c r="I777" s="3">
        <v>43279</v>
      </c>
      <c r="J777" s="4">
        <v>0.82394675925925998</v>
      </c>
      <c r="K777" s="2">
        <v>0</v>
      </c>
      <c r="L777" t="s">
        <v>5856</v>
      </c>
      <c r="M777" t="s">
        <v>8151</v>
      </c>
      <c r="N777" s="3">
        <v>43280</v>
      </c>
      <c r="O777" s="3">
        <v>43281</v>
      </c>
      <c r="P777" t="s">
        <v>5904</v>
      </c>
      <c r="Q777" t="s">
        <v>6038</v>
      </c>
      <c r="R777" t="s">
        <v>6039</v>
      </c>
      <c r="S777" s="3"/>
      <c r="T777" t="s">
        <v>9938</v>
      </c>
      <c r="U777" t="s">
        <v>6463</v>
      </c>
      <c r="V777" t="s">
        <v>6048</v>
      </c>
      <c r="W777" t="s">
        <v>5857</v>
      </c>
      <c r="X777" s="2">
        <v>1020</v>
      </c>
      <c r="Y777" t="s">
        <v>5858</v>
      </c>
      <c r="Z777" t="s">
        <v>6037</v>
      </c>
      <c r="AA777" s="2">
        <v>0</v>
      </c>
      <c r="AB777" t="s">
        <v>5859</v>
      </c>
      <c r="AC777" t="s">
        <v>9974</v>
      </c>
      <c r="AD777" s="32">
        <v>43252</v>
      </c>
      <c r="AJ777" t="s">
        <v>9959</v>
      </c>
      <c r="AL777" t="s">
        <v>10994</v>
      </c>
    </row>
    <row r="778" spans="1:38">
      <c r="A778" t="s">
        <v>8311</v>
      </c>
      <c r="B778" t="s">
        <v>12130</v>
      </c>
      <c r="C778" t="s">
        <v>6461</v>
      </c>
      <c r="D778" t="s">
        <v>6462</v>
      </c>
      <c r="E778" s="2">
        <v>16600</v>
      </c>
      <c r="F778" s="2">
        <v>20600</v>
      </c>
      <c r="G778" s="3">
        <v>43281</v>
      </c>
      <c r="H778" s="4">
        <v>0.16953703703704001</v>
      </c>
      <c r="I778" s="3">
        <v>43282</v>
      </c>
      <c r="J778" s="4">
        <v>1.1041666666670001E-2</v>
      </c>
      <c r="K778" s="2">
        <v>0</v>
      </c>
      <c r="L778" t="s">
        <v>5856</v>
      </c>
      <c r="M778" t="s">
        <v>8151</v>
      </c>
      <c r="N778" s="3">
        <v>43280</v>
      </c>
      <c r="O778" s="3">
        <v>43284</v>
      </c>
      <c r="P778" t="s">
        <v>5904</v>
      </c>
      <c r="Q778" t="s">
        <v>8315</v>
      </c>
      <c r="R778" t="s">
        <v>6044</v>
      </c>
      <c r="S778" s="3">
        <v>43283</v>
      </c>
      <c r="T778" t="s">
        <v>9938</v>
      </c>
      <c r="U778" t="s">
        <v>6463</v>
      </c>
      <c r="V778" t="s">
        <v>6048</v>
      </c>
      <c r="W778" t="s">
        <v>5857</v>
      </c>
      <c r="X778" s="2">
        <v>1020</v>
      </c>
      <c r="Y778" t="s">
        <v>5858</v>
      </c>
      <c r="Z778" t="s">
        <v>6037</v>
      </c>
      <c r="AA778" s="2">
        <v>16000</v>
      </c>
      <c r="AB778" t="s">
        <v>5859</v>
      </c>
      <c r="AC778" t="s">
        <v>9974</v>
      </c>
      <c r="AD778" s="32">
        <v>43252</v>
      </c>
      <c r="AJ778" t="s">
        <v>9959</v>
      </c>
      <c r="AL778" t="s">
        <v>10995</v>
      </c>
    </row>
    <row r="779" spans="1:38">
      <c r="A779" t="s">
        <v>8311</v>
      </c>
      <c r="B779" t="s">
        <v>13262</v>
      </c>
      <c r="C779" t="s">
        <v>8312</v>
      </c>
      <c r="D779" t="s">
        <v>8313</v>
      </c>
      <c r="E779" s="2">
        <v>300</v>
      </c>
      <c r="F779" s="2">
        <v>10300</v>
      </c>
      <c r="G779" s="3">
        <v>43282</v>
      </c>
      <c r="H779" s="4">
        <v>3.1875000000000001E-2</v>
      </c>
      <c r="I779" s="3">
        <v>43282</v>
      </c>
      <c r="J779" s="4">
        <v>0.45262731481481</v>
      </c>
      <c r="K779" s="2">
        <v>0</v>
      </c>
      <c r="L779" t="s">
        <v>5856</v>
      </c>
      <c r="M779" t="s">
        <v>8165</v>
      </c>
      <c r="N779" s="3"/>
      <c r="O779" s="3">
        <v>43284</v>
      </c>
      <c r="P779" t="s">
        <v>8314</v>
      </c>
      <c r="Q779" t="s">
        <v>6038</v>
      </c>
      <c r="R779" t="s">
        <v>6039</v>
      </c>
      <c r="S779" s="3"/>
      <c r="T779" t="s">
        <v>9938</v>
      </c>
      <c r="U779" t="s">
        <v>8150</v>
      </c>
      <c r="V779" t="s">
        <v>5899</v>
      </c>
      <c r="W779" t="s">
        <v>8041</v>
      </c>
      <c r="X779" s="2">
        <v>1020</v>
      </c>
      <c r="Y779" t="s">
        <v>5858</v>
      </c>
      <c r="Z779" t="s">
        <v>6037</v>
      </c>
      <c r="AA779" s="2">
        <v>0</v>
      </c>
      <c r="AB779" t="s">
        <v>5859</v>
      </c>
      <c r="AC779" t="s">
        <v>9977</v>
      </c>
      <c r="AD779" s="32">
        <v>43279</v>
      </c>
      <c r="AJ779" t="s">
        <v>9971</v>
      </c>
      <c r="AL779" t="s">
        <v>14039</v>
      </c>
    </row>
    <row r="780" spans="1:38">
      <c r="A780" t="s">
        <v>8311</v>
      </c>
      <c r="B780" t="s">
        <v>12134</v>
      </c>
      <c r="C780" t="s">
        <v>8324</v>
      </c>
      <c r="D780" t="s">
        <v>8325</v>
      </c>
      <c r="E780" s="2">
        <v>9270</v>
      </c>
      <c r="F780" s="2">
        <v>9270</v>
      </c>
      <c r="G780" s="3">
        <v>43283</v>
      </c>
      <c r="H780" s="4">
        <v>0.33579861111110998</v>
      </c>
      <c r="I780" s="3">
        <v>43283</v>
      </c>
      <c r="J780" s="4">
        <v>0.71447916666667</v>
      </c>
      <c r="K780" s="2">
        <v>0</v>
      </c>
      <c r="L780" t="s">
        <v>5856</v>
      </c>
      <c r="M780" t="s">
        <v>8486</v>
      </c>
      <c r="N780" s="3">
        <v>43286</v>
      </c>
      <c r="O780" s="3">
        <v>43285</v>
      </c>
      <c r="P780" t="s">
        <v>6026</v>
      </c>
      <c r="Q780" t="s">
        <v>8327</v>
      </c>
      <c r="R780" t="s">
        <v>6036</v>
      </c>
      <c r="S780" s="3">
        <v>43286</v>
      </c>
      <c r="T780" t="s">
        <v>9938</v>
      </c>
      <c r="U780" t="s">
        <v>5933</v>
      </c>
      <c r="V780" t="s">
        <v>8328</v>
      </c>
      <c r="W780" t="s">
        <v>5857</v>
      </c>
      <c r="X780" s="2">
        <v>1020</v>
      </c>
      <c r="Y780" t="s">
        <v>5858</v>
      </c>
      <c r="Z780" t="s">
        <v>6037</v>
      </c>
      <c r="AA780" s="2">
        <v>9000</v>
      </c>
      <c r="AB780" t="s">
        <v>5859</v>
      </c>
      <c r="AC780" t="s">
        <v>9976</v>
      </c>
      <c r="AD780" s="32">
        <v>43262</v>
      </c>
      <c r="AJ780" t="s">
        <v>9958</v>
      </c>
      <c r="AL780" t="s">
        <v>14040</v>
      </c>
    </row>
    <row r="781" spans="1:38">
      <c r="A781" t="s">
        <v>8311</v>
      </c>
      <c r="B781" t="s">
        <v>12133</v>
      </c>
      <c r="C781" t="s">
        <v>8319</v>
      </c>
      <c r="D781" t="s">
        <v>8320</v>
      </c>
      <c r="E781" s="2">
        <v>10300</v>
      </c>
      <c r="F781" s="2">
        <v>10300</v>
      </c>
      <c r="G781" s="3">
        <v>43283</v>
      </c>
      <c r="H781" s="4">
        <v>0.73531250000000004</v>
      </c>
      <c r="I781" s="3">
        <v>43284</v>
      </c>
      <c r="J781" s="4">
        <v>0.15606481481480999</v>
      </c>
      <c r="K781" s="2">
        <v>20</v>
      </c>
      <c r="L781" t="s">
        <v>5856</v>
      </c>
      <c r="M781" t="s">
        <v>8165</v>
      </c>
      <c r="N781" s="3">
        <v>43284</v>
      </c>
      <c r="O781" s="3">
        <v>43286</v>
      </c>
      <c r="P781" t="s">
        <v>5921</v>
      </c>
      <c r="Q781" t="s">
        <v>8321</v>
      </c>
      <c r="R781" t="s">
        <v>6036</v>
      </c>
      <c r="S781" s="3">
        <v>43285</v>
      </c>
      <c r="T781" t="s">
        <v>9938</v>
      </c>
      <c r="U781" t="s">
        <v>8322</v>
      </c>
      <c r="V781" t="s">
        <v>8323</v>
      </c>
      <c r="W781" t="s">
        <v>5857</v>
      </c>
      <c r="X781" s="2">
        <v>1020</v>
      </c>
      <c r="Y781" t="s">
        <v>5858</v>
      </c>
      <c r="Z781" t="s">
        <v>6037</v>
      </c>
      <c r="AA781" s="2">
        <v>10000</v>
      </c>
      <c r="AB781" t="s">
        <v>5859</v>
      </c>
      <c r="AC781" t="s">
        <v>9976</v>
      </c>
      <c r="AD781" s="32">
        <v>43262</v>
      </c>
      <c r="AJ781" t="s">
        <v>9958</v>
      </c>
      <c r="AL781" t="s">
        <v>14041</v>
      </c>
    </row>
    <row r="782" spans="1:38">
      <c r="A782" t="s">
        <v>8311</v>
      </c>
      <c r="B782" t="s">
        <v>12139</v>
      </c>
      <c r="C782" t="s">
        <v>8346</v>
      </c>
      <c r="D782" t="s">
        <v>8347</v>
      </c>
      <c r="E782" s="2">
        <v>10300</v>
      </c>
      <c r="F782" s="2">
        <v>10300</v>
      </c>
      <c r="G782" s="3">
        <v>43284</v>
      </c>
      <c r="H782" s="4">
        <v>0.17689814814815</v>
      </c>
      <c r="I782" s="3">
        <v>43284</v>
      </c>
      <c r="J782" s="4">
        <v>0.59765046296295998</v>
      </c>
      <c r="K782" s="2">
        <v>20</v>
      </c>
      <c r="L782" t="s">
        <v>5856</v>
      </c>
      <c r="M782" t="s">
        <v>8165</v>
      </c>
      <c r="N782" s="3">
        <v>43284</v>
      </c>
      <c r="O782" s="3">
        <v>43286</v>
      </c>
      <c r="P782" t="s">
        <v>5862</v>
      </c>
      <c r="Q782" t="s">
        <v>8348</v>
      </c>
      <c r="R782" t="s">
        <v>6036</v>
      </c>
      <c r="S782" s="3">
        <v>43298</v>
      </c>
      <c r="T782" t="s">
        <v>9938</v>
      </c>
      <c r="U782" t="s">
        <v>8349</v>
      </c>
      <c r="V782" t="s">
        <v>8350</v>
      </c>
      <c r="W782" t="s">
        <v>5857</v>
      </c>
      <c r="X782" s="2">
        <v>1020</v>
      </c>
      <c r="Y782" t="s">
        <v>5858</v>
      </c>
      <c r="Z782" t="s">
        <v>6037</v>
      </c>
      <c r="AA782" s="2">
        <v>10000</v>
      </c>
      <c r="AB782" t="s">
        <v>5859</v>
      </c>
      <c r="AC782" t="s">
        <v>9974</v>
      </c>
      <c r="AD782" s="32">
        <v>43179</v>
      </c>
      <c r="AJ782" t="s">
        <v>9958</v>
      </c>
      <c r="AL782" t="s">
        <v>14042</v>
      </c>
    </row>
    <row r="783" spans="1:38">
      <c r="A783" t="s">
        <v>8311</v>
      </c>
      <c r="B783" t="s">
        <v>12131</v>
      </c>
      <c r="C783" t="s">
        <v>6461</v>
      </c>
      <c r="D783" t="s">
        <v>6462</v>
      </c>
      <c r="E783" s="2">
        <v>20600</v>
      </c>
      <c r="F783" s="2">
        <v>20600</v>
      </c>
      <c r="G783" s="3">
        <v>43284</v>
      </c>
      <c r="H783" s="4">
        <v>0.61848379629630001</v>
      </c>
      <c r="I783" s="3">
        <v>43285</v>
      </c>
      <c r="J783" s="4">
        <v>0.45998842592592998</v>
      </c>
      <c r="K783" s="2">
        <v>4</v>
      </c>
      <c r="L783" t="s">
        <v>5856</v>
      </c>
      <c r="M783" t="s">
        <v>8151</v>
      </c>
      <c r="N783" s="3">
        <v>43280</v>
      </c>
      <c r="O783" s="3">
        <v>43287</v>
      </c>
      <c r="P783" t="s">
        <v>5904</v>
      </c>
      <c r="Q783" t="s">
        <v>6038</v>
      </c>
      <c r="R783" t="s">
        <v>6039</v>
      </c>
      <c r="S783" s="3"/>
      <c r="T783" t="s">
        <v>9938</v>
      </c>
      <c r="U783" t="s">
        <v>6463</v>
      </c>
      <c r="V783" t="s">
        <v>6048</v>
      </c>
      <c r="W783" t="s">
        <v>5857</v>
      </c>
      <c r="X783" s="2">
        <v>1020</v>
      </c>
      <c r="Y783" t="s">
        <v>5858</v>
      </c>
      <c r="Z783" t="s">
        <v>6037</v>
      </c>
      <c r="AA783" s="2">
        <v>20000</v>
      </c>
      <c r="AB783" t="s">
        <v>5863</v>
      </c>
      <c r="AC783" t="s">
        <v>9974</v>
      </c>
      <c r="AD783" s="32">
        <v>43252</v>
      </c>
      <c r="AJ783" t="s">
        <v>9959</v>
      </c>
      <c r="AL783" t="s">
        <v>10996</v>
      </c>
    </row>
    <row r="784" spans="1:38">
      <c r="A784" t="s">
        <v>8311</v>
      </c>
      <c r="B784" t="s">
        <v>12132</v>
      </c>
      <c r="C784" t="s">
        <v>8316</v>
      </c>
      <c r="D784" t="s">
        <v>8317</v>
      </c>
      <c r="E784" s="2">
        <v>2060</v>
      </c>
      <c r="F784" s="2">
        <v>2060</v>
      </c>
      <c r="G784" s="3">
        <v>43285</v>
      </c>
      <c r="H784" s="4">
        <v>0.48082175925926002</v>
      </c>
      <c r="I784" s="3">
        <v>43285</v>
      </c>
      <c r="J784" s="4">
        <v>0.56497685185184998</v>
      </c>
      <c r="K784" s="2">
        <v>4</v>
      </c>
      <c r="L784" t="s">
        <v>5856</v>
      </c>
      <c r="M784" t="s">
        <v>8234</v>
      </c>
      <c r="N784" s="3">
        <v>43286</v>
      </c>
      <c r="O784" s="3">
        <v>43287</v>
      </c>
      <c r="P784" t="s">
        <v>5929</v>
      </c>
      <c r="Q784" t="s">
        <v>8318</v>
      </c>
      <c r="R784" t="s">
        <v>6036</v>
      </c>
      <c r="S784" s="3">
        <v>43286</v>
      </c>
      <c r="T784" t="s">
        <v>9938</v>
      </c>
      <c r="U784" t="s">
        <v>7127</v>
      </c>
      <c r="V784" t="s">
        <v>8259</v>
      </c>
      <c r="W784" t="s">
        <v>5857</v>
      </c>
      <c r="X784" s="2">
        <v>1020</v>
      </c>
      <c r="Y784" t="s">
        <v>5858</v>
      </c>
      <c r="Z784" t="s">
        <v>6037</v>
      </c>
      <c r="AA784" s="2">
        <v>2000</v>
      </c>
      <c r="AB784" t="s">
        <v>5859</v>
      </c>
      <c r="AC784" t="s">
        <v>9976</v>
      </c>
      <c r="AD784" s="32">
        <v>43270</v>
      </c>
      <c r="AJ784" t="s">
        <v>9958</v>
      </c>
      <c r="AL784" t="s">
        <v>10997</v>
      </c>
    </row>
    <row r="785" spans="1:38">
      <c r="A785" t="s">
        <v>8311</v>
      </c>
      <c r="B785" t="s">
        <v>12137</v>
      </c>
      <c r="C785" t="s">
        <v>8338</v>
      </c>
      <c r="D785" t="s">
        <v>8339</v>
      </c>
      <c r="E785" s="2">
        <v>5150</v>
      </c>
      <c r="F785" s="2">
        <v>5150</v>
      </c>
      <c r="G785" s="3">
        <v>43287</v>
      </c>
      <c r="H785" s="4">
        <v>2.0833333333330002E-2</v>
      </c>
      <c r="I785" s="3">
        <v>43287</v>
      </c>
      <c r="J785" s="4">
        <v>0.2312037037037</v>
      </c>
      <c r="K785" s="2">
        <v>20</v>
      </c>
      <c r="L785" t="s">
        <v>5856</v>
      </c>
      <c r="M785" t="s">
        <v>8159</v>
      </c>
      <c r="N785" s="3">
        <v>43290</v>
      </c>
      <c r="O785" s="3">
        <v>43289</v>
      </c>
      <c r="P785" t="s">
        <v>5925</v>
      </c>
      <c r="Q785" t="s">
        <v>8340</v>
      </c>
      <c r="R785" t="s">
        <v>6036</v>
      </c>
      <c r="S785" s="3">
        <v>43292</v>
      </c>
      <c r="T785" t="s">
        <v>9938</v>
      </c>
      <c r="U785" t="s">
        <v>5917</v>
      </c>
      <c r="V785" t="s">
        <v>8341</v>
      </c>
      <c r="W785" t="s">
        <v>5857</v>
      </c>
      <c r="X785" s="2">
        <v>1020</v>
      </c>
      <c r="Y785" t="s">
        <v>5858</v>
      </c>
      <c r="Z785" t="s">
        <v>6037</v>
      </c>
      <c r="AA785" s="2">
        <v>5150</v>
      </c>
      <c r="AB785" t="s">
        <v>5859</v>
      </c>
      <c r="AC785" t="s">
        <v>9976</v>
      </c>
      <c r="AD785" s="32">
        <v>43269</v>
      </c>
      <c r="AJ785" t="s">
        <v>9958</v>
      </c>
      <c r="AL785" t="s">
        <v>14043</v>
      </c>
    </row>
    <row r="786" spans="1:38">
      <c r="A786" t="s">
        <v>8311</v>
      </c>
      <c r="B786" t="s">
        <v>12135</v>
      </c>
      <c r="C786" t="s">
        <v>7425</v>
      </c>
      <c r="D786" t="s">
        <v>7426</v>
      </c>
      <c r="E786" s="2">
        <v>20600</v>
      </c>
      <c r="F786" s="2">
        <v>20600</v>
      </c>
      <c r="G786" s="3">
        <v>43287</v>
      </c>
      <c r="H786" s="4">
        <v>0.25203703703704</v>
      </c>
      <c r="I786" s="3">
        <v>43288</v>
      </c>
      <c r="J786" s="4">
        <v>9.3541666666670006E-2</v>
      </c>
      <c r="K786" s="2">
        <v>20</v>
      </c>
      <c r="L786" t="s">
        <v>5856</v>
      </c>
      <c r="M786" t="s">
        <v>8151</v>
      </c>
      <c r="N786" s="3">
        <v>43291</v>
      </c>
      <c r="O786" s="3">
        <v>43290</v>
      </c>
      <c r="P786" t="s">
        <v>5930</v>
      </c>
      <c r="Q786" t="s">
        <v>8329</v>
      </c>
      <c r="R786" t="s">
        <v>6036</v>
      </c>
      <c r="S786" s="3">
        <v>43291</v>
      </c>
      <c r="T786" t="s">
        <v>9938</v>
      </c>
      <c r="U786" t="s">
        <v>5903</v>
      </c>
      <c r="V786" t="s">
        <v>7428</v>
      </c>
      <c r="W786" t="s">
        <v>5857</v>
      </c>
      <c r="X786" s="2">
        <v>1020</v>
      </c>
      <c r="Y786" t="s">
        <v>5858</v>
      </c>
      <c r="Z786" t="s">
        <v>6037</v>
      </c>
      <c r="AA786" s="2">
        <v>20000</v>
      </c>
      <c r="AB786" t="s">
        <v>5859</v>
      </c>
      <c r="AC786" t="s">
        <v>9974</v>
      </c>
      <c r="AD786" s="32">
        <v>43223</v>
      </c>
      <c r="AI786" t="s">
        <v>9943</v>
      </c>
      <c r="AJ786" t="s">
        <v>9959</v>
      </c>
      <c r="AL786" t="s">
        <v>10998</v>
      </c>
    </row>
    <row r="787" spans="1:38">
      <c r="A787" t="s">
        <v>8311</v>
      </c>
      <c r="B787" t="s">
        <v>12136</v>
      </c>
      <c r="C787" t="s">
        <v>8334</v>
      </c>
      <c r="D787" t="s">
        <v>8335</v>
      </c>
      <c r="E787" s="2">
        <v>20600</v>
      </c>
      <c r="F787" s="2">
        <v>20600</v>
      </c>
      <c r="G787" s="3">
        <v>43289</v>
      </c>
      <c r="H787" s="4">
        <v>2.0833333333330002E-2</v>
      </c>
      <c r="I787" s="3">
        <v>43289</v>
      </c>
      <c r="J787" s="4">
        <v>0.86233796296295995</v>
      </c>
      <c r="K787" s="2">
        <v>20</v>
      </c>
      <c r="L787" t="s">
        <v>5856</v>
      </c>
      <c r="M787" t="s">
        <v>8151</v>
      </c>
      <c r="N787" s="3">
        <v>43291</v>
      </c>
      <c r="O787" s="3">
        <v>43291</v>
      </c>
      <c r="P787" t="s">
        <v>5930</v>
      </c>
      <c r="Q787" t="s">
        <v>8336</v>
      </c>
      <c r="R787" t="s">
        <v>6036</v>
      </c>
      <c r="S787" s="3">
        <v>43291</v>
      </c>
      <c r="T787" t="s">
        <v>9938</v>
      </c>
      <c r="U787" t="s">
        <v>5903</v>
      </c>
      <c r="V787" t="s">
        <v>8337</v>
      </c>
      <c r="W787" t="s">
        <v>5857</v>
      </c>
      <c r="X787" s="2">
        <v>1020</v>
      </c>
      <c r="Y787" t="s">
        <v>5858</v>
      </c>
      <c r="Z787" t="s">
        <v>6037</v>
      </c>
      <c r="AA787" s="2">
        <v>20000</v>
      </c>
      <c r="AB787" t="s">
        <v>5859</v>
      </c>
      <c r="AC787" t="s">
        <v>9974</v>
      </c>
      <c r="AD787" s="32">
        <v>43223</v>
      </c>
      <c r="AI787" t="s">
        <v>9943</v>
      </c>
      <c r="AJ787" t="s">
        <v>9959</v>
      </c>
      <c r="AL787" t="s">
        <v>10999</v>
      </c>
    </row>
    <row r="788" spans="1:38">
      <c r="A788" t="s">
        <v>8311</v>
      </c>
      <c r="B788" t="s">
        <v>12140</v>
      </c>
      <c r="C788" t="s">
        <v>8351</v>
      </c>
      <c r="D788" t="s">
        <v>8352</v>
      </c>
      <c r="E788" s="2">
        <v>20000</v>
      </c>
      <c r="F788" s="2">
        <v>20000</v>
      </c>
      <c r="G788" s="3">
        <v>43294</v>
      </c>
      <c r="H788" s="4">
        <v>0.99998842592592996</v>
      </c>
      <c r="I788" s="3">
        <v>43295</v>
      </c>
      <c r="J788" s="4">
        <v>0.81697916666667003</v>
      </c>
      <c r="K788" s="2">
        <v>0</v>
      </c>
      <c r="L788" t="s">
        <v>5856</v>
      </c>
      <c r="M788" t="s">
        <v>8072</v>
      </c>
      <c r="N788" s="3">
        <v>43307</v>
      </c>
      <c r="O788" s="3">
        <v>43295</v>
      </c>
      <c r="P788" t="s">
        <v>7136</v>
      </c>
      <c r="Q788" t="s">
        <v>8353</v>
      </c>
      <c r="R788" t="s">
        <v>6036</v>
      </c>
      <c r="S788" s="3">
        <v>43307</v>
      </c>
      <c r="T788" t="s">
        <v>9938</v>
      </c>
      <c r="U788" t="s">
        <v>5927</v>
      </c>
      <c r="V788" t="s">
        <v>8354</v>
      </c>
      <c r="W788" t="s">
        <v>6038</v>
      </c>
      <c r="X788" s="2">
        <v>1020</v>
      </c>
      <c r="Y788" t="s">
        <v>5858</v>
      </c>
      <c r="Z788" t="s">
        <v>6037</v>
      </c>
      <c r="AA788" s="2">
        <v>20000</v>
      </c>
      <c r="AB788" t="s">
        <v>5863</v>
      </c>
      <c r="AC788" t="s">
        <v>9974</v>
      </c>
      <c r="AD788" s="32">
        <v>43182</v>
      </c>
      <c r="AJ788" t="s">
        <v>9959</v>
      </c>
      <c r="AL788" t="s">
        <v>14044</v>
      </c>
    </row>
    <row r="789" spans="1:38">
      <c r="A789" t="s">
        <v>8311</v>
      </c>
      <c r="B789" t="s">
        <v>12141</v>
      </c>
      <c r="C789" t="s">
        <v>8355</v>
      </c>
      <c r="D789" t="s">
        <v>8356</v>
      </c>
      <c r="E789" s="2">
        <v>5000</v>
      </c>
      <c r="F789" s="2">
        <v>5000</v>
      </c>
      <c r="G789" s="3">
        <v>43295</v>
      </c>
      <c r="H789" s="4">
        <v>0.56454861111110999</v>
      </c>
      <c r="I789" s="3">
        <v>43295</v>
      </c>
      <c r="J789" s="4">
        <v>0.76879629629629997</v>
      </c>
      <c r="K789" s="2">
        <v>20</v>
      </c>
      <c r="L789" t="s">
        <v>5856</v>
      </c>
      <c r="M789" t="s">
        <v>7277</v>
      </c>
      <c r="N789" s="3">
        <v>43298</v>
      </c>
      <c r="O789" s="3">
        <v>43297</v>
      </c>
      <c r="P789" t="s">
        <v>5898</v>
      </c>
      <c r="Q789" t="s">
        <v>8357</v>
      </c>
      <c r="R789" t="s">
        <v>6036</v>
      </c>
      <c r="S789" s="3">
        <v>43298</v>
      </c>
      <c r="T789" t="s">
        <v>9938</v>
      </c>
      <c r="U789" t="s">
        <v>8322</v>
      </c>
      <c r="V789" t="s">
        <v>8358</v>
      </c>
      <c r="W789" t="s">
        <v>5857</v>
      </c>
      <c r="X789" s="2">
        <v>1020</v>
      </c>
      <c r="Y789" t="s">
        <v>5858</v>
      </c>
      <c r="Z789" t="s">
        <v>6037</v>
      </c>
      <c r="AA789" s="2">
        <v>5000</v>
      </c>
      <c r="AB789" t="s">
        <v>5863</v>
      </c>
      <c r="AC789" t="s">
        <v>9976</v>
      </c>
      <c r="AD789" s="32">
        <v>43277</v>
      </c>
      <c r="AJ789" t="s">
        <v>9958</v>
      </c>
      <c r="AL789" t="s">
        <v>11000</v>
      </c>
    </row>
    <row r="790" spans="1:38">
      <c r="A790" t="s">
        <v>8311</v>
      </c>
      <c r="B790" t="s">
        <v>13263</v>
      </c>
      <c r="C790" t="s">
        <v>8807</v>
      </c>
      <c r="D790" t="s">
        <v>8808</v>
      </c>
      <c r="E790" s="2">
        <v>10300</v>
      </c>
      <c r="F790" s="2">
        <v>10300</v>
      </c>
      <c r="G790" s="3">
        <v>43296</v>
      </c>
      <c r="H790" s="4">
        <v>9.0277777777779997E-2</v>
      </c>
      <c r="I790" s="3">
        <v>43296</v>
      </c>
      <c r="J790" s="4">
        <v>0.51103009259259002</v>
      </c>
      <c r="K790" s="2">
        <v>20</v>
      </c>
      <c r="L790" t="s">
        <v>5856</v>
      </c>
      <c r="M790" t="s">
        <v>8165</v>
      </c>
      <c r="N790" s="3">
        <v>43301</v>
      </c>
      <c r="O790" s="3">
        <v>43298</v>
      </c>
      <c r="P790" t="s">
        <v>5898</v>
      </c>
      <c r="Q790" t="s">
        <v>13264</v>
      </c>
      <c r="R790" t="s">
        <v>6036</v>
      </c>
      <c r="S790" s="3">
        <v>43301</v>
      </c>
      <c r="T790" t="s">
        <v>9938</v>
      </c>
      <c r="U790" t="s">
        <v>7490</v>
      </c>
      <c r="V790" t="s">
        <v>8811</v>
      </c>
      <c r="W790" t="s">
        <v>5857</v>
      </c>
      <c r="X790" s="2">
        <v>1020</v>
      </c>
      <c r="Y790" t="s">
        <v>5858</v>
      </c>
      <c r="Z790" t="s">
        <v>6037</v>
      </c>
      <c r="AA790" s="2">
        <v>10000</v>
      </c>
      <c r="AB790" t="s">
        <v>5863</v>
      </c>
      <c r="AC790" t="s">
        <v>9976</v>
      </c>
      <c r="AD790" s="32">
        <v>43280</v>
      </c>
      <c r="AJ790" t="s">
        <v>9957</v>
      </c>
      <c r="AL790" t="s">
        <v>14045</v>
      </c>
    </row>
    <row r="791" spans="1:38">
      <c r="A791" t="s">
        <v>8311</v>
      </c>
      <c r="B791" t="s">
        <v>12143</v>
      </c>
      <c r="C791" t="s">
        <v>8363</v>
      </c>
      <c r="D791" t="s">
        <v>8364</v>
      </c>
      <c r="E791" s="2">
        <v>4120</v>
      </c>
      <c r="F791" s="2">
        <v>4120</v>
      </c>
      <c r="G791" s="3">
        <v>43296</v>
      </c>
      <c r="H791" s="4">
        <v>0.53186342592592994</v>
      </c>
      <c r="I791" s="3">
        <v>43296</v>
      </c>
      <c r="J791" s="4">
        <v>0.70016203703704005</v>
      </c>
      <c r="K791" s="2">
        <v>20</v>
      </c>
      <c r="L791" t="s">
        <v>5856</v>
      </c>
      <c r="M791" t="s">
        <v>6536</v>
      </c>
      <c r="N791" s="3">
        <v>43299</v>
      </c>
      <c r="O791" s="3">
        <v>43298</v>
      </c>
      <c r="P791" t="s">
        <v>8365</v>
      </c>
      <c r="Q791" t="s">
        <v>8366</v>
      </c>
      <c r="R791" t="s">
        <v>6036</v>
      </c>
      <c r="S791" s="3">
        <v>43299</v>
      </c>
      <c r="T791" t="s">
        <v>9938</v>
      </c>
      <c r="U791" t="s">
        <v>8322</v>
      </c>
      <c r="V791" t="s">
        <v>8367</v>
      </c>
      <c r="W791" t="s">
        <v>6038</v>
      </c>
      <c r="X791" s="2">
        <v>1020</v>
      </c>
      <c r="Y791" t="s">
        <v>5858</v>
      </c>
      <c r="Z791" t="s">
        <v>6037</v>
      </c>
      <c r="AA791" s="2">
        <v>4000</v>
      </c>
      <c r="AB791" t="s">
        <v>5863</v>
      </c>
      <c r="AC791" t="s">
        <v>9976</v>
      </c>
      <c r="AD791" s="32">
        <v>43278</v>
      </c>
      <c r="AJ791" t="s">
        <v>9958</v>
      </c>
      <c r="AL791" t="s">
        <v>11002</v>
      </c>
    </row>
    <row r="792" spans="1:38">
      <c r="A792" t="s">
        <v>8311</v>
      </c>
      <c r="B792" t="s">
        <v>12144</v>
      </c>
      <c r="C792" t="s">
        <v>8312</v>
      </c>
      <c r="D792" t="s">
        <v>8313</v>
      </c>
      <c r="E792" s="2">
        <v>10000</v>
      </c>
      <c r="F792" s="2">
        <v>10000</v>
      </c>
      <c r="G792" s="3">
        <v>43296</v>
      </c>
      <c r="H792" s="4">
        <v>0.72099537037036998</v>
      </c>
      <c r="I792" s="3">
        <v>43297</v>
      </c>
      <c r="J792" s="4">
        <v>0.12949074074073999</v>
      </c>
      <c r="K792" s="2">
        <v>0</v>
      </c>
      <c r="L792" t="s">
        <v>5856</v>
      </c>
      <c r="M792" t="s">
        <v>7264</v>
      </c>
      <c r="N792" s="3">
        <v>43298</v>
      </c>
      <c r="O792" s="3">
        <v>43299</v>
      </c>
      <c r="P792" t="s">
        <v>8314</v>
      </c>
      <c r="Q792" t="s">
        <v>13265</v>
      </c>
      <c r="R792" t="s">
        <v>13266</v>
      </c>
      <c r="S792" s="3">
        <v>43323</v>
      </c>
      <c r="T792" t="s">
        <v>9938</v>
      </c>
      <c r="U792" t="s">
        <v>8150</v>
      </c>
      <c r="V792" t="s">
        <v>5899</v>
      </c>
      <c r="W792" t="s">
        <v>8041</v>
      </c>
      <c r="X792" s="2">
        <v>0</v>
      </c>
      <c r="Y792" t="s">
        <v>5858</v>
      </c>
      <c r="Z792" t="s">
        <v>6037</v>
      </c>
      <c r="AA792" s="2">
        <v>10000</v>
      </c>
      <c r="AB792" t="s">
        <v>5861</v>
      </c>
      <c r="AC792" t="s">
        <v>9977</v>
      </c>
      <c r="AD792" s="32"/>
      <c r="AJ792" t="s">
        <v>9971</v>
      </c>
      <c r="AL792" t="s">
        <v>14046</v>
      </c>
    </row>
    <row r="793" spans="1:38">
      <c r="A793" t="s">
        <v>8311</v>
      </c>
      <c r="B793" t="s">
        <v>13267</v>
      </c>
      <c r="C793" t="s">
        <v>8316</v>
      </c>
      <c r="D793" t="s">
        <v>8317</v>
      </c>
      <c r="E793" s="2">
        <v>5150</v>
      </c>
      <c r="F793" s="2">
        <v>5150</v>
      </c>
      <c r="G793" s="3">
        <v>43297</v>
      </c>
      <c r="H793" s="4">
        <v>0.45098379629629998</v>
      </c>
      <c r="I793" s="3">
        <v>43297</v>
      </c>
      <c r="J793" s="4">
        <v>0.66135416666667002</v>
      </c>
      <c r="K793" s="2">
        <v>0</v>
      </c>
      <c r="L793" t="s">
        <v>5856</v>
      </c>
      <c r="M793" t="s">
        <v>8159</v>
      </c>
      <c r="N793" s="3">
        <v>43300</v>
      </c>
      <c r="O793" s="3">
        <v>43299</v>
      </c>
      <c r="P793" t="s">
        <v>5929</v>
      </c>
      <c r="Q793" t="s">
        <v>13268</v>
      </c>
      <c r="R793" t="s">
        <v>6036</v>
      </c>
      <c r="S793" s="3">
        <v>43300</v>
      </c>
      <c r="T793" t="s">
        <v>9938</v>
      </c>
      <c r="U793" t="s">
        <v>7127</v>
      </c>
      <c r="V793" t="s">
        <v>8259</v>
      </c>
      <c r="W793" t="s">
        <v>5857</v>
      </c>
      <c r="X793" s="2">
        <v>1020</v>
      </c>
      <c r="Y793" t="s">
        <v>5858</v>
      </c>
      <c r="Z793" t="s">
        <v>6037</v>
      </c>
      <c r="AA793" s="2">
        <v>5000</v>
      </c>
      <c r="AB793" t="s">
        <v>5863</v>
      </c>
      <c r="AC793" t="s">
        <v>9976</v>
      </c>
      <c r="AD793" s="32">
        <v>43279</v>
      </c>
      <c r="AJ793" t="s">
        <v>9958</v>
      </c>
      <c r="AL793" t="s">
        <v>14047</v>
      </c>
    </row>
    <row r="794" spans="1:38">
      <c r="A794" t="s">
        <v>8311</v>
      </c>
      <c r="B794" t="s">
        <v>12145</v>
      </c>
      <c r="C794" t="s">
        <v>8368</v>
      </c>
      <c r="D794" t="s">
        <v>8369</v>
      </c>
      <c r="E794" s="2">
        <v>9000</v>
      </c>
      <c r="F794" s="2">
        <v>9000</v>
      </c>
      <c r="G794" s="3">
        <v>43297</v>
      </c>
      <c r="H794" s="4">
        <v>0.68218749999999995</v>
      </c>
      <c r="I794" s="3">
        <v>43298</v>
      </c>
      <c r="J794" s="4">
        <v>4.9837962962960003E-2</v>
      </c>
      <c r="K794" s="2">
        <v>0</v>
      </c>
      <c r="L794" t="s">
        <v>5856</v>
      </c>
      <c r="M794" t="s">
        <v>8326</v>
      </c>
      <c r="N794" s="3">
        <v>43300</v>
      </c>
      <c r="O794" s="3">
        <v>43300</v>
      </c>
      <c r="P794" t="s">
        <v>5925</v>
      </c>
      <c r="Q794" t="s">
        <v>8370</v>
      </c>
      <c r="R794" t="s">
        <v>6036</v>
      </c>
      <c r="S794" s="3">
        <v>43300</v>
      </c>
      <c r="T794" t="s">
        <v>9938</v>
      </c>
      <c r="U794" t="s">
        <v>8371</v>
      </c>
      <c r="V794" t="s">
        <v>8372</v>
      </c>
      <c r="W794" t="s">
        <v>5857</v>
      </c>
      <c r="X794" s="2">
        <v>1020</v>
      </c>
      <c r="Y794" t="s">
        <v>5858</v>
      </c>
      <c r="Z794" t="s">
        <v>6037</v>
      </c>
      <c r="AA794" s="2">
        <v>9000</v>
      </c>
      <c r="AB794" t="s">
        <v>5863</v>
      </c>
      <c r="AC794" t="s">
        <v>9976</v>
      </c>
      <c r="AD794" s="32">
        <v>43270</v>
      </c>
      <c r="AJ794" t="s">
        <v>9958</v>
      </c>
      <c r="AL794" t="s">
        <v>11003</v>
      </c>
    </row>
    <row r="795" spans="1:38">
      <c r="A795" t="s">
        <v>8311</v>
      </c>
      <c r="B795" t="s">
        <v>12146</v>
      </c>
      <c r="C795" t="s">
        <v>8373</v>
      </c>
      <c r="D795" t="s">
        <v>8374</v>
      </c>
      <c r="E795" s="2">
        <v>2000</v>
      </c>
      <c r="F795" s="2">
        <v>2000</v>
      </c>
      <c r="G795" s="3">
        <v>43298</v>
      </c>
      <c r="H795" s="4">
        <v>7.0671296296300007E-2</v>
      </c>
      <c r="I795" s="3">
        <v>43298</v>
      </c>
      <c r="J795" s="4">
        <v>0.15237268518519001</v>
      </c>
      <c r="K795" s="2">
        <v>20</v>
      </c>
      <c r="L795" t="s">
        <v>5856</v>
      </c>
      <c r="M795" t="s">
        <v>8079</v>
      </c>
      <c r="N795" s="3">
        <v>43300</v>
      </c>
      <c r="O795" s="3">
        <v>43300</v>
      </c>
      <c r="P795" t="s">
        <v>5881</v>
      </c>
      <c r="Q795" t="s">
        <v>8375</v>
      </c>
      <c r="R795" t="s">
        <v>6036</v>
      </c>
      <c r="S795" s="3">
        <v>43300</v>
      </c>
      <c r="T795" t="s">
        <v>9938</v>
      </c>
      <c r="U795" t="s">
        <v>5893</v>
      </c>
      <c r="V795" t="s">
        <v>8376</v>
      </c>
      <c r="W795" t="s">
        <v>5857</v>
      </c>
      <c r="X795" s="2">
        <v>1020</v>
      </c>
      <c r="Y795" t="s">
        <v>5858</v>
      </c>
      <c r="Z795" t="s">
        <v>6037</v>
      </c>
      <c r="AA795" s="2">
        <v>2000</v>
      </c>
      <c r="AB795" t="s">
        <v>5863</v>
      </c>
      <c r="AC795" t="s">
        <v>9978</v>
      </c>
      <c r="AD795" s="32">
        <v>43262</v>
      </c>
      <c r="AI795" t="s">
        <v>9943</v>
      </c>
      <c r="AJ795" t="s">
        <v>9958</v>
      </c>
      <c r="AL795" t="s">
        <v>11004</v>
      </c>
    </row>
    <row r="796" spans="1:38">
      <c r="A796" t="s">
        <v>8311</v>
      </c>
      <c r="B796" t="s">
        <v>12147</v>
      </c>
      <c r="C796" t="s">
        <v>8377</v>
      </c>
      <c r="D796" t="s">
        <v>8378</v>
      </c>
      <c r="E796" s="5">
        <v>5124.25</v>
      </c>
      <c r="F796" s="5">
        <v>5124.25</v>
      </c>
      <c r="G796" s="3">
        <v>43298</v>
      </c>
      <c r="H796" s="4">
        <v>0.62778935185185003</v>
      </c>
      <c r="I796" s="3">
        <v>43298</v>
      </c>
      <c r="J796" s="4">
        <v>0.83711805555555996</v>
      </c>
      <c r="K796" s="2">
        <v>20</v>
      </c>
      <c r="L796" t="s">
        <v>5856</v>
      </c>
      <c r="M796" t="s">
        <v>8379</v>
      </c>
      <c r="N796" s="3">
        <v>43304</v>
      </c>
      <c r="O796" s="3">
        <v>43300</v>
      </c>
      <c r="P796" t="s">
        <v>5992</v>
      </c>
      <c r="Q796" t="s">
        <v>8380</v>
      </c>
      <c r="R796" t="s">
        <v>6036</v>
      </c>
      <c r="S796" s="3">
        <v>43304</v>
      </c>
      <c r="T796" t="s">
        <v>9938</v>
      </c>
      <c r="U796" t="s">
        <v>6932</v>
      </c>
      <c r="V796" t="s">
        <v>8381</v>
      </c>
      <c r="W796" t="s">
        <v>5857</v>
      </c>
      <c r="X796" s="2">
        <v>1020</v>
      </c>
      <c r="Y796" t="s">
        <v>5858</v>
      </c>
      <c r="Z796" t="s">
        <v>6037</v>
      </c>
      <c r="AA796" s="2">
        <v>4975</v>
      </c>
      <c r="AB796" t="s">
        <v>5863</v>
      </c>
      <c r="AC796" t="s">
        <v>9974</v>
      </c>
      <c r="AD796" s="32">
        <v>43264</v>
      </c>
      <c r="AJ796" t="s">
        <v>9958</v>
      </c>
      <c r="AL796" t="s">
        <v>11005</v>
      </c>
    </row>
    <row r="797" spans="1:38">
      <c r="A797" t="s">
        <v>8311</v>
      </c>
      <c r="B797" t="s">
        <v>13269</v>
      </c>
      <c r="C797" t="s">
        <v>7415</v>
      </c>
      <c r="D797" t="s">
        <v>7416</v>
      </c>
      <c r="E797" s="2">
        <v>2060</v>
      </c>
      <c r="F797" s="2">
        <v>2060</v>
      </c>
      <c r="G797" s="3">
        <v>43298</v>
      </c>
      <c r="H797" s="4">
        <v>0.91584490740740998</v>
      </c>
      <c r="I797" s="3">
        <v>43299</v>
      </c>
      <c r="J797" s="4">
        <v>0</v>
      </c>
      <c r="K797" s="2">
        <v>0</v>
      </c>
      <c r="L797" t="s">
        <v>5856</v>
      </c>
      <c r="M797" t="s">
        <v>8234</v>
      </c>
      <c r="N797" s="3">
        <v>43301</v>
      </c>
      <c r="O797" s="3">
        <v>43300</v>
      </c>
      <c r="P797" t="s">
        <v>5862</v>
      </c>
      <c r="Q797" t="s">
        <v>13270</v>
      </c>
      <c r="R797" t="s">
        <v>6036</v>
      </c>
      <c r="S797" s="3">
        <v>43301</v>
      </c>
      <c r="T797" t="s">
        <v>9938</v>
      </c>
      <c r="U797" t="s">
        <v>7419</v>
      </c>
      <c r="V797" t="s">
        <v>5948</v>
      </c>
      <c r="W797" t="s">
        <v>5857</v>
      </c>
      <c r="X797" s="2">
        <v>1020</v>
      </c>
      <c r="Y797" t="s">
        <v>5858</v>
      </c>
      <c r="Z797" t="s">
        <v>6037</v>
      </c>
      <c r="AA797" s="2">
        <v>2000</v>
      </c>
      <c r="AB797" t="s">
        <v>5863</v>
      </c>
      <c r="AC797" t="s">
        <v>9976</v>
      </c>
      <c r="AD797" s="32">
        <v>43279</v>
      </c>
      <c r="AJ797" t="s">
        <v>9958</v>
      </c>
      <c r="AL797" t="s">
        <v>14048</v>
      </c>
    </row>
    <row r="798" spans="1:38">
      <c r="A798" t="s">
        <v>8311</v>
      </c>
      <c r="B798" t="s">
        <v>12148</v>
      </c>
      <c r="C798" t="s">
        <v>6056</v>
      </c>
      <c r="D798" t="s">
        <v>5897</v>
      </c>
      <c r="E798" s="2">
        <v>20000</v>
      </c>
      <c r="F798" s="2">
        <v>20000</v>
      </c>
      <c r="G798" s="3">
        <v>43301</v>
      </c>
      <c r="H798" s="4">
        <v>0.16291666666667001</v>
      </c>
      <c r="I798" s="3">
        <v>43301</v>
      </c>
      <c r="J798" s="4">
        <v>0.97990740740741</v>
      </c>
      <c r="K798" s="2">
        <v>0</v>
      </c>
      <c r="L798" t="s">
        <v>5856</v>
      </c>
      <c r="M798" t="s">
        <v>8072</v>
      </c>
      <c r="N798" s="3">
        <v>43297</v>
      </c>
      <c r="O798" s="3">
        <v>43303</v>
      </c>
      <c r="P798" t="s">
        <v>5898</v>
      </c>
      <c r="Q798" t="s">
        <v>6038</v>
      </c>
      <c r="R798" t="s">
        <v>6040</v>
      </c>
      <c r="S798" s="3">
        <v>43288</v>
      </c>
      <c r="T798" t="s">
        <v>9938</v>
      </c>
      <c r="U798" t="s">
        <v>6052</v>
      </c>
      <c r="V798" t="s">
        <v>5899</v>
      </c>
      <c r="W798" t="s">
        <v>5857</v>
      </c>
      <c r="X798" s="2">
        <v>0</v>
      </c>
      <c r="Y798" t="s">
        <v>5858</v>
      </c>
      <c r="Z798" t="s">
        <v>6037</v>
      </c>
      <c r="AA798" s="2">
        <v>20000</v>
      </c>
      <c r="AB798" t="s">
        <v>5915</v>
      </c>
      <c r="AC798" t="s">
        <v>9975</v>
      </c>
      <c r="AD798" s="32"/>
      <c r="AJ798" t="s">
        <v>9958</v>
      </c>
      <c r="AL798" t="s">
        <v>11006</v>
      </c>
    </row>
    <row r="799" spans="1:38">
      <c r="A799" t="s">
        <v>8311</v>
      </c>
      <c r="B799" t="s">
        <v>12149</v>
      </c>
      <c r="C799" t="s">
        <v>8382</v>
      </c>
      <c r="D799" t="s">
        <v>8383</v>
      </c>
      <c r="E799" s="2">
        <v>2000</v>
      </c>
      <c r="F799" s="2">
        <v>2000</v>
      </c>
      <c r="G799" s="3">
        <v>43304</v>
      </c>
      <c r="H799" s="4">
        <v>0.81576388888888995</v>
      </c>
      <c r="I799" s="3">
        <v>43304</v>
      </c>
      <c r="J799" s="4">
        <v>0.89746527777777996</v>
      </c>
      <c r="K799" s="2">
        <v>0</v>
      </c>
      <c r="L799" t="s">
        <v>5856</v>
      </c>
      <c r="M799" t="s">
        <v>8079</v>
      </c>
      <c r="N799" s="3">
        <v>43307</v>
      </c>
      <c r="O799" s="3">
        <v>43306</v>
      </c>
      <c r="P799" t="s">
        <v>5862</v>
      </c>
      <c r="Q799" t="s">
        <v>8384</v>
      </c>
      <c r="R799" t="s">
        <v>6036</v>
      </c>
      <c r="S799" s="3">
        <v>43307</v>
      </c>
      <c r="T799" t="s">
        <v>9938</v>
      </c>
      <c r="U799" t="s">
        <v>5879</v>
      </c>
      <c r="V799" t="s">
        <v>8385</v>
      </c>
      <c r="W799" t="s">
        <v>5857</v>
      </c>
      <c r="X799" s="2">
        <v>1020</v>
      </c>
      <c r="Y799" t="s">
        <v>5858</v>
      </c>
      <c r="Z799" t="s">
        <v>6037</v>
      </c>
      <c r="AA799" s="2">
        <v>2000</v>
      </c>
      <c r="AB799" t="s">
        <v>5863</v>
      </c>
      <c r="AC799" t="s">
        <v>9974</v>
      </c>
      <c r="AD799" s="32">
        <v>43259</v>
      </c>
      <c r="AI799" t="s">
        <v>9943</v>
      </c>
      <c r="AJ799" t="s">
        <v>9959</v>
      </c>
      <c r="AL799" t="s">
        <v>11007</v>
      </c>
    </row>
    <row r="800" spans="1:38">
      <c r="A800" t="s">
        <v>8311</v>
      </c>
      <c r="B800" t="s">
        <v>12150</v>
      </c>
      <c r="C800" t="s">
        <v>8386</v>
      </c>
      <c r="D800" t="s">
        <v>8387</v>
      </c>
      <c r="E800" s="2">
        <v>2000</v>
      </c>
      <c r="F800" s="2">
        <v>2000</v>
      </c>
      <c r="G800" s="3">
        <v>43304</v>
      </c>
      <c r="H800" s="4">
        <v>0.91829861111111</v>
      </c>
      <c r="I800" s="3">
        <v>43305</v>
      </c>
      <c r="J800" s="4">
        <v>0</v>
      </c>
      <c r="K800" s="2">
        <v>20</v>
      </c>
      <c r="L800" t="s">
        <v>5856</v>
      </c>
      <c r="M800" t="s">
        <v>8079</v>
      </c>
      <c r="N800" s="3">
        <v>43307</v>
      </c>
      <c r="O800" s="3">
        <v>43306</v>
      </c>
      <c r="P800" t="s">
        <v>8388</v>
      </c>
      <c r="Q800" t="s">
        <v>8389</v>
      </c>
      <c r="R800" t="s">
        <v>6036</v>
      </c>
      <c r="S800" s="3">
        <v>43307</v>
      </c>
      <c r="T800" t="s">
        <v>9938</v>
      </c>
      <c r="U800" t="s">
        <v>5879</v>
      </c>
      <c r="V800" t="s">
        <v>8390</v>
      </c>
      <c r="W800" t="s">
        <v>5857</v>
      </c>
      <c r="X800" s="2">
        <v>1020</v>
      </c>
      <c r="Y800" t="s">
        <v>5858</v>
      </c>
      <c r="Z800" t="s">
        <v>6037</v>
      </c>
      <c r="AA800" s="2">
        <v>2000</v>
      </c>
      <c r="AB800" t="s">
        <v>5863</v>
      </c>
      <c r="AC800" t="s">
        <v>9974</v>
      </c>
      <c r="AD800" s="32">
        <v>43248</v>
      </c>
      <c r="AJ800" t="s">
        <v>9959</v>
      </c>
      <c r="AL800" t="s">
        <v>11008</v>
      </c>
    </row>
    <row r="801" spans="1:38">
      <c r="A801" t="s">
        <v>8311</v>
      </c>
      <c r="B801" t="s">
        <v>12151</v>
      </c>
      <c r="C801" t="s">
        <v>8391</v>
      </c>
      <c r="D801" t="s">
        <v>8392</v>
      </c>
      <c r="E801" s="2">
        <v>2060</v>
      </c>
      <c r="F801" s="2">
        <v>2060</v>
      </c>
      <c r="G801" s="3">
        <v>43305</v>
      </c>
      <c r="H801" s="4">
        <v>7.800925925926E-2</v>
      </c>
      <c r="I801" s="3">
        <v>43305</v>
      </c>
      <c r="J801" s="4">
        <v>0.16216435185184999</v>
      </c>
      <c r="K801" s="2">
        <v>0</v>
      </c>
      <c r="L801" t="s">
        <v>5856</v>
      </c>
      <c r="M801" t="s">
        <v>8234</v>
      </c>
      <c r="N801" s="3">
        <v>43308</v>
      </c>
      <c r="O801" s="3">
        <v>43307</v>
      </c>
      <c r="P801" t="s">
        <v>5883</v>
      </c>
      <c r="Q801" t="s">
        <v>8393</v>
      </c>
      <c r="R801" t="s">
        <v>6036</v>
      </c>
      <c r="S801" s="3">
        <v>43308</v>
      </c>
      <c r="T801" t="s">
        <v>9938</v>
      </c>
      <c r="U801" t="s">
        <v>5874</v>
      </c>
      <c r="V801" t="s">
        <v>8394</v>
      </c>
      <c r="W801" t="s">
        <v>5857</v>
      </c>
      <c r="X801" s="2">
        <v>1020</v>
      </c>
      <c r="Y801" t="s">
        <v>5858</v>
      </c>
      <c r="Z801" t="s">
        <v>6037</v>
      </c>
      <c r="AA801" s="2">
        <v>2000</v>
      </c>
      <c r="AB801" t="s">
        <v>5863</v>
      </c>
      <c r="AC801" t="s">
        <v>9978</v>
      </c>
      <c r="AD801" s="32">
        <v>43279</v>
      </c>
      <c r="AI801" t="s">
        <v>9943</v>
      </c>
      <c r="AJ801" t="s">
        <v>9958</v>
      </c>
      <c r="AL801" t="s">
        <v>11009</v>
      </c>
    </row>
    <row r="802" spans="1:38">
      <c r="A802" t="s">
        <v>8311</v>
      </c>
      <c r="B802" t="s">
        <v>13271</v>
      </c>
      <c r="C802" t="s">
        <v>6459</v>
      </c>
      <c r="D802" t="s">
        <v>6460</v>
      </c>
      <c r="E802" s="2">
        <v>20600</v>
      </c>
      <c r="F802" s="2">
        <v>20600</v>
      </c>
      <c r="G802" s="3">
        <v>43305</v>
      </c>
      <c r="H802" s="4">
        <v>0.15848379629629999</v>
      </c>
      <c r="I802" s="3">
        <v>43305</v>
      </c>
      <c r="J802" s="4">
        <v>0.99998842592592996</v>
      </c>
      <c r="K802" s="2">
        <v>0</v>
      </c>
      <c r="L802" t="s">
        <v>5856</v>
      </c>
      <c r="M802" t="s">
        <v>8151</v>
      </c>
      <c r="N802" s="3">
        <v>43307</v>
      </c>
      <c r="O802" s="3">
        <v>43307</v>
      </c>
      <c r="P802" t="s">
        <v>5898</v>
      </c>
      <c r="Q802" t="s">
        <v>6038</v>
      </c>
      <c r="R802" t="s">
        <v>6040</v>
      </c>
      <c r="S802" s="3">
        <v>43313</v>
      </c>
      <c r="T802" t="s">
        <v>9938</v>
      </c>
      <c r="U802" t="s">
        <v>6065</v>
      </c>
      <c r="V802" t="s">
        <v>5899</v>
      </c>
      <c r="W802" t="s">
        <v>5857</v>
      </c>
      <c r="X802" s="2">
        <v>0</v>
      </c>
      <c r="Y802" t="s">
        <v>5858</v>
      </c>
      <c r="Z802" t="s">
        <v>6037</v>
      </c>
      <c r="AA802" s="2">
        <v>20000</v>
      </c>
      <c r="AB802" t="s">
        <v>5915</v>
      </c>
      <c r="AC802" t="s">
        <v>9975</v>
      </c>
      <c r="AD802" s="32"/>
      <c r="AI802" t="s">
        <v>9939</v>
      </c>
      <c r="AJ802" t="s">
        <v>9958</v>
      </c>
      <c r="AL802" t="s">
        <v>14049</v>
      </c>
    </row>
    <row r="803" spans="1:38">
      <c r="A803" t="s">
        <v>8311</v>
      </c>
      <c r="B803" t="s">
        <v>12152</v>
      </c>
      <c r="C803" t="s">
        <v>6056</v>
      </c>
      <c r="D803" t="s">
        <v>5897</v>
      </c>
      <c r="E803" s="2">
        <v>20000</v>
      </c>
      <c r="F803" s="2">
        <v>20000</v>
      </c>
      <c r="G803" s="3">
        <v>43305</v>
      </c>
      <c r="H803" s="4">
        <v>0.18299768518519</v>
      </c>
      <c r="I803" s="3">
        <v>43305</v>
      </c>
      <c r="J803" s="4">
        <v>0.99998842592592996</v>
      </c>
      <c r="K803" s="2">
        <v>0</v>
      </c>
      <c r="L803" t="s">
        <v>5856</v>
      </c>
      <c r="M803" t="s">
        <v>8072</v>
      </c>
      <c r="N803" s="3">
        <v>43307</v>
      </c>
      <c r="O803" s="3">
        <v>43307</v>
      </c>
      <c r="P803" t="s">
        <v>5898</v>
      </c>
      <c r="Q803" t="s">
        <v>6038</v>
      </c>
      <c r="R803" t="s">
        <v>6040</v>
      </c>
      <c r="S803" s="3">
        <v>43313</v>
      </c>
      <c r="T803" t="s">
        <v>9938</v>
      </c>
      <c r="U803" t="s">
        <v>6052</v>
      </c>
      <c r="V803" t="s">
        <v>5899</v>
      </c>
      <c r="W803" t="s">
        <v>5857</v>
      </c>
      <c r="X803" s="2">
        <v>0</v>
      </c>
      <c r="Y803" t="s">
        <v>5858</v>
      </c>
      <c r="Z803" t="s">
        <v>6037</v>
      </c>
      <c r="AA803" s="2">
        <v>20000</v>
      </c>
      <c r="AB803" t="s">
        <v>5915</v>
      </c>
      <c r="AC803" t="s">
        <v>9975</v>
      </c>
      <c r="AD803" s="32"/>
      <c r="AJ803" t="s">
        <v>9958</v>
      </c>
      <c r="AL803" t="s">
        <v>11010</v>
      </c>
    </row>
    <row r="804" spans="1:38">
      <c r="A804" t="s">
        <v>8311</v>
      </c>
      <c r="B804" t="s">
        <v>12153</v>
      </c>
      <c r="C804" t="s">
        <v>8346</v>
      </c>
      <c r="D804" t="s">
        <v>8347</v>
      </c>
      <c r="E804" s="2">
        <v>10000</v>
      </c>
      <c r="F804" s="2">
        <v>10000</v>
      </c>
      <c r="G804" s="3">
        <v>43311</v>
      </c>
      <c r="H804" s="4">
        <v>0.65277777777778001</v>
      </c>
      <c r="I804" s="3">
        <v>43312</v>
      </c>
      <c r="J804" s="4">
        <v>6.1273148148149999E-2</v>
      </c>
      <c r="K804" s="2">
        <v>20</v>
      </c>
      <c r="L804" t="s">
        <v>5856</v>
      </c>
      <c r="M804" t="s">
        <v>7264</v>
      </c>
      <c r="N804" s="3">
        <v>43314</v>
      </c>
      <c r="O804" s="3">
        <v>43314</v>
      </c>
      <c r="P804" t="s">
        <v>5862</v>
      </c>
      <c r="Q804" t="s">
        <v>8395</v>
      </c>
      <c r="R804" t="s">
        <v>6036</v>
      </c>
      <c r="S804" s="3">
        <v>43314</v>
      </c>
      <c r="T804" t="s">
        <v>9938</v>
      </c>
      <c r="U804" t="s">
        <v>8349</v>
      </c>
      <c r="V804" t="s">
        <v>8350</v>
      </c>
      <c r="W804" t="s">
        <v>5857</v>
      </c>
      <c r="X804" s="2">
        <v>1020</v>
      </c>
      <c r="Y804" t="s">
        <v>5858</v>
      </c>
      <c r="Z804" t="s">
        <v>6037</v>
      </c>
      <c r="AA804" s="2">
        <v>10000</v>
      </c>
      <c r="AB804" t="s">
        <v>5863</v>
      </c>
      <c r="AC804" t="s">
        <v>9974</v>
      </c>
      <c r="AD804" s="32">
        <v>43179</v>
      </c>
      <c r="AJ804" t="s">
        <v>9958</v>
      </c>
      <c r="AL804" t="s">
        <v>11011</v>
      </c>
    </row>
    <row r="805" spans="1:38">
      <c r="A805" t="s">
        <v>8311</v>
      </c>
      <c r="B805" t="s">
        <v>12154</v>
      </c>
      <c r="C805" t="s">
        <v>8312</v>
      </c>
      <c r="D805" t="s">
        <v>8313</v>
      </c>
      <c r="E805" s="2">
        <v>10000</v>
      </c>
      <c r="F805" s="2">
        <v>10000</v>
      </c>
      <c r="G805" s="3">
        <v>43313</v>
      </c>
      <c r="H805" s="4">
        <v>0.59149305555555998</v>
      </c>
      <c r="I805" s="3">
        <v>43313</v>
      </c>
      <c r="J805" s="4">
        <v>0.99998842592592996</v>
      </c>
      <c r="K805" s="2">
        <v>0</v>
      </c>
      <c r="L805" t="s">
        <v>5856</v>
      </c>
      <c r="M805" t="s">
        <v>7264</v>
      </c>
      <c r="N805" s="3">
        <v>43315</v>
      </c>
      <c r="O805" s="3">
        <v>43315</v>
      </c>
      <c r="P805" t="s">
        <v>8314</v>
      </c>
      <c r="Q805" t="s">
        <v>13272</v>
      </c>
      <c r="R805" t="s">
        <v>6476</v>
      </c>
      <c r="S805" s="3">
        <v>43337</v>
      </c>
      <c r="T805" t="s">
        <v>9938</v>
      </c>
      <c r="U805" t="s">
        <v>8150</v>
      </c>
      <c r="V805" t="s">
        <v>5899</v>
      </c>
      <c r="W805" t="s">
        <v>8041</v>
      </c>
      <c r="X805" s="2">
        <v>0</v>
      </c>
      <c r="Y805" t="s">
        <v>5858</v>
      </c>
      <c r="Z805" t="s">
        <v>6037</v>
      </c>
      <c r="AA805" s="2">
        <v>10000</v>
      </c>
      <c r="AB805" t="s">
        <v>5861</v>
      </c>
      <c r="AC805" t="s">
        <v>9977</v>
      </c>
      <c r="AD805" s="32"/>
      <c r="AJ805" t="s">
        <v>9971</v>
      </c>
      <c r="AL805" t="s">
        <v>14050</v>
      </c>
    </row>
    <row r="806" spans="1:38">
      <c r="A806" t="s">
        <v>8311</v>
      </c>
      <c r="B806" t="s">
        <v>12155</v>
      </c>
      <c r="C806" t="s">
        <v>8330</v>
      </c>
      <c r="D806" t="s">
        <v>8331</v>
      </c>
      <c r="E806" s="2">
        <v>10300</v>
      </c>
      <c r="F806" s="2">
        <v>10300</v>
      </c>
      <c r="G806" s="3">
        <v>43315</v>
      </c>
      <c r="H806" s="4">
        <v>0.21119212962962999</v>
      </c>
      <c r="I806" s="3">
        <v>43315</v>
      </c>
      <c r="J806" s="4">
        <v>0.63194444444443998</v>
      </c>
      <c r="K806" s="2">
        <v>20</v>
      </c>
      <c r="L806" t="s">
        <v>5856</v>
      </c>
      <c r="M806" t="s">
        <v>8165</v>
      </c>
      <c r="N806" s="3">
        <v>43318</v>
      </c>
      <c r="O806" s="3">
        <v>43317</v>
      </c>
      <c r="P806" t="s">
        <v>5876</v>
      </c>
      <c r="Q806" t="s">
        <v>8396</v>
      </c>
      <c r="R806" t="s">
        <v>6036</v>
      </c>
      <c r="S806" s="3">
        <v>43318</v>
      </c>
      <c r="T806" t="s">
        <v>9938</v>
      </c>
      <c r="U806" t="s">
        <v>5923</v>
      </c>
      <c r="V806" t="s">
        <v>8333</v>
      </c>
      <c r="W806" t="s">
        <v>5857</v>
      </c>
      <c r="X806" s="2">
        <v>1020</v>
      </c>
      <c r="Y806" t="s">
        <v>5858</v>
      </c>
      <c r="Z806" t="s">
        <v>6037</v>
      </c>
      <c r="AA806" s="2">
        <v>10000</v>
      </c>
      <c r="AB806" t="s">
        <v>5863</v>
      </c>
      <c r="AC806" t="s">
        <v>9974</v>
      </c>
      <c r="AD806" s="32">
        <v>43276</v>
      </c>
      <c r="AJ806" t="s">
        <v>9959</v>
      </c>
      <c r="AL806" t="s">
        <v>11013</v>
      </c>
    </row>
    <row r="807" spans="1:38">
      <c r="A807" t="s">
        <v>8311</v>
      </c>
      <c r="B807" t="s">
        <v>12156</v>
      </c>
      <c r="C807" t="s">
        <v>8346</v>
      </c>
      <c r="D807" t="s">
        <v>8347</v>
      </c>
      <c r="E807" s="2">
        <v>10000</v>
      </c>
      <c r="F807" s="2">
        <v>10000</v>
      </c>
      <c r="G807" s="3">
        <v>43315</v>
      </c>
      <c r="H807" s="4">
        <v>0.65277777777778001</v>
      </c>
      <c r="I807" s="3">
        <v>43316</v>
      </c>
      <c r="J807" s="4">
        <v>6.1273148148149999E-2</v>
      </c>
      <c r="K807" s="2">
        <v>20</v>
      </c>
      <c r="L807" t="s">
        <v>5856</v>
      </c>
      <c r="M807" t="s">
        <v>7264</v>
      </c>
      <c r="N807" s="3">
        <v>43321</v>
      </c>
      <c r="O807" s="3">
        <v>43318</v>
      </c>
      <c r="P807" t="s">
        <v>5862</v>
      </c>
      <c r="Q807" t="s">
        <v>8397</v>
      </c>
      <c r="R807" t="s">
        <v>6036</v>
      </c>
      <c r="S807" s="3">
        <v>43321</v>
      </c>
      <c r="T807" t="s">
        <v>9938</v>
      </c>
      <c r="U807" t="s">
        <v>8349</v>
      </c>
      <c r="V807" t="s">
        <v>8350</v>
      </c>
      <c r="W807" t="s">
        <v>5857</v>
      </c>
      <c r="X807" s="2">
        <v>1020</v>
      </c>
      <c r="Y807" t="s">
        <v>5858</v>
      </c>
      <c r="Z807" t="s">
        <v>6037</v>
      </c>
      <c r="AA807" s="2">
        <v>10000</v>
      </c>
      <c r="AB807" t="s">
        <v>5863</v>
      </c>
      <c r="AC807" t="s">
        <v>9974</v>
      </c>
      <c r="AD807" s="32">
        <v>43179</v>
      </c>
      <c r="AJ807" t="s">
        <v>9958</v>
      </c>
      <c r="AL807" t="s">
        <v>11014</v>
      </c>
    </row>
    <row r="808" spans="1:38">
      <c r="A808" t="s">
        <v>8311</v>
      </c>
      <c r="B808" t="s">
        <v>12157</v>
      </c>
      <c r="C808" t="s">
        <v>8398</v>
      </c>
      <c r="D808" t="s">
        <v>8399</v>
      </c>
      <c r="E808" s="2">
        <v>5150</v>
      </c>
      <c r="F808" s="2">
        <v>5150</v>
      </c>
      <c r="G808" s="3">
        <v>43316</v>
      </c>
      <c r="H808" s="4">
        <v>0.78962962962963001</v>
      </c>
      <c r="I808" s="3">
        <v>43317</v>
      </c>
      <c r="J808" s="4">
        <v>0</v>
      </c>
      <c r="K808" s="2">
        <v>20</v>
      </c>
      <c r="L808" t="s">
        <v>5856</v>
      </c>
      <c r="M808" t="s">
        <v>8159</v>
      </c>
      <c r="N808" s="3">
        <v>43319</v>
      </c>
      <c r="O808" s="3">
        <v>43318</v>
      </c>
      <c r="P808" t="s">
        <v>5911</v>
      </c>
      <c r="Q808" t="s">
        <v>8400</v>
      </c>
      <c r="R808" t="s">
        <v>6036</v>
      </c>
      <c r="S808" s="3">
        <v>43319</v>
      </c>
      <c r="T808" t="s">
        <v>9938</v>
      </c>
      <c r="U808" t="s">
        <v>5922</v>
      </c>
      <c r="V808" t="s">
        <v>8401</v>
      </c>
      <c r="W808" t="s">
        <v>5857</v>
      </c>
      <c r="X808" s="2">
        <v>1020</v>
      </c>
      <c r="Y808" t="s">
        <v>5858</v>
      </c>
      <c r="Z808" t="s">
        <v>6037</v>
      </c>
      <c r="AA808" s="2">
        <v>5000</v>
      </c>
      <c r="AB808" t="s">
        <v>5863</v>
      </c>
      <c r="AC808" t="s">
        <v>9974</v>
      </c>
      <c r="AD808" s="32">
        <v>43277</v>
      </c>
      <c r="AI808" t="s">
        <v>9943</v>
      </c>
      <c r="AJ808" t="s">
        <v>9959</v>
      </c>
      <c r="AL808" t="s">
        <v>14051</v>
      </c>
    </row>
    <row r="809" spans="1:38">
      <c r="A809" t="s">
        <v>8311</v>
      </c>
      <c r="B809" t="s">
        <v>13273</v>
      </c>
      <c r="C809" t="s">
        <v>8346</v>
      </c>
      <c r="D809" t="s">
        <v>8347</v>
      </c>
      <c r="E809" s="2">
        <v>10300</v>
      </c>
      <c r="F809" s="2">
        <v>10300</v>
      </c>
      <c r="G809" s="3">
        <v>43317</v>
      </c>
      <c r="H809" s="4">
        <v>0.57924768518518999</v>
      </c>
      <c r="I809" s="3">
        <v>43318</v>
      </c>
      <c r="J809" s="4">
        <v>0</v>
      </c>
      <c r="K809" s="2">
        <v>20</v>
      </c>
      <c r="L809" t="s">
        <v>5856</v>
      </c>
      <c r="M809" t="s">
        <v>8165</v>
      </c>
      <c r="N809" s="3">
        <v>43320</v>
      </c>
      <c r="O809" s="3">
        <v>43319</v>
      </c>
      <c r="P809" t="s">
        <v>5862</v>
      </c>
      <c r="Q809" t="s">
        <v>13274</v>
      </c>
      <c r="R809" t="s">
        <v>6036</v>
      </c>
      <c r="S809" s="3">
        <v>43320</v>
      </c>
      <c r="T809" t="s">
        <v>9938</v>
      </c>
      <c r="U809" t="s">
        <v>8349</v>
      </c>
      <c r="V809" t="s">
        <v>8350</v>
      </c>
      <c r="W809" t="s">
        <v>5857</v>
      </c>
      <c r="X809" s="2">
        <v>1020</v>
      </c>
      <c r="Y809" t="s">
        <v>5858</v>
      </c>
      <c r="Z809" t="s">
        <v>6037</v>
      </c>
      <c r="AA809" s="2">
        <v>10000</v>
      </c>
      <c r="AB809" t="s">
        <v>5863</v>
      </c>
      <c r="AC809" t="s">
        <v>9974</v>
      </c>
      <c r="AD809" s="32">
        <v>43282</v>
      </c>
      <c r="AJ809" t="s">
        <v>9958</v>
      </c>
      <c r="AL809" t="s">
        <v>14052</v>
      </c>
    </row>
    <row r="810" spans="1:38">
      <c r="A810" t="s">
        <v>8311</v>
      </c>
      <c r="B810" t="s">
        <v>12158</v>
      </c>
      <c r="C810" t="s">
        <v>8346</v>
      </c>
      <c r="D810" t="s">
        <v>8347</v>
      </c>
      <c r="E810" s="2">
        <v>10000</v>
      </c>
      <c r="F810" s="2">
        <v>10000</v>
      </c>
      <c r="G810" s="3">
        <v>43323</v>
      </c>
      <c r="H810" s="4">
        <v>0.65277777777778001</v>
      </c>
      <c r="I810" s="3">
        <v>43324</v>
      </c>
      <c r="J810" s="4">
        <v>6.1273148148149999E-2</v>
      </c>
      <c r="K810" s="2">
        <v>20</v>
      </c>
      <c r="L810" t="s">
        <v>5856</v>
      </c>
      <c r="M810" t="s">
        <v>7264</v>
      </c>
      <c r="N810" s="3">
        <v>43329</v>
      </c>
      <c r="O810" s="3">
        <v>43326</v>
      </c>
      <c r="P810" t="s">
        <v>5862</v>
      </c>
      <c r="Q810" t="s">
        <v>8402</v>
      </c>
      <c r="R810" t="s">
        <v>6036</v>
      </c>
      <c r="S810" s="3">
        <v>43326</v>
      </c>
      <c r="T810" t="s">
        <v>9938</v>
      </c>
      <c r="U810" t="s">
        <v>8349</v>
      </c>
      <c r="V810" t="s">
        <v>8350</v>
      </c>
      <c r="W810" t="s">
        <v>5857</v>
      </c>
      <c r="X810" s="2">
        <v>1020</v>
      </c>
      <c r="Y810" t="s">
        <v>5858</v>
      </c>
      <c r="Z810" t="s">
        <v>6037</v>
      </c>
      <c r="AA810" s="2">
        <v>10000</v>
      </c>
      <c r="AB810" t="s">
        <v>5863</v>
      </c>
      <c r="AC810" t="s">
        <v>9974</v>
      </c>
      <c r="AD810" s="32"/>
      <c r="AJ810" t="s">
        <v>9958</v>
      </c>
      <c r="AL810" t="s">
        <v>11016</v>
      </c>
    </row>
    <row r="811" spans="1:38">
      <c r="A811" t="s">
        <v>8311</v>
      </c>
      <c r="B811" t="s">
        <v>12159</v>
      </c>
      <c r="C811" t="s">
        <v>8346</v>
      </c>
      <c r="D811" t="s">
        <v>8347</v>
      </c>
      <c r="E811" s="2">
        <v>10000</v>
      </c>
      <c r="F811" s="2">
        <v>10000</v>
      </c>
      <c r="G811" s="3">
        <v>43343</v>
      </c>
      <c r="H811" s="4">
        <v>0.65277777777778001</v>
      </c>
      <c r="I811" s="3">
        <v>43344</v>
      </c>
      <c r="J811" s="4">
        <v>6.1273148148149999E-2</v>
      </c>
      <c r="K811" s="2">
        <v>20</v>
      </c>
      <c r="L811" t="s">
        <v>5856</v>
      </c>
      <c r="M811" t="s">
        <v>7264</v>
      </c>
      <c r="N811" s="3">
        <v>43349</v>
      </c>
      <c r="O811" s="3">
        <v>43346</v>
      </c>
      <c r="P811" t="s">
        <v>5862</v>
      </c>
      <c r="Q811" t="s">
        <v>8403</v>
      </c>
      <c r="R811" t="s">
        <v>6036</v>
      </c>
      <c r="S811" s="3">
        <v>43349</v>
      </c>
      <c r="T811" t="s">
        <v>9938</v>
      </c>
      <c r="U811" t="s">
        <v>8349</v>
      </c>
      <c r="V811" t="s">
        <v>8350</v>
      </c>
      <c r="W811" t="s">
        <v>5857</v>
      </c>
      <c r="X811" s="2">
        <v>1020</v>
      </c>
      <c r="Y811" t="s">
        <v>5858</v>
      </c>
      <c r="Z811" t="s">
        <v>6037</v>
      </c>
      <c r="AA811" s="2">
        <v>10000</v>
      </c>
      <c r="AB811" t="s">
        <v>5863</v>
      </c>
      <c r="AC811" t="s">
        <v>9974</v>
      </c>
      <c r="AD811" s="32"/>
      <c r="AJ811" t="s">
        <v>9958</v>
      </c>
      <c r="AL811" t="s">
        <v>11017</v>
      </c>
    </row>
    <row r="812" spans="1:38">
      <c r="A812" t="s">
        <v>8311</v>
      </c>
      <c r="B812" t="s">
        <v>12160</v>
      </c>
      <c r="C812" t="s">
        <v>8404</v>
      </c>
      <c r="D812" t="s">
        <v>8405</v>
      </c>
      <c r="E812" s="2">
        <v>10000</v>
      </c>
      <c r="F812" s="2">
        <v>10000</v>
      </c>
      <c r="G812" s="3">
        <v>43365</v>
      </c>
      <c r="H812" s="4">
        <v>0.16217592592593</v>
      </c>
      <c r="I812" s="3">
        <v>43365</v>
      </c>
      <c r="J812" s="4">
        <v>0.57067129629629998</v>
      </c>
      <c r="K812" s="2">
        <v>0</v>
      </c>
      <c r="L812" t="s">
        <v>5856</v>
      </c>
      <c r="M812" t="s">
        <v>7264</v>
      </c>
      <c r="N812" s="3">
        <v>43368</v>
      </c>
      <c r="O812" s="3">
        <v>43367</v>
      </c>
      <c r="P812" t="s">
        <v>5929</v>
      </c>
      <c r="Q812" t="s">
        <v>8406</v>
      </c>
      <c r="R812" t="s">
        <v>6036</v>
      </c>
      <c r="S812" s="3">
        <v>43368</v>
      </c>
      <c r="T812" t="s">
        <v>9938</v>
      </c>
      <c r="U812" t="s">
        <v>8407</v>
      </c>
      <c r="V812" t="s">
        <v>6468</v>
      </c>
      <c r="W812" t="s">
        <v>5857</v>
      </c>
      <c r="X812" s="2">
        <v>1020</v>
      </c>
      <c r="Y812" t="s">
        <v>5858</v>
      </c>
      <c r="Z812" t="s">
        <v>6037</v>
      </c>
      <c r="AA812" s="2">
        <v>10000</v>
      </c>
      <c r="AB812" t="s">
        <v>5863</v>
      </c>
      <c r="AD812" s="32"/>
      <c r="AJ812" t="s">
        <v>9957</v>
      </c>
      <c r="AL812" t="s">
        <v>11018</v>
      </c>
    </row>
    <row r="813" spans="1:38">
      <c r="A813" t="s">
        <v>8311</v>
      </c>
      <c r="B813" t="s">
        <v>12161</v>
      </c>
      <c r="C813" t="s">
        <v>8404</v>
      </c>
      <c r="D813" t="s">
        <v>8405</v>
      </c>
      <c r="E813" s="2">
        <v>10000</v>
      </c>
      <c r="F813" s="2">
        <v>10000</v>
      </c>
      <c r="G813" s="3">
        <v>43365</v>
      </c>
      <c r="H813" s="4">
        <v>0.59150462962963002</v>
      </c>
      <c r="I813" s="3">
        <v>43366</v>
      </c>
      <c r="J813" s="4">
        <v>0</v>
      </c>
      <c r="K813" s="2">
        <v>0</v>
      </c>
      <c r="L813" t="s">
        <v>5856</v>
      </c>
      <c r="M813" t="s">
        <v>7264</v>
      </c>
      <c r="N813" s="3">
        <v>43368</v>
      </c>
      <c r="O813" s="3">
        <v>43367</v>
      </c>
      <c r="P813" t="s">
        <v>5929</v>
      </c>
      <c r="Q813" t="s">
        <v>8408</v>
      </c>
      <c r="R813" t="s">
        <v>6036</v>
      </c>
      <c r="S813" s="3">
        <v>43368</v>
      </c>
      <c r="T813" t="s">
        <v>9938</v>
      </c>
      <c r="U813" t="s">
        <v>8407</v>
      </c>
      <c r="V813" t="s">
        <v>6468</v>
      </c>
      <c r="W813" t="s">
        <v>5857</v>
      </c>
      <c r="X813" s="2">
        <v>1020</v>
      </c>
      <c r="Y813" t="s">
        <v>5858</v>
      </c>
      <c r="Z813" t="s">
        <v>6037</v>
      </c>
      <c r="AA813" s="2">
        <v>10000</v>
      </c>
      <c r="AB813" t="s">
        <v>5863</v>
      </c>
      <c r="AD813" s="32"/>
      <c r="AJ813" t="s">
        <v>9957</v>
      </c>
      <c r="AL813" t="s">
        <v>11019</v>
      </c>
    </row>
    <row r="814" spans="1:38">
      <c r="A814" t="s">
        <v>8311</v>
      </c>
      <c r="B814" t="s">
        <v>13275</v>
      </c>
      <c r="C814" t="s">
        <v>6464</v>
      </c>
      <c r="D814" t="s">
        <v>6465</v>
      </c>
      <c r="E814" s="2">
        <v>20000</v>
      </c>
      <c r="F814" s="2">
        <v>20000</v>
      </c>
      <c r="G814" s="3">
        <v>43371</v>
      </c>
      <c r="H814" s="4">
        <v>0.34518518518518998</v>
      </c>
      <c r="I814" s="3">
        <v>43372</v>
      </c>
      <c r="J814" s="4">
        <v>0.16217592592593</v>
      </c>
      <c r="K814" s="2">
        <v>0</v>
      </c>
      <c r="L814" t="s">
        <v>5856</v>
      </c>
      <c r="M814" t="s">
        <v>8072</v>
      </c>
      <c r="N814" s="3">
        <v>43277</v>
      </c>
      <c r="O814" s="3">
        <v>43374</v>
      </c>
      <c r="P814" t="s">
        <v>5929</v>
      </c>
      <c r="Q814" t="s">
        <v>13276</v>
      </c>
      <c r="R814" t="s">
        <v>6036</v>
      </c>
      <c r="S814" s="3">
        <v>43377</v>
      </c>
      <c r="T814" t="s">
        <v>9938</v>
      </c>
      <c r="U814" t="s">
        <v>6467</v>
      </c>
      <c r="V814" t="s">
        <v>6468</v>
      </c>
      <c r="W814" t="s">
        <v>5857</v>
      </c>
      <c r="X814" s="2">
        <v>1020</v>
      </c>
      <c r="Y814" t="s">
        <v>5858</v>
      </c>
      <c r="Z814" t="s">
        <v>6037</v>
      </c>
      <c r="AA814" s="2">
        <v>20000</v>
      </c>
      <c r="AB814" t="s">
        <v>5863</v>
      </c>
      <c r="AC814" t="s">
        <v>9976</v>
      </c>
      <c r="AD814" s="32"/>
      <c r="AJ814" t="s">
        <v>9957</v>
      </c>
      <c r="AL814" t="s">
        <v>14053</v>
      </c>
    </row>
    <row r="815" spans="1:38">
      <c r="A815" t="s">
        <v>8311</v>
      </c>
      <c r="B815" t="s">
        <v>13277</v>
      </c>
      <c r="C815" t="s">
        <v>6464</v>
      </c>
      <c r="D815" t="s">
        <v>6465</v>
      </c>
      <c r="E815" s="2">
        <v>20000</v>
      </c>
      <c r="F815" s="2">
        <v>20000</v>
      </c>
      <c r="G815" s="3">
        <v>43371</v>
      </c>
      <c r="H815" s="4">
        <v>0.50736111111111004</v>
      </c>
      <c r="I815" s="3">
        <v>43372</v>
      </c>
      <c r="J815" s="4">
        <v>0.32435185185185</v>
      </c>
      <c r="K815" s="2">
        <v>0</v>
      </c>
      <c r="L815" t="s">
        <v>5856</v>
      </c>
      <c r="M815" t="s">
        <v>8072</v>
      </c>
      <c r="N815" s="3">
        <v>43277</v>
      </c>
      <c r="O815" s="3">
        <v>43374</v>
      </c>
      <c r="P815" t="s">
        <v>5929</v>
      </c>
      <c r="Q815" t="s">
        <v>13278</v>
      </c>
      <c r="R815" t="s">
        <v>6036</v>
      </c>
      <c r="S815" s="3">
        <v>43377</v>
      </c>
      <c r="T815" t="s">
        <v>9938</v>
      </c>
      <c r="U815" t="s">
        <v>6467</v>
      </c>
      <c r="V815" t="s">
        <v>6468</v>
      </c>
      <c r="W815" t="s">
        <v>5857</v>
      </c>
      <c r="X815" s="2">
        <v>1020</v>
      </c>
      <c r="Y815" t="s">
        <v>5858</v>
      </c>
      <c r="Z815" t="s">
        <v>6037</v>
      </c>
      <c r="AA815" s="2">
        <v>20000</v>
      </c>
      <c r="AB815" t="s">
        <v>5863</v>
      </c>
      <c r="AC815" t="s">
        <v>9976</v>
      </c>
      <c r="AD815" s="32"/>
      <c r="AJ815" t="s">
        <v>9957</v>
      </c>
      <c r="AL815" t="s">
        <v>14054</v>
      </c>
    </row>
    <row r="816" spans="1:38">
      <c r="A816" t="s">
        <v>8311</v>
      </c>
      <c r="B816" t="s">
        <v>13279</v>
      </c>
      <c r="C816" t="s">
        <v>6464</v>
      </c>
      <c r="D816" t="s">
        <v>6465</v>
      </c>
      <c r="E816" s="2">
        <v>20000</v>
      </c>
      <c r="F816" s="2">
        <v>20000</v>
      </c>
      <c r="G816" s="3">
        <v>43371</v>
      </c>
      <c r="H816" s="4">
        <v>0.66953703703704004</v>
      </c>
      <c r="I816" s="3">
        <v>43372</v>
      </c>
      <c r="J816" s="4">
        <v>0.48652777777778</v>
      </c>
      <c r="K816" s="2">
        <v>0</v>
      </c>
      <c r="L816" t="s">
        <v>5856</v>
      </c>
      <c r="M816" t="s">
        <v>8072</v>
      </c>
      <c r="N816" s="3">
        <v>43277</v>
      </c>
      <c r="O816" s="3">
        <v>43374</v>
      </c>
      <c r="P816" t="s">
        <v>5929</v>
      </c>
      <c r="Q816" t="s">
        <v>13280</v>
      </c>
      <c r="R816" t="s">
        <v>6036</v>
      </c>
      <c r="S816" s="3">
        <v>43377</v>
      </c>
      <c r="T816" t="s">
        <v>9938</v>
      </c>
      <c r="U816" t="s">
        <v>6467</v>
      </c>
      <c r="V816" t="s">
        <v>6468</v>
      </c>
      <c r="W816" t="s">
        <v>5857</v>
      </c>
      <c r="X816" s="2">
        <v>1020</v>
      </c>
      <c r="Y816" t="s">
        <v>5858</v>
      </c>
      <c r="Z816" t="s">
        <v>6037</v>
      </c>
      <c r="AA816" s="2">
        <v>20000</v>
      </c>
      <c r="AB816" t="s">
        <v>5863</v>
      </c>
      <c r="AC816" t="s">
        <v>9976</v>
      </c>
      <c r="AD816" s="32"/>
      <c r="AJ816" t="s">
        <v>9957</v>
      </c>
      <c r="AL816" t="s">
        <v>14055</v>
      </c>
    </row>
    <row r="817" spans="1:38">
      <c r="A817" t="s">
        <v>8311</v>
      </c>
      <c r="B817" t="s">
        <v>13281</v>
      </c>
      <c r="C817" t="s">
        <v>6464</v>
      </c>
      <c r="D817" t="s">
        <v>6465</v>
      </c>
      <c r="E817" s="2">
        <v>20000</v>
      </c>
      <c r="F817" s="2">
        <v>20000</v>
      </c>
      <c r="G817" s="3">
        <v>43371</v>
      </c>
      <c r="H817" s="4">
        <v>0.95792824074074001</v>
      </c>
      <c r="I817" s="3">
        <v>43372</v>
      </c>
      <c r="J817" s="4">
        <v>0.77491898148147997</v>
      </c>
      <c r="K817" s="2">
        <v>20</v>
      </c>
      <c r="L817" t="s">
        <v>5856</v>
      </c>
      <c r="M817" t="s">
        <v>8072</v>
      </c>
      <c r="N817" s="3">
        <v>43270</v>
      </c>
      <c r="O817" s="3">
        <v>43374</v>
      </c>
      <c r="P817" t="s">
        <v>5929</v>
      </c>
      <c r="Q817" t="s">
        <v>13282</v>
      </c>
      <c r="R817" t="s">
        <v>6042</v>
      </c>
      <c r="S817" s="3">
        <v>43377</v>
      </c>
      <c r="T817" t="s">
        <v>9938</v>
      </c>
      <c r="U817" t="s">
        <v>6467</v>
      </c>
      <c r="V817" t="s">
        <v>6468</v>
      </c>
      <c r="W817" t="s">
        <v>5857</v>
      </c>
      <c r="X817" s="2">
        <v>1020</v>
      </c>
      <c r="Y817" t="s">
        <v>5858</v>
      </c>
      <c r="Z817" t="s">
        <v>6037</v>
      </c>
      <c r="AA817" s="2">
        <v>20000</v>
      </c>
      <c r="AB817" t="s">
        <v>5863</v>
      </c>
      <c r="AC817" t="s">
        <v>9976</v>
      </c>
      <c r="AD817" s="32"/>
      <c r="AJ817" t="s">
        <v>9957</v>
      </c>
      <c r="AL817" t="s">
        <v>14056</v>
      </c>
    </row>
    <row r="818" spans="1:38">
      <c r="A818" t="s">
        <v>8311</v>
      </c>
      <c r="B818" t="s">
        <v>13283</v>
      </c>
      <c r="C818" t="s">
        <v>6464</v>
      </c>
      <c r="D818" t="s">
        <v>6465</v>
      </c>
      <c r="E818" s="2">
        <v>20000</v>
      </c>
      <c r="F818" s="2">
        <v>20000</v>
      </c>
      <c r="G818" s="3">
        <v>43372</v>
      </c>
      <c r="H818" s="4">
        <v>0.12010416666667</v>
      </c>
      <c r="I818" s="3">
        <v>43372</v>
      </c>
      <c r="J818" s="4">
        <v>0.93709490740740997</v>
      </c>
      <c r="K818" s="2">
        <v>20</v>
      </c>
      <c r="L818" t="s">
        <v>5856</v>
      </c>
      <c r="M818" t="s">
        <v>8072</v>
      </c>
      <c r="N818" s="3">
        <v>43270</v>
      </c>
      <c r="O818" s="3">
        <v>43374</v>
      </c>
      <c r="P818" t="s">
        <v>5929</v>
      </c>
      <c r="Q818" t="s">
        <v>13282</v>
      </c>
      <c r="R818" t="s">
        <v>6044</v>
      </c>
      <c r="S818" s="3">
        <v>43377</v>
      </c>
      <c r="T818" t="s">
        <v>9938</v>
      </c>
      <c r="U818" t="s">
        <v>6467</v>
      </c>
      <c r="V818" t="s">
        <v>6468</v>
      </c>
      <c r="W818" t="s">
        <v>5857</v>
      </c>
      <c r="X818" s="2">
        <v>1020</v>
      </c>
      <c r="Y818" t="s">
        <v>5858</v>
      </c>
      <c r="Z818" t="s">
        <v>6037</v>
      </c>
      <c r="AA818" s="2">
        <v>20000</v>
      </c>
      <c r="AB818" t="s">
        <v>5863</v>
      </c>
      <c r="AC818" t="s">
        <v>9976</v>
      </c>
      <c r="AD818" s="32"/>
      <c r="AJ818" t="s">
        <v>9957</v>
      </c>
      <c r="AL818" t="s">
        <v>14057</v>
      </c>
    </row>
    <row r="819" spans="1:38">
      <c r="A819" t="s">
        <v>8311</v>
      </c>
      <c r="B819" t="s">
        <v>13284</v>
      </c>
      <c r="C819" t="s">
        <v>6464</v>
      </c>
      <c r="D819" t="s">
        <v>6465</v>
      </c>
      <c r="E819" s="2">
        <v>20000</v>
      </c>
      <c r="F819" s="2">
        <v>20000</v>
      </c>
      <c r="G819" s="3">
        <v>43372</v>
      </c>
      <c r="H819" s="4">
        <v>0.18300925925926001</v>
      </c>
      <c r="I819" s="3">
        <v>43373</v>
      </c>
      <c r="J819" s="4">
        <v>0</v>
      </c>
      <c r="K819" s="2">
        <v>0</v>
      </c>
      <c r="L819" t="s">
        <v>5856</v>
      </c>
      <c r="M819" t="s">
        <v>8072</v>
      </c>
      <c r="N819" s="3">
        <v>43277</v>
      </c>
      <c r="O819" s="3">
        <v>43374</v>
      </c>
      <c r="P819" t="s">
        <v>5929</v>
      </c>
      <c r="Q819" t="s">
        <v>13285</v>
      </c>
      <c r="R819" t="s">
        <v>6036</v>
      </c>
      <c r="S819" s="3">
        <v>43377</v>
      </c>
      <c r="T819" t="s">
        <v>9938</v>
      </c>
      <c r="U819" t="s">
        <v>6467</v>
      </c>
      <c r="V819" t="s">
        <v>6468</v>
      </c>
      <c r="W819" t="s">
        <v>5857</v>
      </c>
      <c r="X819" s="2">
        <v>1020</v>
      </c>
      <c r="Y819" t="s">
        <v>5858</v>
      </c>
      <c r="Z819" t="s">
        <v>6037</v>
      </c>
      <c r="AA819" s="2">
        <v>20000</v>
      </c>
      <c r="AB819" t="s">
        <v>5863</v>
      </c>
      <c r="AC819" t="s">
        <v>9976</v>
      </c>
      <c r="AD819" s="32"/>
      <c r="AJ819" t="s">
        <v>9957</v>
      </c>
      <c r="AL819" t="s">
        <v>14058</v>
      </c>
    </row>
    <row r="820" spans="1:38">
      <c r="A820" t="s">
        <v>8311</v>
      </c>
      <c r="B820" t="s">
        <v>13286</v>
      </c>
      <c r="C820" t="s">
        <v>6464</v>
      </c>
      <c r="D820" t="s">
        <v>6465</v>
      </c>
      <c r="E820" s="2">
        <v>20000</v>
      </c>
      <c r="F820" s="2">
        <v>20000</v>
      </c>
      <c r="G820" s="3">
        <v>43372</v>
      </c>
      <c r="H820" s="4">
        <v>0.18300925925926001</v>
      </c>
      <c r="I820" s="3">
        <v>43373</v>
      </c>
      <c r="J820" s="4">
        <v>0</v>
      </c>
      <c r="K820" s="2">
        <v>20</v>
      </c>
      <c r="L820" t="s">
        <v>5856</v>
      </c>
      <c r="M820" t="s">
        <v>8072</v>
      </c>
      <c r="N820" s="3">
        <v>43270</v>
      </c>
      <c r="O820" s="3">
        <v>43374</v>
      </c>
      <c r="P820" t="s">
        <v>5929</v>
      </c>
      <c r="Q820" t="s">
        <v>13282</v>
      </c>
      <c r="R820" t="s">
        <v>6036</v>
      </c>
      <c r="S820" s="3">
        <v>43377</v>
      </c>
      <c r="T820" t="s">
        <v>9938</v>
      </c>
      <c r="U820" t="s">
        <v>6467</v>
      </c>
      <c r="V820" t="s">
        <v>6468</v>
      </c>
      <c r="W820" t="s">
        <v>5857</v>
      </c>
      <c r="X820" s="2">
        <v>1020</v>
      </c>
      <c r="Y820" t="s">
        <v>5858</v>
      </c>
      <c r="Z820" t="s">
        <v>6037</v>
      </c>
      <c r="AA820" s="2">
        <v>20000</v>
      </c>
      <c r="AB820" t="s">
        <v>5863</v>
      </c>
      <c r="AC820" t="s">
        <v>9976</v>
      </c>
      <c r="AD820" s="32"/>
      <c r="AJ820" t="s">
        <v>9957</v>
      </c>
      <c r="AL820" t="s">
        <v>14059</v>
      </c>
    </row>
    <row r="821" spans="1:38">
      <c r="A821" t="s">
        <v>8311</v>
      </c>
      <c r="B821" t="s">
        <v>13287</v>
      </c>
      <c r="C821" t="s">
        <v>8404</v>
      </c>
      <c r="D821" t="s">
        <v>8405</v>
      </c>
      <c r="E821" s="2">
        <v>20000</v>
      </c>
      <c r="F821" s="2">
        <v>20000</v>
      </c>
      <c r="G821" s="3">
        <v>43372</v>
      </c>
      <c r="H821" s="4">
        <v>0.71241898148147997</v>
      </c>
      <c r="I821" s="3">
        <v>43373</v>
      </c>
      <c r="J821" s="4">
        <v>0.52940972222222005</v>
      </c>
      <c r="K821" s="2">
        <v>20</v>
      </c>
      <c r="L821" t="s">
        <v>5856</v>
      </c>
      <c r="M821" t="s">
        <v>8072</v>
      </c>
      <c r="N821" s="3">
        <v>43272</v>
      </c>
      <c r="O821" s="3">
        <v>43375</v>
      </c>
      <c r="P821" t="s">
        <v>5929</v>
      </c>
      <c r="Q821" t="s">
        <v>13288</v>
      </c>
      <c r="R821" t="s">
        <v>6036</v>
      </c>
      <c r="S821" s="3">
        <v>43377</v>
      </c>
      <c r="T821" t="s">
        <v>9938</v>
      </c>
      <c r="U821" t="s">
        <v>8407</v>
      </c>
      <c r="V821" t="s">
        <v>6468</v>
      </c>
      <c r="W821" t="s">
        <v>5857</v>
      </c>
      <c r="X821" s="2">
        <v>1020</v>
      </c>
      <c r="Y821" t="s">
        <v>5858</v>
      </c>
      <c r="Z821" t="s">
        <v>6037</v>
      </c>
      <c r="AA821" s="2">
        <v>20000</v>
      </c>
      <c r="AB821" t="s">
        <v>5863</v>
      </c>
      <c r="AD821" s="32"/>
      <c r="AJ821" t="s">
        <v>9957</v>
      </c>
      <c r="AL821" t="s">
        <v>14060</v>
      </c>
    </row>
    <row r="822" spans="1:38">
      <c r="A822" t="s">
        <v>8311</v>
      </c>
      <c r="B822" t="s">
        <v>13289</v>
      </c>
      <c r="C822" t="s">
        <v>6464</v>
      </c>
      <c r="D822" t="s">
        <v>6465</v>
      </c>
      <c r="E822" s="2">
        <v>20000</v>
      </c>
      <c r="F822" s="2">
        <v>20000</v>
      </c>
      <c r="G822" s="3">
        <v>43372</v>
      </c>
      <c r="H822" s="4">
        <v>0.83171296296296005</v>
      </c>
      <c r="I822" s="3">
        <v>43373</v>
      </c>
      <c r="J822" s="4">
        <v>0.64870370370370001</v>
      </c>
      <c r="K822" s="2">
        <v>0</v>
      </c>
      <c r="L822" t="s">
        <v>5856</v>
      </c>
      <c r="M822" t="s">
        <v>8072</v>
      </c>
      <c r="N822" s="3">
        <v>43277</v>
      </c>
      <c r="O822" s="3">
        <v>43375</v>
      </c>
      <c r="P822" t="s">
        <v>5929</v>
      </c>
      <c r="Q822" t="s">
        <v>13290</v>
      </c>
      <c r="R822" t="s">
        <v>6036</v>
      </c>
      <c r="S822" s="3">
        <v>43377</v>
      </c>
      <c r="T822" t="s">
        <v>9938</v>
      </c>
      <c r="U822" t="s">
        <v>6467</v>
      </c>
      <c r="V822" t="s">
        <v>6468</v>
      </c>
      <c r="W822" t="s">
        <v>5857</v>
      </c>
      <c r="X822" s="2">
        <v>1020</v>
      </c>
      <c r="Y822" t="s">
        <v>5858</v>
      </c>
      <c r="Z822" t="s">
        <v>6037</v>
      </c>
      <c r="AA822" s="2">
        <v>20000</v>
      </c>
      <c r="AB822" t="s">
        <v>5863</v>
      </c>
      <c r="AC822" t="s">
        <v>9976</v>
      </c>
      <c r="AD822" s="32"/>
      <c r="AJ822" t="s">
        <v>9957</v>
      </c>
      <c r="AL822" t="s">
        <v>14061</v>
      </c>
    </row>
    <row r="823" spans="1:38">
      <c r="A823" t="s">
        <v>8311</v>
      </c>
      <c r="B823" t="s">
        <v>13291</v>
      </c>
      <c r="C823" t="s">
        <v>8404</v>
      </c>
      <c r="D823" t="s">
        <v>8405</v>
      </c>
      <c r="E823" s="2">
        <v>20000</v>
      </c>
      <c r="F823" s="2">
        <v>20000</v>
      </c>
      <c r="G823" s="3">
        <v>43372</v>
      </c>
      <c r="H823" s="4">
        <v>0.87459490740740997</v>
      </c>
      <c r="I823" s="3">
        <v>43373</v>
      </c>
      <c r="J823" s="4">
        <v>0.69158564814815005</v>
      </c>
      <c r="K823" s="2">
        <v>20</v>
      </c>
      <c r="L823" t="s">
        <v>5856</v>
      </c>
      <c r="M823" t="s">
        <v>8072</v>
      </c>
      <c r="N823" s="3">
        <v>43272</v>
      </c>
      <c r="O823" s="3">
        <v>43375</v>
      </c>
      <c r="P823" t="s">
        <v>5929</v>
      </c>
      <c r="Q823" t="s">
        <v>13288</v>
      </c>
      <c r="R823" t="s">
        <v>6042</v>
      </c>
      <c r="S823" s="3">
        <v>43377</v>
      </c>
      <c r="T823" t="s">
        <v>9938</v>
      </c>
      <c r="U823" t="s">
        <v>8407</v>
      </c>
      <c r="V823" t="s">
        <v>6468</v>
      </c>
      <c r="W823" t="s">
        <v>5857</v>
      </c>
      <c r="X823" s="2">
        <v>1020</v>
      </c>
      <c r="Y823" t="s">
        <v>5858</v>
      </c>
      <c r="Z823" t="s">
        <v>6037</v>
      </c>
      <c r="AA823" s="2">
        <v>20000</v>
      </c>
      <c r="AB823" t="s">
        <v>5863</v>
      </c>
      <c r="AD823" s="32"/>
      <c r="AJ823" t="s">
        <v>9957</v>
      </c>
      <c r="AL823" t="s">
        <v>14062</v>
      </c>
    </row>
    <row r="824" spans="1:38">
      <c r="A824" t="s">
        <v>8311</v>
      </c>
      <c r="B824" t="s">
        <v>13292</v>
      </c>
      <c r="C824" t="s">
        <v>8404</v>
      </c>
      <c r="D824" t="s">
        <v>8405</v>
      </c>
      <c r="E824" s="2">
        <v>20000</v>
      </c>
      <c r="F824" s="2">
        <v>20000</v>
      </c>
      <c r="G824" s="3">
        <v>43372</v>
      </c>
      <c r="H824" s="4">
        <v>0.91708333333333003</v>
      </c>
      <c r="I824" s="3">
        <v>43373</v>
      </c>
      <c r="J824" s="4">
        <v>0.73407407407406999</v>
      </c>
      <c r="K824" s="2">
        <v>20</v>
      </c>
      <c r="L824" t="s">
        <v>5856</v>
      </c>
      <c r="M824" t="s">
        <v>8072</v>
      </c>
      <c r="N824" s="3">
        <v>43272</v>
      </c>
      <c r="O824" s="3">
        <v>43375</v>
      </c>
      <c r="P824" t="s">
        <v>5929</v>
      </c>
      <c r="Q824" t="s">
        <v>13293</v>
      </c>
      <c r="R824" t="s">
        <v>6036</v>
      </c>
      <c r="S824" s="3">
        <v>43377</v>
      </c>
      <c r="T824" t="s">
        <v>9938</v>
      </c>
      <c r="U824" t="s">
        <v>8407</v>
      </c>
      <c r="V824" t="s">
        <v>6468</v>
      </c>
      <c r="W824" t="s">
        <v>5857</v>
      </c>
      <c r="X824" s="2">
        <v>1020</v>
      </c>
      <c r="Y824" t="s">
        <v>5858</v>
      </c>
      <c r="Z824" t="s">
        <v>6037</v>
      </c>
      <c r="AA824" s="2">
        <v>20000</v>
      </c>
      <c r="AB824" t="s">
        <v>5863</v>
      </c>
      <c r="AD824" s="32"/>
      <c r="AJ824" t="s">
        <v>9957</v>
      </c>
      <c r="AL824" t="s">
        <v>14063</v>
      </c>
    </row>
    <row r="825" spans="1:38">
      <c r="A825" t="s">
        <v>8311</v>
      </c>
      <c r="B825" t="s">
        <v>13294</v>
      </c>
      <c r="C825" t="s">
        <v>8404</v>
      </c>
      <c r="D825" t="s">
        <v>8405</v>
      </c>
      <c r="E825" s="2">
        <v>20000</v>
      </c>
      <c r="F825" s="2">
        <v>20000</v>
      </c>
      <c r="G825" s="3">
        <v>43373</v>
      </c>
      <c r="H825" s="4">
        <v>3.6770833333329998E-2</v>
      </c>
      <c r="I825" s="3">
        <v>43373</v>
      </c>
      <c r="J825" s="4">
        <v>0.85376157407407005</v>
      </c>
      <c r="K825" s="2">
        <v>20</v>
      </c>
      <c r="L825" t="s">
        <v>5856</v>
      </c>
      <c r="M825" t="s">
        <v>8072</v>
      </c>
      <c r="N825" s="3">
        <v>43272</v>
      </c>
      <c r="O825" s="3">
        <v>43375</v>
      </c>
      <c r="P825" t="s">
        <v>5929</v>
      </c>
      <c r="Q825" t="s">
        <v>13288</v>
      </c>
      <c r="R825" t="s">
        <v>6044</v>
      </c>
      <c r="S825" s="3">
        <v>43377</v>
      </c>
      <c r="T825" t="s">
        <v>9938</v>
      </c>
      <c r="U825" t="s">
        <v>8407</v>
      </c>
      <c r="V825" t="s">
        <v>6468</v>
      </c>
      <c r="W825" t="s">
        <v>5857</v>
      </c>
      <c r="X825" s="2">
        <v>1020</v>
      </c>
      <c r="Y825" t="s">
        <v>5858</v>
      </c>
      <c r="Z825" t="s">
        <v>6037</v>
      </c>
      <c r="AA825" s="2">
        <v>20000</v>
      </c>
      <c r="AB825" t="s">
        <v>5863</v>
      </c>
      <c r="AD825" s="32"/>
      <c r="AJ825" t="s">
        <v>9957</v>
      </c>
      <c r="AL825" t="s">
        <v>14064</v>
      </c>
    </row>
    <row r="826" spans="1:38">
      <c r="A826" t="s">
        <v>8409</v>
      </c>
      <c r="B826" t="s">
        <v>12162</v>
      </c>
      <c r="C826" t="s">
        <v>8414</v>
      </c>
      <c r="D826" t="s">
        <v>8415</v>
      </c>
      <c r="E826" s="2">
        <v>19570</v>
      </c>
      <c r="F826" s="2">
        <v>19570</v>
      </c>
      <c r="G826" s="3">
        <v>43277</v>
      </c>
      <c r="H826" s="4">
        <v>0.88317129629629998</v>
      </c>
      <c r="I826" s="3">
        <v>43278</v>
      </c>
      <c r="J826" s="4">
        <v>0.68260416666667001</v>
      </c>
      <c r="K826" s="2">
        <v>4</v>
      </c>
      <c r="L826" t="s">
        <v>5856</v>
      </c>
      <c r="M826" t="s">
        <v>8416</v>
      </c>
      <c r="N826" s="3">
        <v>43283</v>
      </c>
      <c r="O826" s="3">
        <v>43280</v>
      </c>
      <c r="P826" t="s">
        <v>6673</v>
      </c>
      <c r="Q826" t="s">
        <v>8417</v>
      </c>
      <c r="R826" t="s">
        <v>6036</v>
      </c>
      <c r="S826" s="3">
        <v>43283</v>
      </c>
      <c r="T826" t="s">
        <v>9938</v>
      </c>
      <c r="U826" t="s">
        <v>7537</v>
      </c>
      <c r="V826" t="s">
        <v>6067</v>
      </c>
      <c r="W826" t="s">
        <v>5868</v>
      </c>
      <c r="X826" s="2">
        <v>1020</v>
      </c>
      <c r="Y826" t="s">
        <v>5858</v>
      </c>
      <c r="Z826" t="s">
        <v>6037</v>
      </c>
      <c r="AA826" s="2">
        <v>19000</v>
      </c>
      <c r="AB826" t="s">
        <v>5859</v>
      </c>
      <c r="AC826" t="s">
        <v>9978</v>
      </c>
      <c r="AD826" s="32">
        <v>43182</v>
      </c>
      <c r="AJ826" t="s">
        <v>9958</v>
      </c>
      <c r="AL826" t="s">
        <v>11020</v>
      </c>
    </row>
    <row r="827" spans="1:38">
      <c r="A827" t="s">
        <v>8409</v>
      </c>
      <c r="B827" t="s">
        <v>12165</v>
      </c>
      <c r="C827" t="s">
        <v>6670</v>
      </c>
      <c r="D827" t="s">
        <v>6671</v>
      </c>
      <c r="E827" s="2">
        <v>20600</v>
      </c>
      <c r="F827" s="2">
        <v>20600</v>
      </c>
      <c r="G827" s="3">
        <v>43281</v>
      </c>
      <c r="H827" s="4">
        <v>2.0833333333330002E-2</v>
      </c>
      <c r="I827" s="3">
        <v>43281</v>
      </c>
      <c r="J827" s="4">
        <v>0.86233796296295995</v>
      </c>
      <c r="K827" s="2">
        <v>0</v>
      </c>
      <c r="L827" t="s">
        <v>5856</v>
      </c>
      <c r="M827" t="s">
        <v>8151</v>
      </c>
      <c r="N827" s="3">
        <v>43283</v>
      </c>
      <c r="O827" s="3">
        <v>43283</v>
      </c>
      <c r="P827" t="s">
        <v>5889</v>
      </c>
      <c r="Q827" t="s">
        <v>6038</v>
      </c>
      <c r="R827" t="s">
        <v>6040</v>
      </c>
      <c r="S827" s="3">
        <v>43288</v>
      </c>
      <c r="T827" t="s">
        <v>9938</v>
      </c>
      <c r="U827" t="s">
        <v>6675</v>
      </c>
      <c r="V827" t="s">
        <v>6067</v>
      </c>
      <c r="W827" t="s">
        <v>5857</v>
      </c>
      <c r="X827" s="2">
        <v>1020</v>
      </c>
      <c r="Y827" t="s">
        <v>5858</v>
      </c>
      <c r="Z827" t="s">
        <v>6037</v>
      </c>
      <c r="AA827" s="2">
        <v>20000</v>
      </c>
      <c r="AB827" t="s">
        <v>5859</v>
      </c>
      <c r="AC827" t="s">
        <v>9979</v>
      </c>
      <c r="AD827" s="32">
        <v>43272</v>
      </c>
      <c r="AJ827" t="s">
        <v>9958</v>
      </c>
      <c r="AL827" t="s">
        <v>14065</v>
      </c>
    </row>
    <row r="828" spans="1:38">
      <c r="A828" t="s">
        <v>8409</v>
      </c>
      <c r="B828" t="s">
        <v>12203</v>
      </c>
      <c r="C828" t="s">
        <v>6459</v>
      </c>
      <c r="D828" t="s">
        <v>6460</v>
      </c>
      <c r="E828" s="2">
        <v>300</v>
      </c>
      <c r="F828" s="2">
        <v>10300</v>
      </c>
      <c r="G828" s="3">
        <v>43281</v>
      </c>
      <c r="H828" s="4">
        <v>0.88317129629629998</v>
      </c>
      <c r="I828" s="3">
        <v>43282</v>
      </c>
      <c r="J828" s="4">
        <v>0.30392361111110999</v>
      </c>
      <c r="K828" s="2">
        <v>55</v>
      </c>
      <c r="L828" t="s">
        <v>5856</v>
      </c>
      <c r="M828" t="s">
        <v>8165</v>
      </c>
      <c r="N828" s="3"/>
      <c r="O828" s="3">
        <v>43284</v>
      </c>
      <c r="P828" t="s">
        <v>5898</v>
      </c>
      <c r="Q828" t="s">
        <v>6038</v>
      </c>
      <c r="R828" t="s">
        <v>6039</v>
      </c>
      <c r="S828" s="3"/>
      <c r="T828" t="s">
        <v>9938</v>
      </c>
      <c r="U828" t="s">
        <v>6065</v>
      </c>
      <c r="V828" t="s">
        <v>5899</v>
      </c>
      <c r="W828" t="s">
        <v>5857</v>
      </c>
      <c r="X828" s="2">
        <v>1020</v>
      </c>
      <c r="Y828" t="s">
        <v>5858</v>
      </c>
      <c r="Z828" t="s">
        <v>6037</v>
      </c>
      <c r="AA828" s="2">
        <v>0</v>
      </c>
      <c r="AB828" t="s">
        <v>5859</v>
      </c>
      <c r="AC828" t="s">
        <v>9975</v>
      </c>
      <c r="AD828" s="32">
        <v>43278</v>
      </c>
      <c r="AI828" t="s">
        <v>9939</v>
      </c>
      <c r="AJ828" t="s">
        <v>9958</v>
      </c>
      <c r="AL828" t="s">
        <v>11055</v>
      </c>
    </row>
    <row r="829" spans="1:38">
      <c r="A829" t="s">
        <v>8409</v>
      </c>
      <c r="B829" t="s">
        <v>12163</v>
      </c>
      <c r="C829" t="s">
        <v>6670</v>
      </c>
      <c r="D829" t="s">
        <v>6671</v>
      </c>
      <c r="E829" s="2">
        <v>600</v>
      </c>
      <c r="F829" s="2">
        <v>20600</v>
      </c>
      <c r="G829" s="3">
        <v>43282</v>
      </c>
      <c r="H829" s="4">
        <v>0.32475694444443998</v>
      </c>
      <c r="I829" s="3">
        <v>43283</v>
      </c>
      <c r="J829" s="4">
        <v>0.16626157407407</v>
      </c>
      <c r="K829" s="2">
        <v>0</v>
      </c>
      <c r="L829" t="s">
        <v>5856</v>
      </c>
      <c r="M829" t="s">
        <v>8151</v>
      </c>
      <c r="N829" s="3">
        <v>43283</v>
      </c>
      <c r="O829" s="3">
        <v>43285</v>
      </c>
      <c r="P829" t="s">
        <v>5889</v>
      </c>
      <c r="Q829" t="s">
        <v>6038</v>
      </c>
      <c r="R829" t="s">
        <v>6039</v>
      </c>
      <c r="S829" s="3"/>
      <c r="T829" t="s">
        <v>9938</v>
      </c>
      <c r="U829" t="s">
        <v>6675</v>
      </c>
      <c r="V829" t="s">
        <v>6067</v>
      </c>
      <c r="W829" t="s">
        <v>5857</v>
      </c>
      <c r="X829" s="2">
        <v>1020</v>
      </c>
      <c r="Y829" t="s">
        <v>5858</v>
      </c>
      <c r="Z829" t="s">
        <v>6037</v>
      </c>
      <c r="AA829" s="2">
        <v>0</v>
      </c>
      <c r="AB829" t="s">
        <v>5859</v>
      </c>
      <c r="AC829" t="s">
        <v>9979</v>
      </c>
      <c r="AD829" s="32">
        <v>43272</v>
      </c>
      <c r="AJ829" t="s">
        <v>9958</v>
      </c>
      <c r="AL829" t="s">
        <v>11021</v>
      </c>
    </row>
    <row r="830" spans="1:38">
      <c r="A830" t="s">
        <v>8409</v>
      </c>
      <c r="B830" t="s">
        <v>13295</v>
      </c>
      <c r="C830" t="s">
        <v>6670</v>
      </c>
      <c r="D830" t="s">
        <v>6671</v>
      </c>
      <c r="E830" s="2">
        <v>20600</v>
      </c>
      <c r="F830" s="2">
        <v>20600</v>
      </c>
      <c r="G830" s="3">
        <v>43283</v>
      </c>
      <c r="H830" s="4">
        <v>0.18709490740741</v>
      </c>
      <c r="I830" s="3">
        <v>43284</v>
      </c>
      <c r="J830" s="4">
        <v>2.8599537037040001E-2</v>
      </c>
      <c r="K830" s="2">
        <v>0</v>
      </c>
      <c r="L830" t="s">
        <v>5856</v>
      </c>
      <c r="M830" t="s">
        <v>8151</v>
      </c>
      <c r="N830" s="3">
        <v>43290</v>
      </c>
      <c r="O830" s="3">
        <v>43286</v>
      </c>
      <c r="P830" t="s">
        <v>5889</v>
      </c>
      <c r="Q830" t="s">
        <v>8423</v>
      </c>
      <c r="R830" t="s">
        <v>6036</v>
      </c>
      <c r="S830" s="3">
        <v>43293</v>
      </c>
      <c r="T830" t="s">
        <v>9938</v>
      </c>
      <c r="U830" t="s">
        <v>6675</v>
      </c>
      <c r="V830" t="s">
        <v>6067</v>
      </c>
      <c r="W830" t="s">
        <v>5857</v>
      </c>
      <c r="X830" s="2">
        <v>1020</v>
      </c>
      <c r="Y830" t="s">
        <v>5858</v>
      </c>
      <c r="Z830" t="s">
        <v>6037</v>
      </c>
      <c r="AA830" s="2">
        <v>20000</v>
      </c>
      <c r="AB830" t="s">
        <v>5859</v>
      </c>
      <c r="AC830" t="s">
        <v>9979</v>
      </c>
      <c r="AD830" s="32">
        <v>43280</v>
      </c>
      <c r="AJ830" t="s">
        <v>9958</v>
      </c>
      <c r="AL830" t="s">
        <v>14066</v>
      </c>
    </row>
    <row r="831" spans="1:38">
      <c r="A831" t="s">
        <v>8409</v>
      </c>
      <c r="B831" t="s">
        <v>12164</v>
      </c>
      <c r="C831" t="s">
        <v>6469</v>
      </c>
      <c r="D831" t="s">
        <v>6470</v>
      </c>
      <c r="E831" s="5">
        <v>269.25</v>
      </c>
      <c r="F831" s="5">
        <v>9244.25</v>
      </c>
      <c r="G831" s="3">
        <v>43284</v>
      </c>
      <c r="H831" s="4">
        <v>4.9432870370370002E-2</v>
      </c>
      <c r="I831" s="3">
        <v>43284</v>
      </c>
      <c r="J831" s="4">
        <v>0.42704861111110998</v>
      </c>
      <c r="K831" s="2">
        <v>0</v>
      </c>
      <c r="L831" t="s">
        <v>5856</v>
      </c>
      <c r="M831" t="s">
        <v>8418</v>
      </c>
      <c r="N831" s="3">
        <v>43285</v>
      </c>
      <c r="O831" s="3">
        <v>43286</v>
      </c>
      <c r="P831" t="s">
        <v>5898</v>
      </c>
      <c r="Q831" t="s">
        <v>6038</v>
      </c>
      <c r="R831" t="s">
        <v>6039</v>
      </c>
      <c r="S831" s="3"/>
      <c r="T831" t="s">
        <v>9938</v>
      </c>
      <c r="U831" t="s">
        <v>6472</v>
      </c>
      <c r="V831" t="s">
        <v>5950</v>
      </c>
      <c r="W831" t="s">
        <v>5857</v>
      </c>
      <c r="X831" s="2">
        <v>1020</v>
      </c>
      <c r="Y831" t="s">
        <v>5858</v>
      </c>
      <c r="Z831" t="s">
        <v>6037</v>
      </c>
      <c r="AA831" s="2">
        <v>0</v>
      </c>
      <c r="AB831" t="s">
        <v>5859</v>
      </c>
      <c r="AC831" t="s">
        <v>9974</v>
      </c>
      <c r="AD831" s="32">
        <v>43278</v>
      </c>
      <c r="AI831" t="s">
        <v>9940</v>
      </c>
      <c r="AJ831" t="s">
        <v>9959</v>
      </c>
      <c r="AL831" t="s">
        <v>11022</v>
      </c>
    </row>
    <row r="832" spans="1:38">
      <c r="A832" t="s">
        <v>8409</v>
      </c>
      <c r="B832" t="s">
        <v>12167</v>
      </c>
      <c r="C832" t="s">
        <v>6670</v>
      </c>
      <c r="D832" t="s">
        <v>6671</v>
      </c>
      <c r="E832" s="2">
        <v>20600</v>
      </c>
      <c r="F832" s="2">
        <v>20600</v>
      </c>
      <c r="G832" s="3">
        <v>43284</v>
      </c>
      <c r="H832" s="4">
        <v>0.44788194444444002</v>
      </c>
      <c r="I832" s="3">
        <v>43285</v>
      </c>
      <c r="J832" s="4">
        <v>0.28938657407406998</v>
      </c>
      <c r="K832" s="2">
        <v>0</v>
      </c>
      <c r="L832" t="s">
        <v>5856</v>
      </c>
      <c r="M832" t="s">
        <v>8151</v>
      </c>
      <c r="N832" s="3"/>
      <c r="O832" s="3">
        <v>43287</v>
      </c>
      <c r="P832" t="s">
        <v>5889</v>
      </c>
      <c r="Q832" t="s">
        <v>13296</v>
      </c>
      <c r="R832" t="s">
        <v>6036</v>
      </c>
      <c r="S832" s="3">
        <v>43293</v>
      </c>
      <c r="T832" t="s">
        <v>9938</v>
      </c>
      <c r="U832" t="s">
        <v>6675</v>
      </c>
      <c r="V832" t="s">
        <v>6067</v>
      </c>
      <c r="W832" t="s">
        <v>5857</v>
      </c>
      <c r="X832" s="2">
        <v>1020</v>
      </c>
      <c r="Y832" t="s">
        <v>5858</v>
      </c>
      <c r="Z832" t="s">
        <v>6037</v>
      </c>
      <c r="AA832" s="2">
        <v>20000</v>
      </c>
      <c r="AB832" t="s">
        <v>5859</v>
      </c>
      <c r="AC832" t="s">
        <v>9979</v>
      </c>
      <c r="AD832" s="32">
        <v>43272</v>
      </c>
      <c r="AJ832" t="s">
        <v>9958</v>
      </c>
      <c r="AL832" t="s">
        <v>11024</v>
      </c>
    </row>
    <row r="833" spans="1:38">
      <c r="A833" t="s">
        <v>8409</v>
      </c>
      <c r="B833" t="s">
        <v>12166</v>
      </c>
      <c r="C833" t="s">
        <v>8420</v>
      </c>
      <c r="D833" t="s">
        <v>8421</v>
      </c>
      <c r="E833" s="2">
        <v>20600</v>
      </c>
      <c r="F833" s="2">
        <v>20600</v>
      </c>
      <c r="G833" s="3">
        <v>43285</v>
      </c>
      <c r="H833" s="4">
        <v>0.31021990740741001</v>
      </c>
      <c r="I833" s="3">
        <v>43286</v>
      </c>
      <c r="J833" s="4">
        <v>0.15172453703704</v>
      </c>
      <c r="K833" s="2">
        <v>4</v>
      </c>
      <c r="L833" t="s">
        <v>5856</v>
      </c>
      <c r="M833" t="s">
        <v>8151</v>
      </c>
      <c r="N833" s="3">
        <v>43284</v>
      </c>
      <c r="O833" s="3">
        <v>43288</v>
      </c>
      <c r="P833" t="s">
        <v>6673</v>
      </c>
      <c r="Q833" t="s">
        <v>13297</v>
      </c>
      <c r="R833" t="s">
        <v>6036</v>
      </c>
      <c r="S833" s="3">
        <v>43297</v>
      </c>
      <c r="T833" t="s">
        <v>9938</v>
      </c>
      <c r="U833" t="s">
        <v>7537</v>
      </c>
      <c r="V833" t="s">
        <v>6067</v>
      </c>
      <c r="W833" t="s">
        <v>5857</v>
      </c>
      <c r="X833" s="2">
        <v>1020</v>
      </c>
      <c r="Y833" t="s">
        <v>5858</v>
      </c>
      <c r="Z833" t="s">
        <v>6037</v>
      </c>
      <c r="AA833" s="2">
        <v>20000</v>
      </c>
      <c r="AB833" t="s">
        <v>5859</v>
      </c>
      <c r="AC833" t="s">
        <v>9979</v>
      </c>
      <c r="AD833" s="32">
        <v>43272</v>
      </c>
      <c r="AJ833" t="s">
        <v>9958</v>
      </c>
      <c r="AL833" t="s">
        <v>11023</v>
      </c>
    </row>
    <row r="834" spans="1:38">
      <c r="A834" t="s">
        <v>8409</v>
      </c>
      <c r="B834" t="s">
        <v>13298</v>
      </c>
      <c r="C834" t="s">
        <v>6670</v>
      </c>
      <c r="D834" t="s">
        <v>6671</v>
      </c>
      <c r="E834" s="2">
        <v>20600</v>
      </c>
      <c r="F834" s="2">
        <v>20600</v>
      </c>
      <c r="G834" s="3">
        <v>43286</v>
      </c>
      <c r="H834" s="4">
        <v>0.17255787037036999</v>
      </c>
      <c r="I834" s="3">
        <v>43287</v>
      </c>
      <c r="J834" s="4">
        <v>1.40625E-2</v>
      </c>
      <c r="K834" s="2">
        <v>0</v>
      </c>
      <c r="L834" t="s">
        <v>5856</v>
      </c>
      <c r="M834" t="s">
        <v>8151</v>
      </c>
      <c r="N834" s="3"/>
      <c r="O834" s="3">
        <v>43289</v>
      </c>
      <c r="P834" t="s">
        <v>5889</v>
      </c>
      <c r="Q834" t="s">
        <v>8803</v>
      </c>
      <c r="R834" t="s">
        <v>6036</v>
      </c>
      <c r="S834" s="3">
        <v>43311</v>
      </c>
      <c r="T834" t="s">
        <v>9938</v>
      </c>
      <c r="U834" t="s">
        <v>6675</v>
      </c>
      <c r="V834" t="s">
        <v>6067</v>
      </c>
      <c r="W834" t="s">
        <v>5857</v>
      </c>
      <c r="X834" s="2">
        <v>1020</v>
      </c>
      <c r="Y834" t="s">
        <v>5858</v>
      </c>
      <c r="Z834" t="s">
        <v>6037</v>
      </c>
      <c r="AA834" s="2">
        <v>20000</v>
      </c>
      <c r="AB834" t="s">
        <v>5863</v>
      </c>
      <c r="AC834" t="s">
        <v>9979</v>
      </c>
      <c r="AD834" s="32">
        <v>43280</v>
      </c>
      <c r="AJ834" t="s">
        <v>9958</v>
      </c>
      <c r="AL834" t="s">
        <v>14067</v>
      </c>
    </row>
    <row r="835" spans="1:38">
      <c r="A835" t="s">
        <v>8409</v>
      </c>
      <c r="B835" t="s">
        <v>12168</v>
      </c>
      <c r="C835" t="s">
        <v>8420</v>
      </c>
      <c r="D835" t="s">
        <v>8421</v>
      </c>
      <c r="E835" s="2">
        <v>20600</v>
      </c>
      <c r="F835" s="2">
        <v>20600</v>
      </c>
      <c r="G835" s="3">
        <v>43287</v>
      </c>
      <c r="H835" s="4">
        <v>3.4895833333329997E-2</v>
      </c>
      <c r="I835" s="3">
        <v>43287</v>
      </c>
      <c r="J835" s="4">
        <v>0.87640046296296004</v>
      </c>
      <c r="K835" s="2">
        <v>4</v>
      </c>
      <c r="L835" t="s">
        <v>5856</v>
      </c>
      <c r="M835" t="s">
        <v>8151</v>
      </c>
      <c r="N835" s="3">
        <v>43285</v>
      </c>
      <c r="O835" s="3">
        <v>43289</v>
      </c>
      <c r="P835" t="s">
        <v>6673</v>
      </c>
      <c r="Q835" t="s">
        <v>8424</v>
      </c>
      <c r="R835" t="s">
        <v>6036</v>
      </c>
      <c r="S835" s="3">
        <v>43298</v>
      </c>
      <c r="T835" t="s">
        <v>9938</v>
      </c>
      <c r="U835" t="s">
        <v>7537</v>
      </c>
      <c r="V835" t="s">
        <v>6067</v>
      </c>
      <c r="W835" t="s">
        <v>5857</v>
      </c>
      <c r="X835" s="2">
        <v>1020</v>
      </c>
      <c r="Y835" t="s">
        <v>5858</v>
      </c>
      <c r="Z835" t="s">
        <v>6037</v>
      </c>
      <c r="AA835" s="2">
        <v>20000</v>
      </c>
      <c r="AB835" t="s">
        <v>5859</v>
      </c>
      <c r="AC835" t="s">
        <v>9979</v>
      </c>
      <c r="AD835" s="32">
        <v>43272</v>
      </c>
      <c r="AJ835" t="s">
        <v>9958</v>
      </c>
      <c r="AL835" t="s">
        <v>11025</v>
      </c>
    </row>
    <row r="836" spans="1:38">
      <c r="A836" t="s">
        <v>8409</v>
      </c>
      <c r="B836" t="s">
        <v>12169</v>
      </c>
      <c r="C836" t="s">
        <v>8410</v>
      </c>
      <c r="D836" t="s">
        <v>8411</v>
      </c>
      <c r="E836" s="2">
        <v>15000</v>
      </c>
      <c r="F836" s="2">
        <v>15000</v>
      </c>
      <c r="G836" s="3">
        <v>43287</v>
      </c>
      <c r="H836" s="4">
        <v>0.89723379629629996</v>
      </c>
      <c r="I836" s="3">
        <v>43288</v>
      </c>
      <c r="J836" s="4">
        <v>0.50997685185185004</v>
      </c>
      <c r="K836" s="2">
        <v>20</v>
      </c>
      <c r="L836" t="s">
        <v>5856</v>
      </c>
      <c r="M836" t="s">
        <v>8425</v>
      </c>
      <c r="N836" s="3">
        <v>43290</v>
      </c>
      <c r="O836" s="3">
        <v>43290</v>
      </c>
      <c r="P836" t="s">
        <v>5924</v>
      </c>
      <c r="Q836" t="s">
        <v>8426</v>
      </c>
      <c r="R836" t="s">
        <v>6036</v>
      </c>
      <c r="S836" s="3">
        <v>43290</v>
      </c>
      <c r="T836" t="s">
        <v>9938</v>
      </c>
      <c r="U836" t="s">
        <v>8412</v>
      </c>
      <c r="V836" t="s">
        <v>8413</v>
      </c>
      <c r="W836" t="s">
        <v>5857</v>
      </c>
      <c r="X836" s="2">
        <v>1020</v>
      </c>
      <c r="Y836" t="s">
        <v>5858</v>
      </c>
      <c r="Z836" t="s">
        <v>6037</v>
      </c>
      <c r="AA836" s="2">
        <v>15000</v>
      </c>
      <c r="AB836" t="s">
        <v>5863</v>
      </c>
      <c r="AC836" t="s">
        <v>9974</v>
      </c>
      <c r="AD836" s="32">
        <v>43215</v>
      </c>
      <c r="AJ836" t="s">
        <v>9957</v>
      </c>
      <c r="AL836" t="s">
        <v>11026</v>
      </c>
    </row>
    <row r="837" spans="1:38">
      <c r="A837" t="s">
        <v>8409</v>
      </c>
      <c r="B837" t="s">
        <v>12172</v>
      </c>
      <c r="C837" t="s">
        <v>6095</v>
      </c>
      <c r="D837" t="s">
        <v>6011</v>
      </c>
      <c r="E837" s="2">
        <v>725</v>
      </c>
      <c r="F837" s="2">
        <v>10300</v>
      </c>
      <c r="G837" s="3">
        <v>43288</v>
      </c>
      <c r="H837" s="4">
        <v>0.70302083333332999</v>
      </c>
      <c r="I837" s="3">
        <v>43289</v>
      </c>
      <c r="J837" s="4">
        <v>0.12377314814815001</v>
      </c>
      <c r="K837" s="2">
        <v>20</v>
      </c>
      <c r="L837" t="s">
        <v>5856</v>
      </c>
      <c r="M837" t="s">
        <v>8165</v>
      </c>
      <c r="N837" s="3">
        <v>43291</v>
      </c>
      <c r="O837" s="3">
        <v>43291</v>
      </c>
      <c r="P837" t="s">
        <v>5898</v>
      </c>
      <c r="Q837" t="s">
        <v>8435</v>
      </c>
      <c r="R837" t="s">
        <v>6036</v>
      </c>
      <c r="S837" s="3">
        <v>43291</v>
      </c>
      <c r="T837" t="s">
        <v>9938</v>
      </c>
      <c r="U837" t="s">
        <v>5875</v>
      </c>
      <c r="V837" t="s">
        <v>6045</v>
      </c>
      <c r="W837" t="s">
        <v>5857</v>
      </c>
      <c r="X837" s="2">
        <v>1020</v>
      </c>
      <c r="Y837" t="s">
        <v>5858</v>
      </c>
      <c r="Z837" t="s">
        <v>6037</v>
      </c>
      <c r="AA837" s="2">
        <v>425</v>
      </c>
      <c r="AB837" t="s">
        <v>5859</v>
      </c>
      <c r="AC837" t="s">
        <v>9974</v>
      </c>
      <c r="AD837" s="32">
        <v>43230</v>
      </c>
      <c r="AJ837" t="s">
        <v>9959</v>
      </c>
      <c r="AL837" t="s">
        <v>14068</v>
      </c>
    </row>
    <row r="838" spans="1:38">
      <c r="A838" t="s">
        <v>8409</v>
      </c>
      <c r="B838" t="s">
        <v>12170</v>
      </c>
      <c r="C838" t="s">
        <v>8427</v>
      </c>
      <c r="D838" t="s">
        <v>8428</v>
      </c>
      <c r="E838" s="2">
        <v>15450</v>
      </c>
      <c r="F838" s="2">
        <v>15450</v>
      </c>
      <c r="G838" s="3">
        <v>43289</v>
      </c>
      <c r="H838" s="4">
        <v>0.14460648148148</v>
      </c>
      <c r="I838" s="3">
        <v>43289</v>
      </c>
      <c r="J838" s="4">
        <v>0.77572916666667002</v>
      </c>
      <c r="K838" s="2">
        <v>20</v>
      </c>
      <c r="L838" t="s">
        <v>5856</v>
      </c>
      <c r="M838" t="s">
        <v>8210</v>
      </c>
      <c r="N838" s="3">
        <v>43290</v>
      </c>
      <c r="O838" s="3">
        <v>43291</v>
      </c>
      <c r="P838" t="s">
        <v>7251</v>
      </c>
      <c r="Q838" t="s">
        <v>8429</v>
      </c>
      <c r="R838" t="s">
        <v>6036</v>
      </c>
      <c r="S838" s="3">
        <v>43290</v>
      </c>
      <c r="T838" t="s">
        <v>9938</v>
      </c>
      <c r="U838" t="s">
        <v>8412</v>
      </c>
      <c r="V838" t="s">
        <v>8430</v>
      </c>
      <c r="W838" t="s">
        <v>5857</v>
      </c>
      <c r="X838" s="2">
        <v>1020</v>
      </c>
      <c r="Y838" t="s">
        <v>5858</v>
      </c>
      <c r="Z838" t="s">
        <v>6037</v>
      </c>
      <c r="AA838" s="2">
        <v>15000</v>
      </c>
      <c r="AB838" t="s">
        <v>5859</v>
      </c>
      <c r="AC838" t="s">
        <v>9974</v>
      </c>
      <c r="AD838" s="32">
        <v>43215</v>
      </c>
      <c r="AJ838" t="s">
        <v>9957</v>
      </c>
      <c r="AL838" t="s">
        <v>14069</v>
      </c>
    </row>
    <row r="839" spans="1:38">
      <c r="A839" t="s">
        <v>8409</v>
      </c>
      <c r="B839" t="s">
        <v>12171</v>
      </c>
      <c r="C839" t="s">
        <v>8431</v>
      </c>
      <c r="D839" t="s">
        <v>8432</v>
      </c>
      <c r="E839" s="2">
        <v>15000</v>
      </c>
      <c r="F839" s="2">
        <v>15000</v>
      </c>
      <c r="G839" s="3">
        <v>43289</v>
      </c>
      <c r="H839" s="4">
        <v>0.80350694444444004</v>
      </c>
      <c r="I839" s="3">
        <v>43290</v>
      </c>
      <c r="J839" s="4">
        <v>0.41625000000000001</v>
      </c>
      <c r="K839" s="2">
        <v>20</v>
      </c>
      <c r="L839" t="s">
        <v>5856</v>
      </c>
      <c r="M839" t="s">
        <v>8425</v>
      </c>
      <c r="N839" s="3">
        <v>43290</v>
      </c>
      <c r="O839" s="3">
        <v>43292</v>
      </c>
      <c r="P839" t="s">
        <v>5924</v>
      </c>
      <c r="Q839" t="s">
        <v>8433</v>
      </c>
      <c r="R839" t="s">
        <v>6036</v>
      </c>
      <c r="S839" s="3">
        <v>43290</v>
      </c>
      <c r="T839" t="s">
        <v>9938</v>
      </c>
      <c r="U839" t="s">
        <v>8412</v>
      </c>
      <c r="V839" t="s">
        <v>8434</v>
      </c>
      <c r="W839" t="s">
        <v>5857</v>
      </c>
      <c r="X839" s="2">
        <v>1020</v>
      </c>
      <c r="Y839" t="s">
        <v>5858</v>
      </c>
      <c r="Z839" t="s">
        <v>6037</v>
      </c>
      <c r="AA839" s="2">
        <v>15000</v>
      </c>
      <c r="AB839" t="s">
        <v>5863</v>
      </c>
      <c r="AC839" t="s">
        <v>9974</v>
      </c>
      <c r="AD839" s="32">
        <v>43215</v>
      </c>
      <c r="AJ839" t="s">
        <v>9957</v>
      </c>
      <c r="AL839" t="s">
        <v>11027</v>
      </c>
    </row>
    <row r="840" spans="1:38">
      <c r="A840" t="s">
        <v>8409</v>
      </c>
      <c r="B840" t="s">
        <v>12175</v>
      </c>
      <c r="C840" t="s">
        <v>8420</v>
      </c>
      <c r="D840" t="s">
        <v>8421</v>
      </c>
      <c r="E840" s="2">
        <v>20000</v>
      </c>
      <c r="F840" s="2">
        <v>20000</v>
      </c>
      <c r="G840" s="3">
        <v>43295</v>
      </c>
      <c r="H840" s="4">
        <v>0.18299768518519</v>
      </c>
      <c r="I840" s="3">
        <v>43295</v>
      </c>
      <c r="J840" s="4">
        <v>0.99998842592592996</v>
      </c>
      <c r="K840" s="2">
        <v>0</v>
      </c>
      <c r="L840" t="s">
        <v>5856</v>
      </c>
      <c r="M840" t="s">
        <v>8072</v>
      </c>
      <c r="N840" s="3">
        <v>43297</v>
      </c>
      <c r="O840" s="3">
        <v>43297</v>
      </c>
      <c r="P840" t="s">
        <v>6673</v>
      </c>
      <c r="Q840" t="s">
        <v>13299</v>
      </c>
      <c r="R840" t="s">
        <v>6036</v>
      </c>
      <c r="S840" s="3">
        <v>43308</v>
      </c>
      <c r="T840" t="s">
        <v>9938</v>
      </c>
      <c r="U840" t="s">
        <v>7537</v>
      </c>
      <c r="V840" t="s">
        <v>6067</v>
      </c>
      <c r="W840" t="s">
        <v>5857</v>
      </c>
      <c r="X840" s="2">
        <v>0</v>
      </c>
      <c r="Y840" t="s">
        <v>5858</v>
      </c>
      <c r="Z840" t="s">
        <v>6037</v>
      </c>
      <c r="AA840" s="2">
        <v>20000</v>
      </c>
      <c r="AB840" t="s">
        <v>5861</v>
      </c>
      <c r="AC840" t="s">
        <v>9979</v>
      </c>
      <c r="AD840" s="32"/>
      <c r="AJ840" t="s">
        <v>9958</v>
      </c>
      <c r="AL840" t="s">
        <v>11028</v>
      </c>
    </row>
    <row r="841" spans="1:38">
      <c r="A841" t="s">
        <v>8409</v>
      </c>
      <c r="B841" t="s">
        <v>12176</v>
      </c>
      <c r="C841" t="s">
        <v>8420</v>
      </c>
      <c r="D841" t="s">
        <v>8421</v>
      </c>
      <c r="E841" s="2">
        <v>20000</v>
      </c>
      <c r="F841" s="2">
        <v>20000</v>
      </c>
      <c r="G841" s="3">
        <v>43295</v>
      </c>
      <c r="H841" s="4">
        <v>0.18299768518519</v>
      </c>
      <c r="I841" s="3">
        <v>43295</v>
      </c>
      <c r="J841" s="4">
        <v>0.99998842592592996</v>
      </c>
      <c r="K841" s="2">
        <v>0</v>
      </c>
      <c r="L841" t="s">
        <v>5856</v>
      </c>
      <c r="M841" t="s">
        <v>8072</v>
      </c>
      <c r="N841" s="3">
        <v>43297</v>
      </c>
      <c r="O841" s="3">
        <v>43297</v>
      </c>
      <c r="P841" t="s">
        <v>6673</v>
      </c>
      <c r="Q841" t="s">
        <v>13300</v>
      </c>
      <c r="R841" t="s">
        <v>6036</v>
      </c>
      <c r="S841" s="3">
        <v>43311</v>
      </c>
      <c r="T841" t="s">
        <v>9938</v>
      </c>
      <c r="U841" t="s">
        <v>7537</v>
      </c>
      <c r="V841" t="s">
        <v>6067</v>
      </c>
      <c r="W841" t="s">
        <v>5857</v>
      </c>
      <c r="X841" s="2">
        <v>0</v>
      </c>
      <c r="Y841" t="s">
        <v>5858</v>
      </c>
      <c r="Z841" t="s">
        <v>6037</v>
      </c>
      <c r="AA841" s="2">
        <v>20000</v>
      </c>
      <c r="AB841" t="s">
        <v>5861</v>
      </c>
      <c r="AC841" t="s">
        <v>9979</v>
      </c>
      <c r="AD841" s="32"/>
      <c r="AJ841" t="s">
        <v>9958</v>
      </c>
      <c r="AL841" t="s">
        <v>11029</v>
      </c>
    </row>
    <row r="842" spans="1:38">
      <c r="A842" t="s">
        <v>8409</v>
      </c>
      <c r="B842" t="s">
        <v>13301</v>
      </c>
      <c r="C842" t="s">
        <v>8496</v>
      </c>
      <c r="D842" t="s">
        <v>8497</v>
      </c>
      <c r="E842" s="2">
        <v>20600</v>
      </c>
      <c r="F842" s="2">
        <v>20600</v>
      </c>
      <c r="G842" s="3">
        <v>43300</v>
      </c>
      <c r="H842" s="4">
        <v>0.15849537037037001</v>
      </c>
      <c r="I842" s="3">
        <v>43301</v>
      </c>
      <c r="J842" s="4">
        <v>0</v>
      </c>
      <c r="K842" s="2">
        <v>0</v>
      </c>
      <c r="L842" t="s">
        <v>5856</v>
      </c>
      <c r="M842" t="s">
        <v>8151</v>
      </c>
      <c r="N842" s="3">
        <v>43308</v>
      </c>
      <c r="O842" s="3">
        <v>43307</v>
      </c>
      <c r="P842" t="s">
        <v>5960</v>
      </c>
      <c r="Q842" t="s">
        <v>13302</v>
      </c>
      <c r="R842" t="s">
        <v>6036</v>
      </c>
      <c r="S842" s="3">
        <v>43308</v>
      </c>
      <c r="T842" t="s">
        <v>9938</v>
      </c>
      <c r="U842" t="s">
        <v>7012</v>
      </c>
      <c r="V842" t="s">
        <v>7013</v>
      </c>
      <c r="W842" t="s">
        <v>5857</v>
      </c>
      <c r="X842" s="2">
        <v>0</v>
      </c>
      <c r="Y842" t="s">
        <v>5858</v>
      </c>
      <c r="Z842" t="s">
        <v>6037</v>
      </c>
      <c r="AA842" s="2">
        <v>20000</v>
      </c>
      <c r="AB842" t="s">
        <v>5915</v>
      </c>
      <c r="AC842" t="s">
        <v>9976</v>
      </c>
      <c r="AD842" s="32"/>
      <c r="AJ842" t="s">
        <v>9958</v>
      </c>
      <c r="AL842" t="s">
        <v>14070</v>
      </c>
    </row>
    <row r="843" spans="1:38">
      <c r="A843" t="s">
        <v>8409</v>
      </c>
      <c r="B843" t="s">
        <v>12177</v>
      </c>
      <c r="C843" t="s">
        <v>8431</v>
      </c>
      <c r="D843" t="s">
        <v>8432</v>
      </c>
      <c r="E843" s="2">
        <v>1000</v>
      </c>
      <c r="F843" s="2">
        <v>1000</v>
      </c>
      <c r="G843" s="3">
        <v>43302</v>
      </c>
      <c r="H843" s="4">
        <v>0.73407407407406999</v>
      </c>
      <c r="I843" s="3">
        <v>43302</v>
      </c>
      <c r="J843" s="4">
        <v>0.77491898148147997</v>
      </c>
      <c r="K843" s="2">
        <v>0</v>
      </c>
      <c r="L843" t="s">
        <v>5856</v>
      </c>
      <c r="M843" t="s">
        <v>8439</v>
      </c>
      <c r="N843" s="3">
        <v>43305</v>
      </c>
      <c r="O843" s="3">
        <v>43304</v>
      </c>
      <c r="P843" t="s">
        <v>5924</v>
      </c>
      <c r="Q843" t="s">
        <v>8440</v>
      </c>
      <c r="R843" t="s">
        <v>6036</v>
      </c>
      <c r="S843" s="3">
        <v>43305</v>
      </c>
      <c r="T843" t="s">
        <v>9938</v>
      </c>
      <c r="U843" t="s">
        <v>8412</v>
      </c>
      <c r="V843" t="s">
        <v>8434</v>
      </c>
      <c r="W843" t="s">
        <v>5857</v>
      </c>
      <c r="X843" s="2">
        <v>1020</v>
      </c>
      <c r="Y843" t="s">
        <v>5858</v>
      </c>
      <c r="Z843" t="s">
        <v>6037</v>
      </c>
      <c r="AA843" s="2">
        <v>1000</v>
      </c>
      <c r="AB843" t="s">
        <v>5863</v>
      </c>
      <c r="AC843" t="s">
        <v>9974</v>
      </c>
      <c r="AD843" s="32">
        <v>43263</v>
      </c>
      <c r="AJ843" t="s">
        <v>9957</v>
      </c>
      <c r="AL843" t="s">
        <v>11030</v>
      </c>
    </row>
    <row r="844" spans="1:38">
      <c r="A844" t="s">
        <v>8409</v>
      </c>
      <c r="B844" t="s">
        <v>12178</v>
      </c>
      <c r="C844" t="s">
        <v>8431</v>
      </c>
      <c r="D844" t="s">
        <v>8432</v>
      </c>
      <c r="E844" s="2">
        <v>5000</v>
      </c>
      <c r="F844" s="2">
        <v>5000</v>
      </c>
      <c r="G844" s="3">
        <v>43302</v>
      </c>
      <c r="H844" s="4">
        <v>0.79575231481481001</v>
      </c>
      <c r="I844" s="3">
        <v>43303</v>
      </c>
      <c r="J844" s="4">
        <v>0</v>
      </c>
      <c r="K844" s="2">
        <v>20</v>
      </c>
      <c r="L844" t="s">
        <v>5856</v>
      </c>
      <c r="M844" t="s">
        <v>7277</v>
      </c>
      <c r="N844" s="3">
        <v>43305</v>
      </c>
      <c r="O844" s="3">
        <v>43304</v>
      </c>
      <c r="P844" t="s">
        <v>5924</v>
      </c>
      <c r="Q844" t="s">
        <v>8441</v>
      </c>
      <c r="R844" t="s">
        <v>6036</v>
      </c>
      <c r="S844" s="3">
        <v>43305</v>
      </c>
      <c r="T844" t="s">
        <v>9938</v>
      </c>
      <c r="U844" t="s">
        <v>8412</v>
      </c>
      <c r="V844" t="s">
        <v>8434</v>
      </c>
      <c r="W844" t="s">
        <v>5857</v>
      </c>
      <c r="X844" s="2">
        <v>1020</v>
      </c>
      <c r="Y844" t="s">
        <v>5858</v>
      </c>
      <c r="Z844" t="s">
        <v>6037</v>
      </c>
      <c r="AA844" s="2">
        <v>5000</v>
      </c>
      <c r="AB844" t="s">
        <v>5863</v>
      </c>
      <c r="AC844" t="s">
        <v>9974</v>
      </c>
      <c r="AD844" s="32">
        <v>43262</v>
      </c>
      <c r="AJ844" t="s">
        <v>9957</v>
      </c>
      <c r="AL844" t="s">
        <v>11031</v>
      </c>
    </row>
    <row r="845" spans="1:38">
      <c r="A845" t="s">
        <v>8409</v>
      </c>
      <c r="B845" t="s">
        <v>12179</v>
      </c>
      <c r="C845" t="s">
        <v>8442</v>
      </c>
      <c r="D845" t="s">
        <v>8443</v>
      </c>
      <c r="E845" s="2">
        <v>5000</v>
      </c>
      <c r="F845" s="2">
        <v>5000</v>
      </c>
      <c r="G845" s="3">
        <v>43308</v>
      </c>
      <c r="H845" s="4">
        <v>0.57067129629629998</v>
      </c>
      <c r="I845" s="3">
        <v>43308</v>
      </c>
      <c r="J845" s="4">
        <v>0.77491898148147997</v>
      </c>
      <c r="K845" s="2">
        <v>20</v>
      </c>
      <c r="L845" t="s">
        <v>5856</v>
      </c>
      <c r="M845" t="s">
        <v>7277</v>
      </c>
      <c r="N845" s="3">
        <v>43311</v>
      </c>
      <c r="O845" s="3">
        <v>43310</v>
      </c>
      <c r="P845" t="s">
        <v>5862</v>
      </c>
      <c r="Q845" t="s">
        <v>8444</v>
      </c>
      <c r="R845" t="s">
        <v>6036</v>
      </c>
      <c r="S845" s="3">
        <v>43311</v>
      </c>
      <c r="T845" t="s">
        <v>9938</v>
      </c>
      <c r="U845" t="s">
        <v>7228</v>
      </c>
      <c r="V845" t="s">
        <v>8445</v>
      </c>
      <c r="W845" t="s">
        <v>5857</v>
      </c>
      <c r="X845" s="2">
        <v>1020</v>
      </c>
      <c r="Y845" t="s">
        <v>5858</v>
      </c>
      <c r="Z845" t="s">
        <v>6037</v>
      </c>
      <c r="AA845" s="2">
        <v>5000</v>
      </c>
      <c r="AB845" t="s">
        <v>5863</v>
      </c>
      <c r="AC845" t="s">
        <v>9978</v>
      </c>
      <c r="AD845" s="32">
        <v>43276</v>
      </c>
      <c r="AJ845" t="s">
        <v>9958</v>
      </c>
      <c r="AL845" t="s">
        <v>11032</v>
      </c>
    </row>
    <row r="846" spans="1:38">
      <c r="A846" t="s">
        <v>8409</v>
      </c>
      <c r="B846" t="s">
        <v>12180</v>
      </c>
      <c r="C846" t="s">
        <v>8446</v>
      </c>
      <c r="D846" t="s">
        <v>8447</v>
      </c>
      <c r="E846" s="2">
        <v>5000</v>
      </c>
      <c r="F846" s="2">
        <v>5000</v>
      </c>
      <c r="G846" s="3">
        <v>43308</v>
      </c>
      <c r="H846" s="4">
        <v>0.79575231481481001</v>
      </c>
      <c r="I846" s="3">
        <v>43309</v>
      </c>
      <c r="J846" s="4">
        <v>0</v>
      </c>
      <c r="K846" s="2">
        <v>20</v>
      </c>
      <c r="L846" t="s">
        <v>5856</v>
      </c>
      <c r="M846" t="s">
        <v>7277</v>
      </c>
      <c r="N846" s="3">
        <v>43311</v>
      </c>
      <c r="O846" s="3">
        <v>43310</v>
      </c>
      <c r="P846" t="s">
        <v>7251</v>
      </c>
      <c r="Q846" t="s">
        <v>8448</v>
      </c>
      <c r="R846" t="s">
        <v>6036</v>
      </c>
      <c r="S846" s="3">
        <v>43311</v>
      </c>
      <c r="T846" t="s">
        <v>9938</v>
      </c>
      <c r="U846" t="s">
        <v>8412</v>
      </c>
      <c r="V846" t="s">
        <v>8449</v>
      </c>
      <c r="W846" t="s">
        <v>5857</v>
      </c>
      <c r="X846" s="2">
        <v>1020</v>
      </c>
      <c r="Y846" t="s">
        <v>5858</v>
      </c>
      <c r="Z846" t="s">
        <v>6037</v>
      </c>
      <c r="AA846" s="2">
        <v>5000</v>
      </c>
      <c r="AB846" t="s">
        <v>5863</v>
      </c>
      <c r="AC846" t="s">
        <v>9974</v>
      </c>
      <c r="AD846" s="32">
        <v>43249</v>
      </c>
      <c r="AJ846" t="s">
        <v>9957</v>
      </c>
      <c r="AL846" t="s">
        <v>11033</v>
      </c>
    </row>
    <row r="847" spans="1:38">
      <c r="A847" t="s">
        <v>8409</v>
      </c>
      <c r="B847" t="s">
        <v>12181</v>
      </c>
      <c r="C847" t="s">
        <v>8420</v>
      </c>
      <c r="D847" t="s">
        <v>8421</v>
      </c>
      <c r="E847" s="2">
        <v>20000</v>
      </c>
      <c r="F847" s="2">
        <v>20000</v>
      </c>
      <c r="G847" s="3">
        <v>43309</v>
      </c>
      <c r="H847" s="4">
        <v>0.18299768518519</v>
      </c>
      <c r="I847" s="3">
        <v>43309</v>
      </c>
      <c r="J847" s="4">
        <v>0.99998842592592996</v>
      </c>
      <c r="K847" s="2">
        <v>0</v>
      </c>
      <c r="L847" t="s">
        <v>5856</v>
      </c>
      <c r="M847" t="s">
        <v>8072</v>
      </c>
      <c r="N847" s="3">
        <v>43311</v>
      </c>
      <c r="O847" s="3">
        <v>43311</v>
      </c>
      <c r="P847" t="s">
        <v>6673</v>
      </c>
      <c r="Q847" t="s">
        <v>6038</v>
      </c>
      <c r="R847" t="s">
        <v>6040</v>
      </c>
      <c r="S847" s="3">
        <v>43313</v>
      </c>
      <c r="T847" t="s">
        <v>9938</v>
      </c>
      <c r="U847" t="s">
        <v>7537</v>
      </c>
      <c r="V847" t="s">
        <v>6067</v>
      </c>
      <c r="W847" t="s">
        <v>5857</v>
      </c>
      <c r="X847" s="2">
        <v>0</v>
      </c>
      <c r="Y847" t="s">
        <v>5858</v>
      </c>
      <c r="Z847" t="s">
        <v>6037</v>
      </c>
      <c r="AA847" s="2">
        <v>20000</v>
      </c>
      <c r="AB847" t="s">
        <v>5861</v>
      </c>
      <c r="AC847" t="s">
        <v>9979</v>
      </c>
      <c r="AD847" s="32"/>
      <c r="AJ847" t="s">
        <v>9958</v>
      </c>
      <c r="AL847" t="s">
        <v>11034</v>
      </c>
    </row>
    <row r="848" spans="1:38">
      <c r="A848" t="s">
        <v>8409</v>
      </c>
      <c r="B848" t="s">
        <v>12182</v>
      </c>
      <c r="C848" t="s">
        <v>8450</v>
      </c>
      <c r="D848" t="s">
        <v>8451</v>
      </c>
      <c r="E848" s="2">
        <v>17510</v>
      </c>
      <c r="F848" s="2">
        <v>17510</v>
      </c>
      <c r="G848" s="3">
        <v>43310</v>
      </c>
      <c r="H848" s="4">
        <v>0.28471064814815</v>
      </c>
      <c r="I848" s="3">
        <v>43310</v>
      </c>
      <c r="J848" s="4">
        <v>0.99998842592592996</v>
      </c>
      <c r="K848" s="2">
        <v>0</v>
      </c>
      <c r="L848" t="s">
        <v>5856</v>
      </c>
      <c r="M848" t="s">
        <v>8149</v>
      </c>
      <c r="N848" s="3">
        <v>43317</v>
      </c>
      <c r="O848" s="3">
        <v>43317</v>
      </c>
      <c r="P848" t="s">
        <v>5929</v>
      </c>
      <c r="Q848" t="s">
        <v>13303</v>
      </c>
      <c r="R848" t="s">
        <v>6036</v>
      </c>
      <c r="S848" s="3">
        <v>43318</v>
      </c>
      <c r="T848" t="s">
        <v>9938</v>
      </c>
      <c r="U848" t="s">
        <v>5917</v>
      </c>
      <c r="V848" t="s">
        <v>8452</v>
      </c>
      <c r="W848" t="s">
        <v>5857</v>
      </c>
      <c r="X848" s="2">
        <v>0</v>
      </c>
      <c r="Y848" t="s">
        <v>5858</v>
      </c>
      <c r="Z848" t="s">
        <v>6037</v>
      </c>
      <c r="AA848" s="2">
        <v>17000</v>
      </c>
      <c r="AB848" t="s">
        <v>5861</v>
      </c>
      <c r="AC848" t="s">
        <v>9976</v>
      </c>
      <c r="AD848" s="32"/>
      <c r="AJ848" t="s">
        <v>9958</v>
      </c>
      <c r="AL848" t="s">
        <v>14071</v>
      </c>
    </row>
    <row r="849" spans="1:38">
      <c r="A849" t="s">
        <v>8409</v>
      </c>
      <c r="B849" t="s">
        <v>12183</v>
      </c>
      <c r="C849" t="s">
        <v>8420</v>
      </c>
      <c r="D849" t="s">
        <v>8421</v>
      </c>
      <c r="E849" s="2">
        <v>20000</v>
      </c>
      <c r="F849" s="2">
        <v>20000</v>
      </c>
      <c r="G849" s="3">
        <v>43312</v>
      </c>
      <c r="H849" s="4">
        <v>0.18299768518519</v>
      </c>
      <c r="I849" s="3">
        <v>43312</v>
      </c>
      <c r="J849" s="4">
        <v>0.99998842592592996</v>
      </c>
      <c r="K849" s="2">
        <v>0</v>
      </c>
      <c r="L849" t="s">
        <v>5856</v>
      </c>
      <c r="M849" t="s">
        <v>8072</v>
      </c>
      <c r="N849" s="3">
        <v>43325</v>
      </c>
      <c r="O849" s="3">
        <v>43314</v>
      </c>
      <c r="P849" t="s">
        <v>6673</v>
      </c>
      <c r="Q849" t="s">
        <v>6038</v>
      </c>
      <c r="R849" t="s">
        <v>6040</v>
      </c>
      <c r="S849" s="3">
        <v>43313</v>
      </c>
      <c r="T849" t="s">
        <v>9938</v>
      </c>
      <c r="U849" t="s">
        <v>7537</v>
      </c>
      <c r="V849" t="s">
        <v>6067</v>
      </c>
      <c r="W849" t="s">
        <v>5857</v>
      </c>
      <c r="X849" s="2">
        <v>0</v>
      </c>
      <c r="Y849" t="s">
        <v>5858</v>
      </c>
      <c r="Z849" t="s">
        <v>6037</v>
      </c>
      <c r="AA849" s="2">
        <v>20000</v>
      </c>
      <c r="AB849" t="s">
        <v>5861</v>
      </c>
      <c r="AC849" t="s">
        <v>9979</v>
      </c>
      <c r="AD849" s="32"/>
      <c r="AJ849" t="s">
        <v>9958</v>
      </c>
      <c r="AL849" t="s">
        <v>11036</v>
      </c>
    </row>
    <row r="850" spans="1:38">
      <c r="A850" t="s">
        <v>8409</v>
      </c>
      <c r="B850" t="s">
        <v>12184</v>
      </c>
      <c r="C850" t="s">
        <v>8420</v>
      </c>
      <c r="D850" t="s">
        <v>8421</v>
      </c>
      <c r="E850" s="2">
        <v>20000</v>
      </c>
      <c r="F850" s="2">
        <v>20000</v>
      </c>
      <c r="G850" s="3">
        <v>43313</v>
      </c>
      <c r="H850" s="4">
        <v>0.18299768518519</v>
      </c>
      <c r="I850" s="3">
        <v>43313</v>
      </c>
      <c r="J850" s="4">
        <v>0.99998842592592996</v>
      </c>
      <c r="K850" s="2">
        <v>0</v>
      </c>
      <c r="L850" t="s">
        <v>5856</v>
      </c>
      <c r="M850" t="s">
        <v>8072</v>
      </c>
      <c r="N850" s="3">
        <v>43325</v>
      </c>
      <c r="O850" s="3">
        <v>43315</v>
      </c>
      <c r="P850" t="s">
        <v>6673</v>
      </c>
      <c r="Q850" t="s">
        <v>6038</v>
      </c>
      <c r="R850" t="s">
        <v>6040</v>
      </c>
      <c r="S850" s="3">
        <v>43313</v>
      </c>
      <c r="T850" t="s">
        <v>9938</v>
      </c>
      <c r="U850" t="s">
        <v>7537</v>
      </c>
      <c r="V850" t="s">
        <v>6067</v>
      </c>
      <c r="W850" t="s">
        <v>5857</v>
      </c>
      <c r="X850" s="2">
        <v>0</v>
      </c>
      <c r="Y850" t="s">
        <v>5858</v>
      </c>
      <c r="Z850" t="s">
        <v>6037</v>
      </c>
      <c r="AA850" s="2">
        <v>20000</v>
      </c>
      <c r="AB850" t="s">
        <v>5861</v>
      </c>
      <c r="AC850" t="s">
        <v>9979</v>
      </c>
      <c r="AD850" s="32"/>
      <c r="AJ850" t="s">
        <v>9958</v>
      </c>
      <c r="AL850" t="s">
        <v>11037</v>
      </c>
    </row>
    <row r="851" spans="1:38">
      <c r="A851" t="s">
        <v>8409</v>
      </c>
      <c r="B851" t="s">
        <v>12185</v>
      </c>
      <c r="C851" t="s">
        <v>8453</v>
      </c>
      <c r="D851" t="s">
        <v>8454</v>
      </c>
      <c r="E851" s="2">
        <v>2060</v>
      </c>
      <c r="F851" s="2">
        <v>2060</v>
      </c>
      <c r="G851" s="3">
        <v>43317</v>
      </c>
      <c r="H851" s="4">
        <v>0.91584490740740998</v>
      </c>
      <c r="I851" s="3">
        <v>43318</v>
      </c>
      <c r="J851" s="4">
        <v>0</v>
      </c>
      <c r="K851" s="2">
        <v>20</v>
      </c>
      <c r="L851" t="s">
        <v>5856</v>
      </c>
      <c r="M851" t="s">
        <v>8234</v>
      </c>
      <c r="N851" s="3">
        <v>43320</v>
      </c>
      <c r="O851" s="3">
        <v>43319</v>
      </c>
      <c r="P851" t="s">
        <v>8455</v>
      </c>
      <c r="Q851" t="s">
        <v>8456</v>
      </c>
      <c r="R851" t="s">
        <v>6036</v>
      </c>
      <c r="S851" s="3">
        <v>43320</v>
      </c>
      <c r="T851" t="s">
        <v>9938</v>
      </c>
      <c r="U851" t="s">
        <v>8457</v>
      </c>
      <c r="V851" t="s">
        <v>8458</v>
      </c>
      <c r="W851" t="s">
        <v>5857</v>
      </c>
      <c r="X851" s="2">
        <v>1020</v>
      </c>
      <c r="Y851" t="s">
        <v>5858</v>
      </c>
      <c r="Z851" t="s">
        <v>6037</v>
      </c>
      <c r="AA851" s="2">
        <v>2000</v>
      </c>
      <c r="AB851" t="s">
        <v>5863</v>
      </c>
      <c r="AC851" t="s">
        <v>9974</v>
      </c>
      <c r="AD851" s="32">
        <v>43278</v>
      </c>
      <c r="AJ851" t="s">
        <v>9957</v>
      </c>
      <c r="AL851" t="s">
        <v>11038</v>
      </c>
    </row>
    <row r="852" spans="1:38">
      <c r="A852" t="s">
        <v>8409</v>
      </c>
      <c r="B852" t="s">
        <v>12186</v>
      </c>
      <c r="C852" t="s">
        <v>8446</v>
      </c>
      <c r="D852" t="s">
        <v>8447</v>
      </c>
      <c r="E852" s="2">
        <v>3000</v>
      </c>
      <c r="F852" s="2">
        <v>3000</v>
      </c>
      <c r="G852" s="3">
        <v>43318</v>
      </c>
      <c r="H852" s="4">
        <v>0.87745370370370002</v>
      </c>
      <c r="I852" s="3">
        <v>43319</v>
      </c>
      <c r="J852" s="4">
        <v>0</v>
      </c>
      <c r="K852" s="2">
        <v>20</v>
      </c>
      <c r="L852" t="s">
        <v>5856</v>
      </c>
      <c r="M852" t="s">
        <v>7283</v>
      </c>
      <c r="N852" s="3">
        <v>43321</v>
      </c>
      <c r="O852" s="3">
        <v>43320</v>
      </c>
      <c r="P852" t="s">
        <v>7251</v>
      </c>
      <c r="Q852" t="s">
        <v>8459</v>
      </c>
      <c r="R852" t="s">
        <v>6036</v>
      </c>
      <c r="S852" s="3">
        <v>43321</v>
      </c>
      <c r="T852" t="s">
        <v>9938</v>
      </c>
      <c r="U852" t="s">
        <v>8412</v>
      </c>
      <c r="V852" t="s">
        <v>8449</v>
      </c>
      <c r="W852" t="s">
        <v>5857</v>
      </c>
      <c r="X852" s="2">
        <v>1020</v>
      </c>
      <c r="Y852" t="s">
        <v>5858</v>
      </c>
      <c r="Z852" t="s">
        <v>6037</v>
      </c>
      <c r="AA852" s="2">
        <v>3000</v>
      </c>
      <c r="AB852" t="s">
        <v>5863</v>
      </c>
      <c r="AC852" t="s">
        <v>9974</v>
      </c>
      <c r="AD852" s="32">
        <v>43249</v>
      </c>
      <c r="AJ852" t="s">
        <v>9957</v>
      </c>
      <c r="AL852" t="s">
        <v>11039</v>
      </c>
    </row>
    <row r="853" spans="1:38">
      <c r="A853" t="s">
        <v>8409</v>
      </c>
      <c r="B853" t="s">
        <v>12187</v>
      </c>
      <c r="C853" t="s">
        <v>7225</v>
      </c>
      <c r="D853" t="s">
        <v>7226</v>
      </c>
      <c r="E853" s="2">
        <v>20000</v>
      </c>
      <c r="F853" s="2">
        <v>20000</v>
      </c>
      <c r="G853" s="3">
        <v>43319</v>
      </c>
      <c r="H853" s="4">
        <v>0.30555555555556002</v>
      </c>
      <c r="I853" s="3">
        <v>43320</v>
      </c>
      <c r="J853" s="4">
        <v>0.1225462962963</v>
      </c>
      <c r="K853" s="2">
        <v>20</v>
      </c>
      <c r="L853" t="s">
        <v>5856</v>
      </c>
      <c r="M853" t="s">
        <v>8072</v>
      </c>
      <c r="N853" s="3">
        <v>43325</v>
      </c>
      <c r="O853" s="3">
        <v>43322</v>
      </c>
      <c r="P853" t="s">
        <v>6673</v>
      </c>
      <c r="Q853" t="s">
        <v>8460</v>
      </c>
      <c r="R853" t="s">
        <v>6036</v>
      </c>
      <c r="S853" s="3">
        <v>43322</v>
      </c>
      <c r="T853" t="s">
        <v>9938</v>
      </c>
      <c r="U853" t="s">
        <v>7228</v>
      </c>
      <c r="V853" t="s">
        <v>6067</v>
      </c>
      <c r="W853" t="s">
        <v>5857</v>
      </c>
      <c r="X853" s="2">
        <v>1020</v>
      </c>
      <c r="Y853" t="s">
        <v>5858</v>
      </c>
      <c r="Z853" t="s">
        <v>6037</v>
      </c>
      <c r="AA853" s="2">
        <v>20000</v>
      </c>
      <c r="AB853" t="s">
        <v>5863</v>
      </c>
      <c r="AC853" t="s">
        <v>9978</v>
      </c>
      <c r="AD853" s="32">
        <v>43179</v>
      </c>
      <c r="AI853" t="s">
        <v>9950</v>
      </c>
      <c r="AJ853" t="s">
        <v>9958</v>
      </c>
      <c r="AL853" t="s">
        <v>11040</v>
      </c>
    </row>
    <row r="854" spans="1:38">
      <c r="A854" t="s">
        <v>8409</v>
      </c>
      <c r="B854" t="s">
        <v>12188</v>
      </c>
      <c r="C854" t="s">
        <v>7261</v>
      </c>
      <c r="D854" t="s">
        <v>7262</v>
      </c>
      <c r="E854" s="2">
        <v>20000</v>
      </c>
      <c r="F854" s="2">
        <v>20000</v>
      </c>
      <c r="G854" s="3">
        <v>43326</v>
      </c>
      <c r="H854" s="4">
        <v>0.30554398148147999</v>
      </c>
      <c r="I854" s="3">
        <v>43327</v>
      </c>
      <c r="J854" s="4">
        <v>0.12253472222222</v>
      </c>
      <c r="K854" s="2">
        <v>0</v>
      </c>
      <c r="L854" t="s">
        <v>5856</v>
      </c>
      <c r="M854" t="s">
        <v>8072</v>
      </c>
      <c r="N854" s="3"/>
      <c r="O854" s="3">
        <v>43329</v>
      </c>
      <c r="P854" t="s">
        <v>6673</v>
      </c>
      <c r="Q854" t="s">
        <v>6038</v>
      </c>
      <c r="R854" t="s">
        <v>6040</v>
      </c>
      <c r="S854" s="3">
        <v>43344</v>
      </c>
      <c r="T854" t="s">
        <v>9938</v>
      </c>
      <c r="U854" t="s">
        <v>5963</v>
      </c>
      <c r="V854" t="s">
        <v>6067</v>
      </c>
      <c r="W854" t="s">
        <v>5857</v>
      </c>
      <c r="X854" s="2">
        <v>0</v>
      </c>
      <c r="Y854" t="s">
        <v>5858</v>
      </c>
      <c r="Z854" t="s">
        <v>6037</v>
      </c>
      <c r="AA854" s="2">
        <v>20000</v>
      </c>
      <c r="AB854" t="s">
        <v>5861</v>
      </c>
      <c r="AC854" t="s">
        <v>9979</v>
      </c>
      <c r="AD854" s="32"/>
      <c r="AJ854" t="s">
        <v>9958</v>
      </c>
      <c r="AL854" t="s">
        <v>11041</v>
      </c>
    </row>
    <row r="855" spans="1:38">
      <c r="A855" t="s">
        <v>8409</v>
      </c>
      <c r="B855" t="s">
        <v>12189</v>
      </c>
      <c r="C855" t="s">
        <v>8420</v>
      </c>
      <c r="D855" t="s">
        <v>8421</v>
      </c>
      <c r="E855" s="2">
        <v>20000</v>
      </c>
      <c r="F855" s="2">
        <v>20000</v>
      </c>
      <c r="G855" s="3">
        <v>43327</v>
      </c>
      <c r="H855" s="4">
        <v>0.18299768518519</v>
      </c>
      <c r="I855" s="3">
        <v>43327</v>
      </c>
      <c r="J855" s="4">
        <v>0.99998842592592996</v>
      </c>
      <c r="K855" s="2">
        <v>0</v>
      </c>
      <c r="L855" t="s">
        <v>5856</v>
      </c>
      <c r="M855" t="s">
        <v>8072</v>
      </c>
      <c r="N855" s="3">
        <v>43332</v>
      </c>
      <c r="O855" s="3">
        <v>43329</v>
      </c>
      <c r="P855" t="s">
        <v>6673</v>
      </c>
      <c r="Q855" t="s">
        <v>13304</v>
      </c>
      <c r="R855" t="s">
        <v>6036</v>
      </c>
      <c r="S855" s="3">
        <v>43333</v>
      </c>
      <c r="T855" t="s">
        <v>9938</v>
      </c>
      <c r="U855" t="s">
        <v>7537</v>
      </c>
      <c r="V855" t="s">
        <v>6067</v>
      </c>
      <c r="W855" t="s">
        <v>5857</v>
      </c>
      <c r="X855" s="2">
        <v>0</v>
      </c>
      <c r="Y855" t="s">
        <v>5858</v>
      </c>
      <c r="Z855" t="s">
        <v>6037</v>
      </c>
      <c r="AA855" s="2">
        <v>20000</v>
      </c>
      <c r="AB855" t="s">
        <v>5861</v>
      </c>
      <c r="AC855" t="s">
        <v>9979</v>
      </c>
      <c r="AD855" s="32"/>
      <c r="AJ855" t="s">
        <v>9958</v>
      </c>
      <c r="AL855" t="s">
        <v>11042</v>
      </c>
    </row>
    <row r="856" spans="1:38">
      <c r="A856" t="s">
        <v>8409</v>
      </c>
      <c r="B856" t="s">
        <v>12190</v>
      </c>
      <c r="C856" t="s">
        <v>8420</v>
      </c>
      <c r="D856" t="s">
        <v>8421</v>
      </c>
      <c r="E856" s="2">
        <v>20000</v>
      </c>
      <c r="F856" s="2">
        <v>20000</v>
      </c>
      <c r="G856" s="3">
        <v>43328</v>
      </c>
      <c r="H856" s="4">
        <v>0.18299768518519</v>
      </c>
      <c r="I856" s="3">
        <v>43328</v>
      </c>
      <c r="J856" s="4">
        <v>0.99998842592592996</v>
      </c>
      <c r="K856" s="2">
        <v>0</v>
      </c>
      <c r="L856" t="s">
        <v>5856</v>
      </c>
      <c r="M856" t="s">
        <v>8072</v>
      </c>
      <c r="N856" s="3">
        <v>43332</v>
      </c>
      <c r="O856" s="3">
        <v>43330</v>
      </c>
      <c r="P856" t="s">
        <v>6673</v>
      </c>
      <c r="Q856" t="s">
        <v>13305</v>
      </c>
      <c r="R856" t="s">
        <v>6036</v>
      </c>
      <c r="S856" s="3">
        <v>43335</v>
      </c>
      <c r="T856" t="s">
        <v>9938</v>
      </c>
      <c r="U856" t="s">
        <v>7537</v>
      </c>
      <c r="V856" t="s">
        <v>6067</v>
      </c>
      <c r="W856" t="s">
        <v>5857</v>
      </c>
      <c r="X856" s="2">
        <v>0</v>
      </c>
      <c r="Y856" t="s">
        <v>5858</v>
      </c>
      <c r="Z856" t="s">
        <v>6037</v>
      </c>
      <c r="AA856" s="2">
        <v>20000</v>
      </c>
      <c r="AB856" t="s">
        <v>5861</v>
      </c>
      <c r="AC856" t="s">
        <v>9979</v>
      </c>
      <c r="AD856" s="32"/>
      <c r="AJ856" t="s">
        <v>9958</v>
      </c>
      <c r="AL856" t="s">
        <v>11043</v>
      </c>
    </row>
    <row r="857" spans="1:38">
      <c r="A857" t="s">
        <v>8409</v>
      </c>
      <c r="B857" t="s">
        <v>12191</v>
      </c>
      <c r="C857" t="s">
        <v>8420</v>
      </c>
      <c r="D857" t="s">
        <v>8421</v>
      </c>
      <c r="E857" s="2">
        <v>20000</v>
      </c>
      <c r="F857" s="2">
        <v>20000</v>
      </c>
      <c r="G857" s="3">
        <v>43329</v>
      </c>
      <c r="H857" s="4">
        <v>0.18299768518519</v>
      </c>
      <c r="I857" s="3">
        <v>43329</v>
      </c>
      <c r="J857" s="4">
        <v>0.99998842592592996</v>
      </c>
      <c r="K857" s="2">
        <v>0</v>
      </c>
      <c r="L857" t="s">
        <v>5856</v>
      </c>
      <c r="M857" t="s">
        <v>8072</v>
      </c>
      <c r="N857" s="3">
        <v>43332</v>
      </c>
      <c r="O857" s="3">
        <v>43331</v>
      </c>
      <c r="P857" t="s">
        <v>6673</v>
      </c>
      <c r="Q857" t="s">
        <v>8554</v>
      </c>
      <c r="R857" t="s">
        <v>6036</v>
      </c>
      <c r="S857" s="3">
        <v>43335</v>
      </c>
      <c r="T857" t="s">
        <v>9938</v>
      </c>
      <c r="U857" t="s">
        <v>7537</v>
      </c>
      <c r="V857" t="s">
        <v>6067</v>
      </c>
      <c r="W857" t="s">
        <v>5857</v>
      </c>
      <c r="X857" s="2">
        <v>0</v>
      </c>
      <c r="Y857" t="s">
        <v>5858</v>
      </c>
      <c r="Z857" t="s">
        <v>6037</v>
      </c>
      <c r="AA857" s="2">
        <v>20000</v>
      </c>
      <c r="AB857" t="s">
        <v>5861</v>
      </c>
      <c r="AC857" t="s">
        <v>9979</v>
      </c>
      <c r="AD857" s="32"/>
      <c r="AJ857" t="s">
        <v>9958</v>
      </c>
      <c r="AL857" t="s">
        <v>11044</v>
      </c>
    </row>
    <row r="858" spans="1:38">
      <c r="A858" t="s">
        <v>8409</v>
      </c>
      <c r="B858" t="s">
        <v>12192</v>
      </c>
      <c r="C858" t="s">
        <v>8420</v>
      </c>
      <c r="D858" t="s">
        <v>8421</v>
      </c>
      <c r="E858" s="2">
        <v>20000</v>
      </c>
      <c r="F858" s="2">
        <v>20000</v>
      </c>
      <c r="G858" s="3">
        <v>43330</v>
      </c>
      <c r="H858" s="4">
        <v>0.18299768518519</v>
      </c>
      <c r="I858" s="3">
        <v>43330</v>
      </c>
      <c r="J858" s="4">
        <v>0.99998842592592996</v>
      </c>
      <c r="K858" s="2">
        <v>0</v>
      </c>
      <c r="L858" t="s">
        <v>5856</v>
      </c>
      <c r="M858" t="s">
        <v>8072</v>
      </c>
      <c r="N858" s="3">
        <v>43346</v>
      </c>
      <c r="O858" s="3">
        <v>43332</v>
      </c>
      <c r="P858" t="s">
        <v>6673</v>
      </c>
      <c r="Q858" t="s">
        <v>8519</v>
      </c>
      <c r="R858" t="s">
        <v>6036</v>
      </c>
      <c r="S858" s="3">
        <v>43340</v>
      </c>
      <c r="T858" t="s">
        <v>9938</v>
      </c>
      <c r="U858" t="s">
        <v>7537</v>
      </c>
      <c r="V858" t="s">
        <v>6067</v>
      </c>
      <c r="W858" t="s">
        <v>5857</v>
      </c>
      <c r="X858" s="2">
        <v>0</v>
      </c>
      <c r="Y858" t="s">
        <v>5858</v>
      </c>
      <c r="Z858" t="s">
        <v>6037</v>
      </c>
      <c r="AA858" s="2">
        <v>20000</v>
      </c>
      <c r="AB858" t="s">
        <v>5861</v>
      </c>
      <c r="AC858" t="s">
        <v>9979</v>
      </c>
      <c r="AD858" s="32"/>
      <c r="AJ858" t="s">
        <v>9958</v>
      </c>
      <c r="AL858" t="s">
        <v>11045</v>
      </c>
    </row>
    <row r="859" spans="1:38">
      <c r="A859" t="s">
        <v>8409</v>
      </c>
      <c r="B859" t="s">
        <v>12193</v>
      </c>
      <c r="C859" t="s">
        <v>8420</v>
      </c>
      <c r="D859" t="s">
        <v>8421</v>
      </c>
      <c r="E859" s="2">
        <v>20000</v>
      </c>
      <c r="F859" s="2">
        <v>20000</v>
      </c>
      <c r="G859" s="3">
        <v>43331</v>
      </c>
      <c r="H859" s="4">
        <v>0.18299768518519</v>
      </c>
      <c r="I859" s="3">
        <v>43331</v>
      </c>
      <c r="J859" s="4">
        <v>0.99998842592592996</v>
      </c>
      <c r="K859" s="2">
        <v>0</v>
      </c>
      <c r="L859" t="s">
        <v>5856</v>
      </c>
      <c r="M859" t="s">
        <v>8072</v>
      </c>
      <c r="N859" s="3">
        <v>43346</v>
      </c>
      <c r="O859" s="3">
        <v>43333</v>
      </c>
      <c r="P859" t="s">
        <v>6673</v>
      </c>
      <c r="Q859" t="s">
        <v>13306</v>
      </c>
      <c r="R859" t="s">
        <v>6036</v>
      </c>
      <c r="S859" s="3">
        <v>43342</v>
      </c>
      <c r="T859" t="s">
        <v>9938</v>
      </c>
      <c r="U859" t="s">
        <v>7537</v>
      </c>
      <c r="V859" t="s">
        <v>6067</v>
      </c>
      <c r="W859" t="s">
        <v>5857</v>
      </c>
      <c r="X859" s="2">
        <v>0</v>
      </c>
      <c r="Y859" t="s">
        <v>5858</v>
      </c>
      <c r="Z859" t="s">
        <v>6037</v>
      </c>
      <c r="AA859" s="2">
        <v>20000</v>
      </c>
      <c r="AB859" t="s">
        <v>5861</v>
      </c>
      <c r="AC859" t="s">
        <v>9979</v>
      </c>
      <c r="AD859" s="32"/>
      <c r="AJ859" t="s">
        <v>9958</v>
      </c>
      <c r="AL859" t="s">
        <v>11046</v>
      </c>
    </row>
    <row r="860" spans="1:38">
      <c r="A860" t="s">
        <v>8409</v>
      </c>
      <c r="B860" t="s">
        <v>12194</v>
      </c>
      <c r="C860" t="s">
        <v>7610</v>
      </c>
      <c r="D860" t="s">
        <v>7611</v>
      </c>
      <c r="E860" s="2">
        <v>2000</v>
      </c>
      <c r="F860" s="2">
        <v>2000</v>
      </c>
      <c r="G860" s="3">
        <v>43344</v>
      </c>
      <c r="H860" s="4">
        <v>8.0462962962960002E-2</v>
      </c>
      <c r="I860" s="3">
        <v>43344</v>
      </c>
      <c r="J860" s="4">
        <v>0.16216435185184999</v>
      </c>
      <c r="K860" s="2">
        <v>20</v>
      </c>
      <c r="L860" t="s">
        <v>5856</v>
      </c>
      <c r="M860" t="s">
        <v>8079</v>
      </c>
      <c r="N860" s="3">
        <v>43347</v>
      </c>
      <c r="O860" s="3">
        <v>43346</v>
      </c>
      <c r="P860" t="s">
        <v>5992</v>
      </c>
      <c r="Q860" t="s">
        <v>8463</v>
      </c>
      <c r="R860" t="s">
        <v>6036</v>
      </c>
      <c r="S860" s="3">
        <v>43347</v>
      </c>
      <c r="T860" t="s">
        <v>9938</v>
      </c>
      <c r="U860" t="s">
        <v>5953</v>
      </c>
      <c r="V860" t="s">
        <v>7613</v>
      </c>
      <c r="W860" t="s">
        <v>5857</v>
      </c>
      <c r="X860" s="2">
        <v>1020</v>
      </c>
      <c r="Y860" t="s">
        <v>5858</v>
      </c>
      <c r="Z860" t="s">
        <v>6037</v>
      </c>
      <c r="AA860" s="2">
        <v>2000</v>
      </c>
      <c r="AB860" t="s">
        <v>5863</v>
      </c>
      <c r="AC860" t="s">
        <v>9974</v>
      </c>
      <c r="AD860" s="32"/>
      <c r="AJ860" t="s">
        <v>9959</v>
      </c>
      <c r="AL860" t="s">
        <v>11047</v>
      </c>
    </row>
    <row r="861" spans="1:38">
      <c r="A861" t="s">
        <v>8409</v>
      </c>
      <c r="B861" t="s">
        <v>12195</v>
      </c>
      <c r="C861" t="s">
        <v>8420</v>
      </c>
      <c r="D861" t="s">
        <v>8421</v>
      </c>
      <c r="E861" s="2">
        <v>20000</v>
      </c>
      <c r="F861" s="2">
        <v>20000</v>
      </c>
      <c r="G861" s="3">
        <v>43344</v>
      </c>
      <c r="H861" s="4">
        <v>0.18299768518519</v>
      </c>
      <c r="I861" s="3">
        <v>43344</v>
      </c>
      <c r="J861" s="4">
        <v>0.99998842592592996</v>
      </c>
      <c r="K861" s="2">
        <v>0</v>
      </c>
      <c r="L861" t="s">
        <v>5856</v>
      </c>
      <c r="M861" t="s">
        <v>8072</v>
      </c>
      <c r="N861" s="3">
        <v>43346</v>
      </c>
      <c r="O861" s="3">
        <v>43346</v>
      </c>
      <c r="P861" t="s">
        <v>6673</v>
      </c>
      <c r="Q861" t="s">
        <v>13307</v>
      </c>
      <c r="R861" t="s">
        <v>6036</v>
      </c>
      <c r="S861" s="3">
        <v>43346</v>
      </c>
      <c r="T861" t="s">
        <v>9938</v>
      </c>
      <c r="U861" t="s">
        <v>7537</v>
      </c>
      <c r="V861" t="s">
        <v>6067</v>
      </c>
      <c r="W861" t="s">
        <v>5857</v>
      </c>
      <c r="X861" s="2">
        <v>0</v>
      </c>
      <c r="Y861" t="s">
        <v>5858</v>
      </c>
      <c r="Z861" t="s">
        <v>6037</v>
      </c>
      <c r="AA861" s="2">
        <v>20000</v>
      </c>
      <c r="AB861" t="s">
        <v>5861</v>
      </c>
      <c r="AC861" t="s">
        <v>9979</v>
      </c>
      <c r="AD861" s="32"/>
      <c r="AJ861" t="s">
        <v>9958</v>
      </c>
      <c r="AL861" t="s">
        <v>11048</v>
      </c>
    </row>
    <row r="862" spans="1:38">
      <c r="A862" t="s">
        <v>8409</v>
      </c>
      <c r="B862" t="s">
        <v>13308</v>
      </c>
      <c r="C862" t="s">
        <v>8446</v>
      </c>
      <c r="D862" t="s">
        <v>8447</v>
      </c>
      <c r="E862" s="2">
        <v>5150</v>
      </c>
      <c r="F862" s="2">
        <v>5150</v>
      </c>
      <c r="G862" s="3">
        <v>43347</v>
      </c>
      <c r="H862" s="4">
        <v>0.67769675925925998</v>
      </c>
      <c r="I862" s="3">
        <v>43347</v>
      </c>
      <c r="J862" s="4">
        <v>0.88806712962962997</v>
      </c>
      <c r="K862" s="2">
        <v>20</v>
      </c>
      <c r="L862" t="s">
        <v>5856</v>
      </c>
      <c r="M862" t="s">
        <v>8159</v>
      </c>
      <c r="N862" s="3">
        <v>43350</v>
      </c>
      <c r="O862" s="3">
        <v>43349</v>
      </c>
      <c r="P862" t="s">
        <v>7251</v>
      </c>
      <c r="Q862" t="s">
        <v>13309</v>
      </c>
      <c r="R862" t="s">
        <v>6036</v>
      </c>
      <c r="S862" s="3">
        <v>43350</v>
      </c>
      <c r="T862" t="s">
        <v>9938</v>
      </c>
      <c r="U862" t="s">
        <v>8412</v>
      </c>
      <c r="V862" t="s">
        <v>8449</v>
      </c>
      <c r="W862" t="s">
        <v>5857</v>
      </c>
      <c r="X862" s="2">
        <v>1020</v>
      </c>
      <c r="Y862" t="s">
        <v>5858</v>
      </c>
      <c r="Z862" t="s">
        <v>6037</v>
      </c>
      <c r="AA862" s="2">
        <v>5000</v>
      </c>
      <c r="AB862" t="s">
        <v>5863</v>
      </c>
      <c r="AC862" t="s">
        <v>9974</v>
      </c>
      <c r="AD862" s="32"/>
      <c r="AJ862" t="s">
        <v>9957</v>
      </c>
      <c r="AL862" t="s">
        <v>14072</v>
      </c>
    </row>
    <row r="863" spans="1:38">
      <c r="A863" t="s">
        <v>8409</v>
      </c>
      <c r="B863" t="s">
        <v>13310</v>
      </c>
      <c r="C863" t="s">
        <v>8431</v>
      </c>
      <c r="D863" t="s">
        <v>8432</v>
      </c>
      <c r="E863" s="2">
        <v>2060</v>
      </c>
      <c r="F863" s="2">
        <v>2060</v>
      </c>
      <c r="G863" s="3">
        <v>43347</v>
      </c>
      <c r="H863" s="4">
        <v>0.91584490740740998</v>
      </c>
      <c r="I863" s="3">
        <v>43348</v>
      </c>
      <c r="J863" s="4">
        <v>0</v>
      </c>
      <c r="K863" s="2">
        <v>20</v>
      </c>
      <c r="L863" t="s">
        <v>5856</v>
      </c>
      <c r="M863" t="s">
        <v>8234</v>
      </c>
      <c r="N863" s="3">
        <v>43350</v>
      </c>
      <c r="O863" s="3">
        <v>43349</v>
      </c>
      <c r="P863" t="s">
        <v>5924</v>
      </c>
      <c r="Q863" t="s">
        <v>13311</v>
      </c>
      <c r="R863" t="s">
        <v>6036</v>
      </c>
      <c r="S863" s="3">
        <v>43350</v>
      </c>
      <c r="T863" t="s">
        <v>9938</v>
      </c>
      <c r="U863" t="s">
        <v>8412</v>
      </c>
      <c r="V863" t="s">
        <v>8434</v>
      </c>
      <c r="W863" t="s">
        <v>5857</v>
      </c>
      <c r="X863" s="2">
        <v>1020</v>
      </c>
      <c r="Y863" t="s">
        <v>5858</v>
      </c>
      <c r="Z863" t="s">
        <v>6037</v>
      </c>
      <c r="AA863" s="2">
        <v>2000</v>
      </c>
      <c r="AB863" t="s">
        <v>5863</v>
      </c>
      <c r="AC863" t="s">
        <v>9974</v>
      </c>
      <c r="AD863" s="32"/>
      <c r="AJ863" t="s">
        <v>9957</v>
      </c>
      <c r="AL863" t="s">
        <v>14073</v>
      </c>
    </row>
    <row r="864" spans="1:38">
      <c r="A864" t="s">
        <v>8409</v>
      </c>
      <c r="B864" t="s">
        <v>12196</v>
      </c>
      <c r="C864" t="s">
        <v>8420</v>
      </c>
      <c r="D864" t="s">
        <v>8421</v>
      </c>
      <c r="E864" s="2">
        <v>20000</v>
      </c>
      <c r="F864" s="2">
        <v>20000</v>
      </c>
      <c r="G864" s="3">
        <v>43350</v>
      </c>
      <c r="H864" s="4">
        <v>0.18299768518519</v>
      </c>
      <c r="I864" s="3">
        <v>43350</v>
      </c>
      <c r="J864" s="4">
        <v>0.99998842592592996</v>
      </c>
      <c r="K864" s="2">
        <v>0</v>
      </c>
      <c r="L864" t="s">
        <v>5856</v>
      </c>
      <c r="M864" t="s">
        <v>8072</v>
      </c>
      <c r="N864" s="3">
        <v>43352</v>
      </c>
      <c r="O864" s="3">
        <v>43352</v>
      </c>
      <c r="P864" t="s">
        <v>6673</v>
      </c>
      <c r="Q864" t="s">
        <v>8553</v>
      </c>
      <c r="R864" t="s">
        <v>6036</v>
      </c>
      <c r="S864" s="3">
        <v>43354</v>
      </c>
      <c r="T864" t="s">
        <v>9938</v>
      </c>
      <c r="U864" t="s">
        <v>7537</v>
      </c>
      <c r="V864" t="s">
        <v>6067</v>
      </c>
      <c r="W864" t="s">
        <v>5857</v>
      </c>
      <c r="X864" s="2">
        <v>0</v>
      </c>
      <c r="Y864" t="s">
        <v>5858</v>
      </c>
      <c r="Z864" t="s">
        <v>6037</v>
      </c>
      <c r="AA864" s="2">
        <v>20000</v>
      </c>
      <c r="AB864" t="s">
        <v>5861</v>
      </c>
      <c r="AC864" t="s">
        <v>9979</v>
      </c>
      <c r="AD864" s="32"/>
      <c r="AJ864" t="s">
        <v>9958</v>
      </c>
      <c r="AL864" t="s">
        <v>11049</v>
      </c>
    </row>
    <row r="865" spans="1:38">
      <c r="A865" t="s">
        <v>8409</v>
      </c>
      <c r="B865" t="s">
        <v>12197</v>
      </c>
      <c r="C865" t="s">
        <v>8420</v>
      </c>
      <c r="D865" t="s">
        <v>8421</v>
      </c>
      <c r="E865" s="2">
        <v>20000</v>
      </c>
      <c r="F865" s="2">
        <v>20000</v>
      </c>
      <c r="G865" s="3">
        <v>43351</v>
      </c>
      <c r="H865" s="4">
        <v>0.18299768518519</v>
      </c>
      <c r="I865" s="3">
        <v>43351</v>
      </c>
      <c r="J865" s="4">
        <v>0.99998842592592996</v>
      </c>
      <c r="K865" s="2">
        <v>0</v>
      </c>
      <c r="L865" t="s">
        <v>5856</v>
      </c>
      <c r="M865" t="s">
        <v>8072</v>
      </c>
      <c r="N865" s="3">
        <v>43353</v>
      </c>
      <c r="O865" s="3">
        <v>43353</v>
      </c>
      <c r="P865" t="s">
        <v>6673</v>
      </c>
      <c r="Q865" t="s">
        <v>8581</v>
      </c>
      <c r="R865" t="s">
        <v>6036</v>
      </c>
      <c r="S865" s="3">
        <v>43356</v>
      </c>
      <c r="T865" t="s">
        <v>9938</v>
      </c>
      <c r="U865" t="s">
        <v>7537</v>
      </c>
      <c r="V865" t="s">
        <v>6067</v>
      </c>
      <c r="W865" t="s">
        <v>5857</v>
      </c>
      <c r="X865" s="2">
        <v>0</v>
      </c>
      <c r="Y865" t="s">
        <v>5858</v>
      </c>
      <c r="Z865" t="s">
        <v>6037</v>
      </c>
      <c r="AA865" s="2">
        <v>20000</v>
      </c>
      <c r="AB865" t="s">
        <v>5861</v>
      </c>
      <c r="AC865" t="s">
        <v>9979</v>
      </c>
      <c r="AD865" s="32"/>
      <c r="AJ865" t="s">
        <v>9958</v>
      </c>
      <c r="AL865" t="s">
        <v>11050</v>
      </c>
    </row>
    <row r="866" spans="1:38">
      <c r="A866" t="s">
        <v>8465</v>
      </c>
      <c r="B866" t="s">
        <v>12198</v>
      </c>
      <c r="C866" t="s">
        <v>8466</v>
      </c>
      <c r="D866" t="s">
        <v>8467</v>
      </c>
      <c r="E866" s="2">
        <v>20600</v>
      </c>
      <c r="F866" s="2">
        <v>20600</v>
      </c>
      <c r="G866" s="3">
        <v>43269</v>
      </c>
      <c r="H866" s="4">
        <v>0.37009259259258998</v>
      </c>
      <c r="I866" s="3">
        <v>43270</v>
      </c>
      <c r="J866" s="4">
        <v>8.537037037037E-2</v>
      </c>
      <c r="K866" s="2">
        <v>4</v>
      </c>
      <c r="L866" t="s">
        <v>5856</v>
      </c>
      <c r="M866" t="s">
        <v>8149</v>
      </c>
      <c r="N866" s="3"/>
      <c r="O866" s="3">
        <v>43277</v>
      </c>
      <c r="P866" t="s">
        <v>5862</v>
      </c>
      <c r="Q866" t="s">
        <v>6038</v>
      </c>
      <c r="R866" t="s">
        <v>6039</v>
      </c>
      <c r="S866" s="3"/>
      <c r="T866" t="s">
        <v>9938</v>
      </c>
      <c r="U866" t="s">
        <v>8150</v>
      </c>
      <c r="V866" t="s">
        <v>8468</v>
      </c>
      <c r="W866" t="s">
        <v>5868</v>
      </c>
      <c r="X866" s="2">
        <v>1020</v>
      </c>
      <c r="Y866" t="s">
        <v>5858</v>
      </c>
      <c r="Z866" t="s">
        <v>6037</v>
      </c>
      <c r="AA866" s="2">
        <v>20600</v>
      </c>
      <c r="AB866" t="s">
        <v>5859</v>
      </c>
      <c r="AC866" t="s">
        <v>9977</v>
      </c>
      <c r="AD866" s="32"/>
      <c r="AJ866" t="s">
        <v>9971</v>
      </c>
      <c r="AL866" t="s">
        <v>11051</v>
      </c>
    </row>
    <row r="867" spans="1:38">
      <c r="A867" t="s">
        <v>8465</v>
      </c>
      <c r="B867" t="s">
        <v>12199</v>
      </c>
      <c r="C867" t="s">
        <v>7010</v>
      </c>
      <c r="D867" t="s">
        <v>7011</v>
      </c>
      <c r="E867" s="2">
        <v>3605</v>
      </c>
      <c r="F867" s="2">
        <v>3605</v>
      </c>
      <c r="G867" s="3">
        <v>43273</v>
      </c>
      <c r="H867" s="4">
        <v>0.82979166666667004</v>
      </c>
      <c r="I867" s="3">
        <v>43273</v>
      </c>
      <c r="J867" s="4">
        <v>0.97706018518519</v>
      </c>
      <c r="K867" s="2">
        <v>4</v>
      </c>
      <c r="L867" t="s">
        <v>5856</v>
      </c>
      <c r="M867" t="s">
        <v>8469</v>
      </c>
      <c r="N867" s="3">
        <v>43276</v>
      </c>
      <c r="O867" s="3">
        <v>43275</v>
      </c>
      <c r="P867" t="s">
        <v>5960</v>
      </c>
      <c r="Q867" t="s">
        <v>6038</v>
      </c>
      <c r="R867" t="s">
        <v>6039</v>
      </c>
      <c r="S867" s="3"/>
      <c r="T867" t="s">
        <v>9938</v>
      </c>
      <c r="U867" t="s">
        <v>7012</v>
      </c>
      <c r="V867" t="s">
        <v>7013</v>
      </c>
      <c r="W867" t="s">
        <v>5857</v>
      </c>
      <c r="X867" s="2">
        <v>1020</v>
      </c>
      <c r="Y867" t="s">
        <v>5858</v>
      </c>
      <c r="Z867" t="s">
        <v>6037</v>
      </c>
      <c r="AA867" s="2">
        <v>3605</v>
      </c>
      <c r="AB867" t="s">
        <v>5859</v>
      </c>
      <c r="AC867" t="s">
        <v>9976</v>
      </c>
      <c r="AD867" s="32"/>
      <c r="AJ867" t="s">
        <v>9958</v>
      </c>
      <c r="AL867" t="s">
        <v>11052</v>
      </c>
    </row>
    <row r="868" spans="1:38">
      <c r="A868" t="s">
        <v>8465</v>
      </c>
      <c r="B868" t="s">
        <v>12200</v>
      </c>
      <c r="C868" t="s">
        <v>6695</v>
      </c>
      <c r="D868" t="s">
        <v>6696</v>
      </c>
      <c r="E868" s="2">
        <v>10000</v>
      </c>
      <c r="F868" s="2">
        <v>10000</v>
      </c>
      <c r="G868" s="3">
        <v>43273</v>
      </c>
      <c r="H868" s="4">
        <v>0.99789351851852004</v>
      </c>
      <c r="I868" s="3">
        <v>43274</v>
      </c>
      <c r="J868" s="4">
        <v>0.40638888888889002</v>
      </c>
      <c r="K868" s="2">
        <v>20</v>
      </c>
      <c r="L868" t="s">
        <v>5856</v>
      </c>
      <c r="M868" t="s">
        <v>7264</v>
      </c>
      <c r="N868" s="3">
        <v>43339</v>
      </c>
      <c r="O868" s="3">
        <v>43276</v>
      </c>
      <c r="P868" t="s">
        <v>5911</v>
      </c>
      <c r="Q868" t="s">
        <v>8470</v>
      </c>
      <c r="R868" t="s">
        <v>6036</v>
      </c>
      <c r="S868" s="3">
        <v>43339</v>
      </c>
      <c r="T868" t="s">
        <v>9938</v>
      </c>
      <c r="U868" t="s">
        <v>5935</v>
      </c>
      <c r="V868" t="s">
        <v>6699</v>
      </c>
      <c r="W868" t="s">
        <v>5857</v>
      </c>
      <c r="X868" s="2">
        <v>1020</v>
      </c>
      <c r="Y868" t="s">
        <v>5858</v>
      </c>
      <c r="Z868" t="s">
        <v>6037</v>
      </c>
      <c r="AA868" s="2">
        <v>10000</v>
      </c>
      <c r="AB868" t="s">
        <v>5863</v>
      </c>
      <c r="AC868" t="s">
        <v>9974</v>
      </c>
      <c r="AD868" s="32"/>
      <c r="AI868" t="s">
        <v>9943</v>
      </c>
      <c r="AJ868" t="s">
        <v>9959</v>
      </c>
      <c r="AL868" t="s">
        <v>11053</v>
      </c>
    </row>
    <row r="869" spans="1:38">
      <c r="A869" t="s">
        <v>8465</v>
      </c>
      <c r="B869" t="s">
        <v>12201</v>
      </c>
      <c r="C869" t="s">
        <v>8471</v>
      </c>
      <c r="D869" t="s">
        <v>8472</v>
      </c>
      <c r="E869" s="2">
        <v>11000</v>
      </c>
      <c r="F869" s="2">
        <v>11000</v>
      </c>
      <c r="G869" s="3">
        <v>43277</v>
      </c>
      <c r="H869" s="4">
        <v>0.88317129629629998</v>
      </c>
      <c r="I869" s="3">
        <v>43278</v>
      </c>
      <c r="J869" s="4">
        <v>0.33252314814814998</v>
      </c>
      <c r="K869" s="2">
        <v>45</v>
      </c>
      <c r="L869" t="s">
        <v>5856</v>
      </c>
      <c r="M869" t="s">
        <v>8473</v>
      </c>
      <c r="N869" s="3">
        <v>43277</v>
      </c>
      <c r="O869" s="3">
        <v>43280</v>
      </c>
      <c r="P869" t="s">
        <v>7251</v>
      </c>
      <c r="Q869" t="s">
        <v>6038</v>
      </c>
      <c r="R869" t="s">
        <v>6039</v>
      </c>
      <c r="S869" s="3"/>
      <c r="T869" t="s">
        <v>9938</v>
      </c>
      <c r="U869" t="s">
        <v>7253</v>
      </c>
      <c r="V869" t="s">
        <v>8474</v>
      </c>
      <c r="W869" t="s">
        <v>5857</v>
      </c>
      <c r="X869" s="2">
        <v>1020</v>
      </c>
      <c r="Y869" t="s">
        <v>5858</v>
      </c>
      <c r="Z869" t="s">
        <v>6037</v>
      </c>
      <c r="AA869" s="2">
        <v>11000</v>
      </c>
      <c r="AB869" t="s">
        <v>5863</v>
      </c>
      <c r="AC869" t="s">
        <v>9974</v>
      </c>
      <c r="AD869" s="32"/>
      <c r="AJ869" t="s">
        <v>9957</v>
      </c>
      <c r="AL869" t="s">
        <v>14074</v>
      </c>
    </row>
    <row r="870" spans="1:38">
      <c r="A870" t="s">
        <v>8465</v>
      </c>
      <c r="B870" t="s">
        <v>12212</v>
      </c>
      <c r="C870" t="s">
        <v>8500</v>
      </c>
      <c r="D870" t="s">
        <v>8501</v>
      </c>
      <c r="E870" s="2">
        <v>20600</v>
      </c>
      <c r="F870" s="2">
        <v>20600</v>
      </c>
      <c r="G870" s="3">
        <v>43280</v>
      </c>
      <c r="H870" s="4">
        <v>7.8032407407410007E-2</v>
      </c>
      <c r="I870" s="3">
        <v>43280</v>
      </c>
      <c r="J870" s="4">
        <v>0.91953703703704004</v>
      </c>
      <c r="K870" s="2">
        <v>20</v>
      </c>
      <c r="L870" t="s">
        <v>5856</v>
      </c>
      <c r="M870" t="s">
        <v>8151</v>
      </c>
      <c r="N870" s="3">
        <v>43286</v>
      </c>
      <c r="O870" s="3">
        <v>43282</v>
      </c>
      <c r="P870" t="s">
        <v>7136</v>
      </c>
      <c r="Q870" t="s">
        <v>8502</v>
      </c>
      <c r="R870" t="s">
        <v>6036</v>
      </c>
      <c r="S870" s="3">
        <v>43286</v>
      </c>
      <c r="T870" t="s">
        <v>9938</v>
      </c>
      <c r="U870" t="s">
        <v>5867</v>
      </c>
      <c r="V870" t="s">
        <v>8503</v>
      </c>
      <c r="W870" t="s">
        <v>5868</v>
      </c>
      <c r="X870" s="2">
        <v>1020</v>
      </c>
      <c r="Y870" t="s">
        <v>5858</v>
      </c>
      <c r="Z870" t="s">
        <v>6037</v>
      </c>
      <c r="AA870" s="2">
        <v>20000</v>
      </c>
      <c r="AB870" t="s">
        <v>5859</v>
      </c>
      <c r="AC870" t="s">
        <v>9974</v>
      </c>
      <c r="AD870" s="32">
        <v>43186</v>
      </c>
      <c r="AI870" t="s">
        <v>9943</v>
      </c>
      <c r="AJ870" t="s">
        <v>9959</v>
      </c>
      <c r="AL870" t="s">
        <v>14075</v>
      </c>
    </row>
    <row r="871" spans="1:38">
      <c r="A871" t="s">
        <v>8465</v>
      </c>
      <c r="B871" t="s">
        <v>12204</v>
      </c>
      <c r="C871" t="s">
        <v>8478</v>
      </c>
      <c r="D871" t="s">
        <v>8479</v>
      </c>
      <c r="E871" s="2">
        <v>15450</v>
      </c>
      <c r="F871" s="2">
        <v>15450</v>
      </c>
      <c r="G871" s="3">
        <v>43282</v>
      </c>
      <c r="H871" s="4">
        <v>2.0833333333330002E-2</v>
      </c>
      <c r="I871" s="3">
        <v>43282</v>
      </c>
      <c r="J871" s="4">
        <v>0.65195601851852003</v>
      </c>
      <c r="K871" s="2">
        <v>20</v>
      </c>
      <c r="L871" t="s">
        <v>5856</v>
      </c>
      <c r="M871" t="s">
        <v>8210</v>
      </c>
      <c r="N871" s="3">
        <v>43286</v>
      </c>
      <c r="O871" s="3">
        <v>43284</v>
      </c>
      <c r="P871" t="s">
        <v>7136</v>
      </c>
      <c r="Q871" t="s">
        <v>8480</v>
      </c>
      <c r="R871" t="s">
        <v>6036</v>
      </c>
      <c r="S871" s="3">
        <v>43286</v>
      </c>
      <c r="T871" t="s">
        <v>9938</v>
      </c>
      <c r="U871" t="s">
        <v>5935</v>
      </c>
      <c r="V871" t="s">
        <v>5993</v>
      </c>
      <c r="W871" t="s">
        <v>5868</v>
      </c>
      <c r="X871" s="2">
        <v>1020</v>
      </c>
      <c r="Y871" t="s">
        <v>5858</v>
      </c>
      <c r="Z871" t="s">
        <v>6037</v>
      </c>
      <c r="AA871" s="2">
        <v>15000</v>
      </c>
      <c r="AB871" t="s">
        <v>5859</v>
      </c>
      <c r="AC871" t="s">
        <v>9974</v>
      </c>
      <c r="AD871" s="32">
        <v>43194</v>
      </c>
      <c r="AI871" t="s">
        <v>9943</v>
      </c>
      <c r="AJ871" t="s">
        <v>9959</v>
      </c>
      <c r="AL871" t="s">
        <v>11056</v>
      </c>
    </row>
    <row r="872" spans="1:38">
      <c r="A872" t="s">
        <v>8465</v>
      </c>
      <c r="B872" t="s">
        <v>12202</v>
      </c>
      <c r="C872" t="s">
        <v>7010</v>
      </c>
      <c r="D872" t="s">
        <v>7011</v>
      </c>
      <c r="E872" s="2">
        <v>18540</v>
      </c>
      <c r="F872" s="2">
        <v>18540</v>
      </c>
      <c r="G872" s="3">
        <v>43282</v>
      </c>
      <c r="H872" s="4">
        <v>0.67278935185184996</v>
      </c>
      <c r="I872" s="3">
        <v>43283</v>
      </c>
      <c r="J872" s="4">
        <v>0.43013888888889001</v>
      </c>
      <c r="K872" s="2">
        <v>20</v>
      </c>
      <c r="L872" t="s">
        <v>5856</v>
      </c>
      <c r="M872" t="s">
        <v>8476</v>
      </c>
      <c r="N872" s="3">
        <v>43298</v>
      </c>
      <c r="O872" s="3">
        <v>43285</v>
      </c>
      <c r="P872" t="s">
        <v>5960</v>
      </c>
      <c r="Q872" t="s">
        <v>8477</v>
      </c>
      <c r="R872" t="s">
        <v>6036</v>
      </c>
      <c r="S872" s="3">
        <v>43298</v>
      </c>
      <c r="T872" t="s">
        <v>9938</v>
      </c>
      <c r="U872" t="s">
        <v>7012</v>
      </c>
      <c r="V872" t="s">
        <v>7013</v>
      </c>
      <c r="W872" t="s">
        <v>5857</v>
      </c>
      <c r="X872" s="2">
        <v>1020</v>
      </c>
      <c r="Y872" t="s">
        <v>5858</v>
      </c>
      <c r="Z872" t="s">
        <v>6037</v>
      </c>
      <c r="AA872" s="2">
        <v>18000</v>
      </c>
      <c r="AB872" t="s">
        <v>5859</v>
      </c>
      <c r="AC872" t="s">
        <v>9976</v>
      </c>
      <c r="AD872" s="32">
        <v>43265</v>
      </c>
      <c r="AJ872" t="s">
        <v>9958</v>
      </c>
      <c r="AL872" t="s">
        <v>11054</v>
      </c>
    </row>
    <row r="873" spans="1:38">
      <c r="A873" t="s">
        <v>8465</v>
      </c>
      <c r="B873" t="s">
        <v>12205</v>
      </c>
      <c r="C873" t="s">
        <v>8481</v>
      </c>
      <c r="D873" t="s">
        <v>8482</v>
      </c>
      <c r="E873" s="2">
        <v>300</v>
      </c>
      <c r="F873" s="2">
        <v>10300</v>
      </c>
      <c r="G873" s="3">
        <v>43285</v>
      </c>
      <c r="H873" s="4">
        <v>0.54200231481480998</v>
      </c>
      <c r="I873" s="3">
        <v>43285</v>
      </c>
      <c r="J873" s="4">
        <v>0.96275462962962999</v>
      </c>
      <c r="K873" s="2">
        <v>20</v>
      </c>
      <c r="L873" t="s">
        <v>5856</v>
      </c>
      <c r="M873" t="s">
        <v>8165</v>
      </c>
      <c r="N873" s="3">
        <v>43287</v>
      </c>
      <c r="O873" s="3">
        <v>43287</v>
      </c>
      <c r="P873" t="s">
        <v>5992</v>
      </c>
      <c r="Q873" t="s">
        <v>8483</v>
      </c>
      <c r="R873" t="s">
        <v>6036</v>
      </c>
      <c r="S873" s="3">
        <v>43287</v>
      </c>
      <c r="T873" t="s">
        <v>9938</v>
      </c>
      <c r="U873" t="s">
        <v>5879</v>
      </c>
      <c r="V873" t="s">
        <v>8484</v>
      </c>
      <c r="W873" t="s">
        <v>5857</v>
      </c>
      <c r="X873" s="2">
        <v>1020</v>
      </c>
      <c r="Y873" t="s">
        <v>5858</v>
      </c>
      <c r="Z873" t="s">
        <v>6037</v>
      </c>
      <c r="AA873" s="2">
        <v>300</v>
      </c>
      <c r="AB873" t="s">
        <v>5859</v>
      </c>
      <c r="AC873" t="s">
        <v>9974</v>
      </c>
      <c r="AD873" s="32">
        <v>43273</v>
      </c>
      <c r="AI873" t="s">
        <v>9943</v>
      </c>
      <c r="AJ873" t="s">
        <v>9959</v>
      </c>
      <c r="AL873" t="s">
        <v>11057</v>
      </c>
    </row>
    <row r="874" spans="1:38">
      <c r="A874" t="s">
        <v>8465</v>
      </c>
      <c r="B874" t="s">
        <v>12206</v>
      </c>
      <c r="C874" t="s">
        <v>6826</v>
      </c>
      <c r="D874" t="s">
        <v>6827</v>
      </c>
      <c r="E874" s="2">
        <v>10300</v>
      </c>
      <c r="F874" s="2">
        <v>10300</v>
      </c>
      <c r="G874" s="3">
        <v>43285</v>
      </c>
      <c r="H874" s="4">
        <v>0.98358796296296003</v>
      </c>
      <c r="I874" s="3">
        <v>43286</v>
      </c>
      <c r="J874" s="4">
        <v>0.40434027777777998</v>
      </c>
      <c r="K874" s="2">
        <v>20</v>
      </c>
      <c r="L874" t="s">
        <v>5856</v>
      </c>
      <c r="M874" t="s">
        <v>8165</v>
      </c>
      <c r="N874" s="3">
        <v>43283</v>
      </c>
      <c r="O874" s="3">
        <v>43288</v>
      </c>
      <c r="P874" t="s">
        <v>6828</v>
      </c>
      <c r="Q874" t="s">
        <v>8485</v>
      </c>
      <c r="R874" t="s">
        <v>6036</v>
      </c>
      <c r="S874" s="3">
        <v>43283</v>
      </c>
      <c r="T874" t="s">
        <v>9938</v>
      </c>
      <c r="U874" t="s">
        <v>6482</v>
      </c>
      <c r="V874" t="s">
        <v>6830</v>
      </c>
      <c r="W874" t="s">
        <v>5857</v>
      </c>
      <c r="X874" s="2">
        <v>1020</v>
      </c>
      <c r="Y874" t="s">
        <v>5858</v>
      </c>
      <c r="Z874" t="s">
        <v>6037</v>
      </c>
      <c r="AA874" s="2">
        <v>10300</v>
      </c>
      <c r="AB874" t="s">
        <v>5859</v>
      </c>
      <c r="AC874" t="s">
        <v>9974</v>
      </c>
      <c r="AD874" s="32">
        <v>43214</v>
      </c>
      <c r="AI874" t="s">
        <v>9941</v>
      </c>
      <c r="AJ874" t="s">
        <v>9959</v>
      </c>
      <c r="AL874" t="s">
        <v>11058</v>
      </c>
    </row>
    <row r="875" spans="1:38">
      <c r="A875" t="s">
        <v>8465</v>
      </c>
      <c r="B875" t="s">
        <v>11569</v>
      </c>
      <c r="C875" t="s">
        <v>6578</v>
      </c>
      <c r="D875" t="s">
        <v>6579</v>
      </c>
      <c r="E875" s="2">
        <v>10300</v>
      </c>
      <c r="F875" s="2">
        <v>10300</v>
      </c>
      <c r="G875" s="3">
        <v>43287</v>
      </c>
      <c r="H875" s="4">
        <v>9.6365740740740002E-2</v>
      </c>
      <c r="I875" s="3">
        <v>43287</v>
      </c>
      <c r="J875" s="4">
        <v>0.51711805555556001</v>
      </c>
      <c r="K875" s="2">
        <v>0</v>
      </c>
      <c r="L875" t="s">
        <v>5856</v>
      </c>
      <c r="M875" t="s">
        <v>8165</v>
      </c>
      <c r="N875" s="3">
        <v>43297</v>
      </c>
      <c r="O875" s="3">
        <v>43289</v>
      </c>
      <c r="P875" t="s">
        <v>6580</v>
      </c>
      <c r="Q875" t="s">
        <v>6581</v>
      </c>
      <c r="R875" t="s">
        <v>6036</v>
      </c>
      <c r="S875" s="3">
        <v>43297</v>
      </c>
      <c r="T875" t="s">
        <v>9938</v>
      </c>
      <c r="U875" t="s">
        <v>6582</v>
      </c>
      <c r="V875" t="s">
        <v>6583</v>
      </c>
      <c r="W875" t="s">
        <v>6038</v>
      </c>
      <c r="X875" s="2">
        <v>1020</v>
      </c>
      <c r="Y875" t="s">
        <v>5858</v>
      </c>
      <c r="Z875" t="s">
        <v>6037</v>
      </c>
      <c r="AA875" s="2">
        <v>10000</v>
      </c>
      <c r="AB875" t="s">
        <v>5863</v>
      </c>
      <c r="AC875" t="s">
        <v>9976</v>
      </c>
      <c r="AD875" s="32">
        <v>43276</v>
      </c>
      <c r="AJ875" t="s">
        <v>9958</v>
      </c>
      <c r="AL875" t="s">
        <v>14076</v>
      </c>
    </row>
    <row r="876" spans="1:38">
      <c r="A876" t="s">
        <v>8465</v>
      </c>
      <c r="B876" t="s">
        <v>12207</v>
      </c>
      <c r="C876" t="s">
        <v>6695</v>
      </c>
      <c r="D876" t="s">
        <v>6696</v>
      </c>
      <c r="E876" s="2">
        <v>370</v>
      </c>
      <c r="F876" s="2">
        <v>9270</v>
      </c>
      <c r="G876" s="3">
        <v>43287</v>
      </c>
      <c r="H876" s="4">
        <v>0.72378472222222001</v>
      </c>
      <c r="I876" s="3">
        <v>43288</v>
      </c>
      <c r="J876" s="4">
        <v>0.10246527777778</v>
      </c>
      <c r="K876" s="2">
        <v>20</v>
      </c>
      <c r="L876" t="s">
        <v>5856</v>
      </c>
      <c r="M876" t="s">
        <v>8486</v>
      </c>
      <c r="N876" s="3">
        <v>43284</v>
      </c>
      <c r="O876" s="3">
        <v>43290</v>
      </c>
      <c r="P876" t="s">
        <v>5911</v>
      </c>
      <c r="Q876" t="s">
        <v>8487</v>
      </c>
      <c r="R876" t="s">
        <v>6036</v>
      </c>
      <c r="S876" s="3">
        <v>43284</v>
      </c>
      <c r="T876" t="s">
        <v>9938</v>
      </c>
      <c r="U876" t="s">
        <v>5935</v>
      </c>
      <c r="V876" t="s">
        <v>6699</v>
      </c>
      <c r="W876" t="s">
        <v>5857</v>
      </c>
      <c r="X876" s="2">
        <v>1020</v>
      </c>
      <c r="Y876" t="s">
        <v>5858</v>
      </c>
      <c r="Z876" t="s">
        <v>6037</v>
      </c>
      <c r="AA876" s="2">
        <v>370</v>
      </c>
      <c r="AB876" t="s">
        <v>5859</v>
      </c>
      <c r="AC876" t="s">
        <v>9974</v>
      </c>
      <c r="AD876" s="32">
        <v>43154</v>
      </c>
      <c r="AI876" t="s">
        <v>9943</v>
      </c>
      <c r="AJ876" t="s">
        <v>9959</v>
      </c>
      <c r="AL876" t="s">
        <v>11059</v>
      </c>
    </row>
    <row r="877" spans="1:38">
      <c r="A877" t="s">
        <v>8465</v>
      </c>
      <c r="B877" t="s">
        <v>12221</v>
      </c>
      <c r="C877" t="s">
        <v>7052</v>
      </c>
      <c r="D877" t="s">
        <v>7053</v>
      </c>
      <c r="E877" s="2">
        <v>5150</v>
      </c>
      <c r="F877" s="2">
        <v>5150</v>
      </c>
      <c r="G877" s="3">
        <v>43288</v>
      </c>
      <c r="H877" s="4">
        <v>3.9351851851999998E-4</v>
      </c>
      <c r="I877" s="3">
        <v>43288</v>
      </c>
      <c r="J877" s="4">
        <v>0.21076388888889</v>
      </c>
      <c r="K877" s="2">
        <v>20</v>
      </c>
      <c r="L877" t="s">
        <v>5856</v>
      </c>
      <c r="M877" t="s">
        <v>8159</v>
      </c>
      <c r="N877" s="3">
        <v>43297</v>
      </c>
      <c r="O877" s="3">
        <v>43290</v>
      </c>
      <c r="P877" t="s">
        <v>5862</v>
      </c>
      <c r="Q877" t="s">
        <v>8517</v>
      </c>
      <c r="R877" t="s">
        <v>6036</v>
      </c>
      <c r="S877" s="3">
        <v>43298</v>
      </c>
      <c r="T877" t="s">
        <v>9938</v>
      </c>
      <c r="U877" t="s">
        <v>6582</v>
      </c>
      <c r="V877" t="s">
        <v>7055</v>
      </c>
      <c r="W877" t="s">
        <v>5857</v>
      </c>
      <c r="X877" s="2">
        <v>1020</v>
      </c>
      <c r="Y877" t="s">
        <v>5858</v>
      </c>
      <c r="Z877" t="s">
        <v>6037</v>
      </c>
      <c r="AA877" s="2">
        <v>5000</v>
      </c>
      <c r="AB877" t="s">
        <v>5863</v>
      </c>
      <c r="AC877" t="s">
        <v>9976</v>
      </c>
      <c r="AD877" s="32">
        <v>43258</v>
      </c>
      <c r="AJ877" t="s">
        <v>9958</v>
      </c>
      <c r="AL877" t="s">
        <v>11068</v>
      </c>
    </row>
    <row r="878" spans="1:38">
      <c r="A878" t="s">
        <v>8465</v>
      </c>
      <c r="B878" t="s">
        <v>13312</v>
      </c>
      <c r="C878" t="s">
        <v>7010</v>
      </c>
      <c r="D878" t="s">
        <v>7011</v>
      </c>
      <c r="E878" s="2">
        <v>2060</v>
      </c>
      <c r="F878" s="2">
        <v>2060</v>
      </c>
      <c r="G878" s="3">
        <v>43288</v>
      </c>
      <c r="H878" s="4">
        <v>0.12329861111111</v>
      </c>
      <c r="I878" s="3">
        <v>43288</v>
      </c>
      <c r="J878" s="4">
        <v>0.2074537037037</v>
      </c>
      <c r="K878" s="2">
        <v>0</v>
      </c>
      <c r="L878" t="s">
        <v>5856</v>
      </c>
      <c r="M878" t="s">
        <v>8234</v>
      </c>
      <c r="N878" s="3">
        <v>43285</v>
      </c>
      <c r="O878" s="3">
        <v>43290</v>
      </c>
      <c r="P878" t="s">
        <v>5960</v>
      </c>
      <c r="Q878" t="s">
        <v>6038</v>
      </c>
      <c r="R878" t="s">
        <v>6040</v>
      </c>
      <c r="S878" s="3">
        <v>43288</v>
      </c>
      <c r="T878" t="s">
        <v>9938</v>
      </c>
      <c r="U878" t="s">
        <v>7012</v>
      </c>
      <c r="V878" t="s">
        <v>7013</v>
      </c>
      <c r="W878" t="s">
        <v>5857</v>
      </c>
      <c r="X878" s="2">
        <v>1020</v>
      </c>
      <c r="Y878" t="s">
        <v>5858</v>
      </c>
      <c r="Z878" t="s">
        <v>6037</v>
      </c>
      <c r="AA878" s="2">
        <v>2000</v>
      </c>
      <c r="AB878" t="s">
        <v>5863</v>
      </c>
      <c r="AC878" t="s">
        <v>9976</v>
      </c>
      <c r="AD878" s="32">
        <v>43280</v>
      </c>
      <c r="AJ878" t="s">
        <v>9958</v>
      </c>
      <c r="AL878" t="s">
        <v>14077</v>
      </c>
    </row>
    <row r="879" spans="1:38">
      <c r="A879" t="s">
        <v>8465</v>
      </c>
      <c r="B879" t="s">
        <v>12208</v>
      </c>
      <c r="C879" t="s">
        <v>8488</v>
      </c>
      <c r="D879" t="s">
        <v>8489</v>
      </c>
      <c r="E879" s="2">
        <v>0</v>
      </c>
      <c r="F879" s="2">
        <v>10300</v>
      </c>
      <c r="G879" s="3">
        <v>43288</v>
      </c>
      <c r="H879" s="4">
        <v>0.22828703703704001</v>
      </c>
      <c r="I879" s="3">
        <v>43288</v>
      </c>
      <c r="J879" s="4">
        <v>0.64903935185185002</v>
      </c>
      <c r="K879" s="2">
        <v>0</v>
      </c>
      <c r="L879" t="s">
        <v>5856</v>
      </c>
      <c r="M879" t="s">
        <v>8165</v>
      </c>
      <c r="N879" s="3">
        <v>43285</v>
      </c>
      <c r="O879" s="3">
        <v>43290</v>
      </c>
      <c r="P879" t="s">
        <v>5992</v>
      </c>
      <c r="Q879" t="s">
        <v>6038</v>
      </c>
      <c r="R879" t="s">
        <v>6039</v>
      </c>
      <c r="S879" s="3"/>
      <c r="T879" t="s">
        <v>9938</v>
      </c>
      <c r="U879" t="s">
        <v>5879</v>
      </c>
      <c r="V879" t="s">
        <v>8491</v>
      </c>
      <c r="W879" t="s">
        <v>5857</v>
      </c>
      <c r="X879" s="2">
        <v>1020</v>
      </c>
      <c r="Y879" t="s">
        <v>5858</v>
      </c>
      <c r="Z879" t="s">
        <v>6037</v>
      </c>
      <c r="AA879" s="2">
        <v>0</v>
      </c>
      <c r="AB879" t="s">
        <v>5859</v>
      </c>
      <c r="AC879" t="s">
        <v>9974</v>
      </c>
      <c r="AD879" s="32">
        <v>43234</v>
      </c>
      <c r="AI879" t="s">
        <v>9943</v>
      </c>
      <c r="AJ879" t="s">
        <v>9959</v>
      </c>
      <c r="AL879" t="s">
        <v>11060</v>
      </c>
    </row>
    <row r="880" spans="1:38">
      <c r="A880" t="s">
        <v>8465</v>
      </c>
      <c r="B880" t="s">
        <v>12209</v>
      </c>
      <c r="C880" t="s">
        <v>8492</v>
      </c>
      <c r="D880" t="s">
        <v>8493</v>
      </c>
      <c r="E880" s="2">
        <v>10300</v>
      </c>
      <c r="F880" s="2">
        <v>10300</v>
      </c>
      <c r="G880" s="3">
        <v>43288</v>
      </c>
      <c r="H880" s="4">
        <v>0.66987268518519005</v>
      </c>
      <c r="I880" s="3">
        <v>43289</v>
      </c>
      <c r="J880" s="4">
        <v>9.0624999999999997E-2</v>
      </c>
      <c r="K880" s="2">
        <v>0</v>
      </c>
      <c r="L880" t="s">
        <v>5856</v>
      </c>
      <c r="M880" t="s">
        <v>8165</v>
      </c>
      <c r="N880" s="3">
        <v>43285</v>
      </c>
      <c r="O880" s="3">
        <v>43291</v>
      </c>
      <c r="P880" t="s">
        <v>5862</v>
      </c>
      <c r="Q880" t="s">
        <v>8494</v>
      </c>
      <c r="R880" t="s">
        <v>6036</v>
      </c>
      <c r="S880" s="3">
        <v>43285</v>
      </c>
      <c r="T880" t="s">
        <v>9938</v>
      </c>
      <c r="U880" t="s">
        <v>5879</v>
      </c>
      <c r="V880" t="s">
        <v>8495</v>
      </c>
      <c r="W880" t="s">
        <v>5857</v>
      </c>
      <c r="X880" s="2">
        <v>1020</v>
      </c>
      <c r="Y880" t="s">
        <v>5858</v>
      </c>
      <c r="Z880" t="s">
        <v>6037</v>
      </c>
      <c r="AA880" s="2">
        <v>10000</v>
      </c>
      <c r="AB880" t="s">
        <v>5859</v>
      </c>
      <c r="AC880" t="s">
        <v>9974</v>
      </c>
      <c r="AD880" s="32">
        <v>43234</v>
      </c>
      <c r="AI880" t="s">
        <v>9943</v>
      </c>
      <c r="AJ880" t="s">
        <v>9959</v>
      </c>
      <c r="AL880" t="s">
        <v>11061</v>
      </c>
    </row>
    <row r="881" spans="1:38">
      <c r="A881" t="s">
        <v>8465</v>
      </c>
      <c r="B881" t="s">
        <v>12210</v>
      </c>
      <c r="C881" t="s">
        <v>8496</v>
      </c>
      <c r="D881" t="s">
        <v>8497</v>
      </c>
      <c r="E881" s="2">
        <v>2060</v>
      </c>
      <c r="F881" s="2">
        <v>2060</v>
      </c>
      <c r="G881" s="3">
        <v>43289</v>
      </c>
      <c r="H881" s="4">
        <v>0.11145833333333</v>
      </c>
      <c r="I881" s="3">
        <v>43289</v>
      </c>
      <c r="J881" s="4">
        <v>0.19561342592593001</v>
      </c>
      <c r="K881" s="2">
        <v>20</v>
      </c>
      <c r="L881" t="s">
        <v>5856</v>
      </c>
      <c r="M881" t="s">
        <v>8234</v>
      </c>
      <c r="N881" s="3">
        <v>43292</v>
      </c>
      <c r="O881" s="3">
        <v>43296</v>
      </c>
      <c r="P881" t="s">
        <v>5960</v>
      </c>
      <c r="Q881" t="s">
        <v>8498</v>
      </c>
      <c r="R881" t="s">
        <v>6042</v>
      </c>
      <c r="S881" s="3">
        <v>43292</v>
      </c>
      <c r="T881" t="s">
        <v>9938</v>
      </c>
      <c r="U881" t="s">
        <v>7012</v>
      </c>
      <c r="V881" t="s">
        <v>7013</v>
      </c>
      <c r="W881" t="s">
        <v>5857</v>
      </c>
      <c r="X881" s="2">
        <v>1020</v>
      </c>
      <c r="Y881" t="s">
        <v>5858</v>
      </c>
      <c r="Z881" t="s">
        <v>6037</v>
      </c>
      <c r="AA881" s="2">
        <v>2000</v>
      </c>
      <c r="AB881" t="s">
        <v>5863</v>
      </c>
      <c r="AC881" t="s">
        <v>9976</v>
      </c>
      <c r="AD881" s="32">
        <v>43272</v>
      </c>
      <c r="AJ881" t="s">
        <v>9958</v>
      </c>
      <c r="AL881" t="s">
        <v>11062</v>
      </c>
    </row>
    <row r="882" spans="1:38">
      <c r="A882" t="s">
        <v>8465</v>
      </c>
      <c r="B882" t="s">
        <v>12211</v>
      </c>
      <c r="C882" t="s">
        <v>7711</v>
      </c>
      <c r="D882" t="s">
        <v>7712</v>
      </c>
      <c r="E882" s="2">
        <v>8240</v>
      </c>
      <c r="F882" s="2">
        <v>8240</v>
      </c>
      <c r="G882" s="3">
        <v>43289</v>
      </c>
      <c r="H882" s="4">
        <v>0.21644675925925999</v>
      </c>
      <c r="I882" s="3">
        <v>43289</v>
      </c>
      <c r="J882" s="4">
        <v>0.55304398148148004</v>
      </c>
      <c r="K882" s="2">
        <v>20</v>
      </c>
      <c r="L882" t="s">
        <v>5856</v>
      </c>
      <c r="M882" t="s">
        <v>6483</v>
      </c>
      <c r="N882" s="3">
        <v>43290</v>
      </c>
      <c r="O882" s="3">
        <v>43291</v>
      </c>
      <c r="P882" t="s">
        <v>5862</v>
      </c>
      <c r="Q882" t="s">
        <v>8499</v>
      </c>
      <c r="R882" t="s">
        <v>6036</v>
      </c>
      <c r="S882" s="3">
        <v>43293</v>
      </c>
      <c r="T882" t="s">
        <v>9938</v>
      </c>
      <c r="U882" t="s">
        <v>6582</v>
      </c>
      <c r="V882" t="s">
        <v>7715</v>
      </c>
      <c r="W882" t="s">
        <v>5857</v>
      </c>
      <c r="X882" s="2">
        <v>1020</v>
      </c>
      <c r="Y882" t="s">
        <v>5858</v>
      </c>
      <c r="Z882" t="s">
        <v>6037</v>
      </c>
      <c r="AA882" s="2">
        <v>8000</v>
      </c>
      <c r="AB882" t="s">
        <v>5863</v>
      </c>
      <c r="AC882" t="s">
        <v>9976</v>
      </c>
      <c r="AD882" s="32">
        <v>43257</v>
      </c>
      <c r="AJ882" t="s">
        <v>9958</v>
      </c>
      <c r="AL882" t="s">
        <v>11063</v>
      </c>
    </row>
    <row r="883" spans="1:38">
      <c r="A883" t="s">
        <v>8465</v>
      </c>
      <c r="B883" t="s">
        <v>12213</v>
      </c>
      <c r="C883" t="s">
        <v>8504</v>
      </c>
      <c r="D883" t="s">
        <v>8505</v>
      </c>
      <c r="E883" s="2">
        <v>5150</v>
      </c>
      <c r="F883" s="2">
        <v>5150</v>
      </c>
      <c r="G883" s="3">
        <v>43289</v>
      </c>
      <c r="H883" s="4">
        <v>0.57387731481480997</v>
      </c>
      <c r="I883" s="3">
        <v>43289</v>
      </c>
      <c r="J883" s="4">
        <v>0.78424768518518995</v>
      </c>
      <c r="K883" s="2">
        <v>0</v>
      </c>
      <c r="L883" t="s">
        <v>5856</v>
      </c>
      <c r="M883" t="s">
        <v>8159</v>
      </c>
      <c r="N883" s="3">
        <v>43290</v>
      </c>
      <c r="O883" s="3">
        <v>43291</v>
      </c>
      <c r="P883" t="s">
        <v>5992</v>
      </c>
      <c r="Q883" t="s">
        <v>8506</v>
      </c>
      <c r="R883" t="s">
        <v>6036</v>
      </c>
      <c r="S883" s="3">
        <v>43290</v>
      </c>
      <c r="T883" t="s">
        <v>9938</v>
      </c>
      <c r="U883" t="s">
        <v>5879</v>
      </c>
      <c r="V883" t="s">
        <v>8507</v>
      </c>
      <c r="W883" t="s">
        <v>5857</v>
      </c>
      <c r="X883" s="2">
        <v>1020</v>
      </c>
      <c r="Y883" t="s">
        <v>5858</v>
      </c>
      <c r="Z883" t="s">
        <v>6037</v>
      </c>
      <c r="AA883" s="2">
        <v>5000</v>
      </c>
      <c r="AB883" t="s">
        <v>5863</v>
      </c>
      <c r="AC883" t="s">
        <v>9974</v>
      </c>
      <c r="AD883" s="32">
        <v>43245</v>
      </c>
      <c r="AI883" t="s">
        <v>9943</v>
      </c>
      <c r="AJ883" t="s">
        <v>9959</v>
      </c>
      <c r="AL883" t="s">
        <v>11064</v>
      </c>
    </row>
    <row r="884" spans="1:38">
      <c r="A884" t="s">
        <v>8465</v>
      </c>
      <c r="B884" t="s">
        <v>12214</v>
      </c>
      <c r="C884" t="s">
        <v>8500</v>
      </c>
      <c r="D884" t="s">
        <v>8501</v>
      </c>
      <c r="E884" s="2">
        <v>20600</v>
      </c>
      <c r="F884" s="2">
        <v>20600</v>
      </c>
      <c r="G884" s="3">
        <v>43289</v>
      </c>
      <c r="H884" s="4">
        <v>0.80508101851851999</v>
      </c>
      <c r="I884" s="3">
        <v>43290</v>
      </c>
      <c r="J884" s="4">
        <v>0.64658564814815001</v>
      </c>
      <c r="K884" s="2">
        <v>20</v>
      </c>
      <c r="L884" t="s">
        <v>5856</v>
      </c>
      <c r="M884" t="s">
        <v>8151</v>
      </c>
      <c r="N884" s="3">
        <v>43286</v>
      </c>
      <c r="O884" s="3">
        <v>43292</v>
      </c>
      <c r="P884" t="s">
        <v>7136</v>
      </c>
      <c r="Q884" t="s">
        <v>8508</v>
      </c>
      <c r="R884" t="s">
        <v>6036</v>
      </c>
      <c r="S884" s="3">
        <v>43286</v>
      </c>
      <c r="T884" t="s">
        <v>9938</v>
      </c>
      <c r="U884" t="s">
        <v>5867</v>
      </c>
      <c r="V884" t="s">
        <v>8503</v>
      </c>
      <c r="W884" t="s">
        <v>5868</v>
      </c>
      <c r="X884" s="2">
        <v>1020</v>
      </c>
      <c r="Y884" t="s">
        <v>5858</v>
      </c>
      <c r="Z884" t="s">
        <v>6037</v>
      </c>
      <c r="AA884" s="2">
        <v>20600</v>
      </c>
      <c r="AB884" t="s">
        <v>5859</v>
      </c>
      <c r="AC884" t="s">
        <v>9974</v>
      </c>
      <c r="AD884" s="32">
        <v>43188</v>
      </c>
      <c r="AI884" t="s">
        <v>9943</v>
      </c>
      <c r="AJ884" t="s">
        <v>9959</v>
      </c>
      <c r="AL884" t="s">
        <v>11065</v>
      </c>
    </row>
    <row r="885" spans="1:38">
      <c r="A885" t="s">
        <v>8465</v>
      </c>
      <c r="B885" t="s">
        <v>12217</v>
      </c>
      <c r="C885" t="s">
        <v>8488</v>
      </c>
      <c r="D885" t="s">
        <v>8489</v>
      </c>
      <c r="E885" s="2">
        <v>1125</v>
      </c>
      <c r="F885" s="2">
        <v>20600</v>
      </c>
      <c r="G885" s="3">
        <v>43295</v>
      </c>
      <c r="H885" s="4">
        <v>0.46240740740740999</v>
      </c>
      <c r="I885" s="3">
        <v>43296</v>
      </c>
      <c r="J885" s="4">
        <v>0.30391203703704001</v>
      </c>
      <c r="K885" s="2">
        <v>0</v>
      </c>
      <c r="L885" t="s">
        <v>5856</v>
      </c>
      <c r="M885" t="s">
        <v>8151</v>
      </c>
      <c r="N885" s="3">
        <v>43285</v>
      </c>
      <c r="O885" s="3">
        <v>43298</v>
      </c>
      <c r="P885" t="s">
        <v>5992</v>
      </c>
      <c r="Q885" t="s">
        <v>8490</v>
      </c>
      <c r="R885" t="s">
        <v>6036</v>
      </c>
      <c r="S885" s="3">
        <v>43285</v>
      </c>
      <c r="T885" t="s">
        <v>9938</v>
      </c>
      <c r="U885" t="s">
        <v>5879</v>
      </c>
      <c r="V885" t="s">
        <v>8491</v>
      </c>
      <c r="W885" t="s">
        <v>5857</v>
      </c>
      <c r="X885" s="2">
        <v>1020</v>
      </c>
      <c r="Y885" t="s">
        <v>5858</v>
      </c>
      <c r="Z885" t="s">
        <v>6037</v>
      </c>
      <c r="AA885" s="2">
        <v>1125</v>
      </c>
      <c r="AB885" t="s">
        <v>5859</v>
      </c>
      <c r="AC885" t="s">
        <v>9974</v>
      </c>
      <c r="AD885" s="32">
        <v>43234</v>
      </c>
      <c r="AI885" t="s">
        <v>9943</v>
      </c>
      <c r="AJ885" t="s">
        <v>9959</v>
      </c>
      <c r="AL885" t="s">
        <v>11067</v>
      </c>
    </row>
    <row r="886" spans="1:38">
      <c r="A886" t="s">
        <v>8465</v>
      </c>
      <c r="B886" t="s">
        <v>12142</v>
      </c>
      <c r="C886" t="s">
        <v>8359</v>
      </c>
      <c r="D886" t="s">
        <v>8360</v>
      </c>
      <c r="E886" s="2">
        <v>5150</v>
      </c>
      <c r="F886" s="2">
        <v>5150</v>
      </c>
      <c r="G886" s="3">
        <v>43295</v>
      </c>
      <c r="H886" s="4">
        <v>0.78962962962963001</v>
      </c>
      <c r="I886" s="3">
        <v>43296</v>
      </c>
      <c r="J886" s="4">
        <v>0</v>
      </c>
      <c r="K886" s="2">
        <v>20</v>
      </c>
      <c r="L886" t="s">
        <v>5856</v>
      </c>
      <c r="M886" t="s">
        <v>8159</v>
      </c>
      <c r="N886" s="3">
        <v>43298</v>
      </c>
      <c r="O886" s="3">
        <v>43297</v>
      </c>
      <c r="P886" t="s">
        <v>5960</v>
      </c>
      <c r="Q886" t="s">
        <v>8361</v>
      </c>
      <c r="R886" t="s">
        <v>6036</v>
      </c>
      <c r="S886" s="3">
        <v>43298</v>
      </c>
      <c r="T886" t="s">
        <v>9938</v>
      </c>
      <c r="U886" t="s">
        <v>6582</v>
      </c>
      <c r="V886" t="s">
        <v>8362</v>
      </c>
      <c r="W886" t="s">
        <v>5857</v>
      </c>
      <c r="X886" s="2">
        <v>1020</v>
      </c>
      <c r="Y886" t="s">
        <v>5858</v>
      </c>
      <c r="Z886" t="s">
        <v>6037</v>
      </c>
      <c r="AA886" s="2">
        <v>5000</v>
      </c>
      <c r="AB886" t="s">
        <v>5863</v>
      </c>
      <c r="AC886" t="s">
        <v>9976</v>
      </c>
      <c r="AD886" s="32">
        <v>43277</v>
      </c>
      <c r="AJ886" t="s">
        <v>9958</v>
      </c>
      <c r="AL886" t="s">
        <v>11001</v>
      </c>
    </row>
    <row r="887" spans="1:38">
      <c r="A887" t="s">
        <v>8465</v>
      </c>
      <c r="B887" t="s">
        <v>12223</v>
      </c>
      <c r="C887" t="s">
        <v>8420</v>
      </c>
      <c r="D887" t="s">
        <v>8421</v>
      </c>
      <c r="E887" s="2">
        <v>20000</v>
      </c>
      <c r="F887" s="2">
        <v>20000</v>
      </c>
      <c r="G887" s="3">
        <v>43298</v>
      </c>
      <c r="H887" s="4">
        <v>0.40763888888888999</v>
      </c>
      <c r="I887" s="3">
        <v>43299</v>
      </c>
      <c r="J887" s="4">
        <v>0.22462962962963001</v>
      </c>
      <c r="K887" s="2">
        <v>0</v>
      </c>
      <c r="L887" t="s">
        <v>5856</v>
      </c>
      <c r="M887" t="s">
        <v>8072</v>
      </c>
      <c r="N887" s="3"/>
      <c r="O887" s="3">
        <v>43301</v>
      </c>
      <c r="P887" t="s">
        <v>6673</v>
      </c>
      <c r="Q887" t="s">
        <v>6038</v>
      </c>
      <c r="R887" t="s">
        <v>6040</v>
      </c>
      <c r="S887" s="3">
        <v>43313</v>
      </c>
      <c r="T887" t="s">
        <v>9938</v>
      </c>
      <c r="U887" t="s">
        <v>7537</v>
      </c>
      <c r="V887" t="s">
        <v>6067</v>
      </c>
      <c r="W887" t="s">
        <v>5857</v>
      </c>
      <c r="X887" s="2">
        <v>0</v>
      </c>
      <c r="Y887" t="s">
        <v>5858</v>
      </c>
      <c r="Z887" t="s">
        <v>6037</v>
      </c>
      <c r="AA887" s="2">
        <v>20000</v>
      </c>
      <c r="AB887" t="s">
        <v>5861</v>
      </c>
      <c r="AC887" t="s">
        <v>9979</v>
      </c>
      <c r="AD887" s="32"/>
      <c r="AJ887" t="s">
        <v>9958</v>
      </c>
      <c r="AL887" t="s">
        <v>11069</v>
      </c>
    </row>
    <row r="888" spans="1:38">
      <c r="A888" t="s">
        <v>8465</v>
      </c>
      <c r="B888" t="s">
        <v>12224</v>
      </c>
      <c r="C888" t="s">
        <v>6663</v>
      </c>
      <c r="D888" t="s">
        <v>6664</v>
      </c>
      <c r="E888" s="2">
        <v>5000</v>
      </c>
      <c r="F888" s="2">
        <v>5000</v>
      </c>
      <c r="G888" s="3">
        <v>43299</v>
      </c>
      <c r="H888" s="4">
        <v>0.27611111111110997</v>
      </c>
      <c r="I888" s="3">
        <v>43299</v>
      </c>
      <c r="J888" s="4">
        <v>0.48035879629630002</v>
      </c>
      <c r="K888" s="2">
        <v>0</v>
      </c>
      <c r="L888" t="s">
        <v>5856</v>
      </c>
      <c r="M888" t="s">
        <v>7277</v>
      </c>
      <c r="N888" s="3">
        <v>43301</v>
      </c>
      <c r="O888" s="3">
        <v>43301</v>
      </c>
      <c r="P888" t="s">
        <v>5981</v>
      </c>
      <c r="Q888" t="s">
        <v>8520</v>
      </c>
      <c r="R888" t="s">
        <v>6036</v>
      </c>
      <c r="S888" s="3">
        <v>43301</v>
      </c>
      <c r="T888" t="s">
        <v>9938</v>
      </c>
      <c r="U888" t="s">
        <v>6582</v>
      </c>
      <c r="V888" t="s">
        <v>6666</v>
      </c>
      <c r="W888" t="s">
        <v>5857</v>
      </c>
      <c r="X888" s="2">
        <v>1020</v>
      </c>
      <c r="Y888" t="s">
        <v>5858</v>
      </c>
      <c r="Z888" t="s">
        <v>6037</v>
      </c>
      <c r="AA888" s="2">
        <v>5000</v>
      </c>
      <c r="AB888" t="s">
        <v>5863</v>
      </c>
      <c r="AC888" t="s">
        <v>9976</v>
      </c>
      <c r="AD888" s="32">
        <v>43186</v>
      </c>
      <c r="AJ888" t="s">
        <v>9958</v>
      </c>
      <c r="AL888" t="s">
        <v>11070</v>
      </c>
    </row>
    <row r="889" spans="1:38">
      <c r="A889" t="s">
        <v>8465</v>
      </c>
      <c r="B889" t="s">
        <v>12225</v>
      </c>
      <c r="C889" t="s">
        <v>7010</v>
      </c>
      <c r="D889" t="s">
        <v>7011</v>
      </c>
      <c r="E889" s="2">
        <v>18540</v>
      </c>
      <c r="F889" s="2">
        <v>18540</v>
      </c>
      <c r="G889" s="3">
        <v>43301</v>
      </c>
      <c r="H889" s="4">
        <v>0.81332175925925998</v>
      </c>
      <c r="I889" s="3">
        <v>43302</v>
      </c>
      <c r="J889" s="4">
        <v>0.57067129629629998</v>
      </c>
      <c r="K889" s="2">
        <v>20</v>
      </c>
      <c r="L889" t="s">
        <v>5856</v>
      </c>
      <c r="M889" t="s">
        <v>8476</v>
      </c>
      <c r="N889" s="3">
        <v>43305</v>
      </c>
      <c r="O889" s="3">
        <v>43304</v>
      </c>
      <c r="P889" t="s">
        <v>5960</v>
      </c>
      <c r="Q889" t="s">
        <v>8521</v>
      </c>
      <c r="R889" t="s">
        <v>6036</v>
      </c>
      <c r="S889" s="3">
        <v>43305</v>
      </c>
      <c r="T889" t="s">
        <v>9938</v>
      </c>
      <c r="U889" t="s">
        <v>7012</v>
      </c>
      <c r="V889" t="s">
        <v>7013</v>
      </c>
      <c r="W889" t="s">
        <v>5857</v>
      </c>
      <c r="X889" s="2">
        <v>1020</v>
      </c>
      <c r="Y889" t="s">
        <v>5858</v>
      </c>
      <c r="Z889" t="s">
        <v>6037</v>
      </c>
      <c r="AA889" s="2">
        <v>18000</v>
      </c>
      <c r="AB889" t="s">
        <v>5863</v>
      </c>
      <c r="AC889" t="s">
        <v>9976</v>
      </c>
      <c r="AD889" s="32">
        <v>43276</v>
      </c>
      <c r="AJ889" t="s">
        <v>9958</v>
      </c>
      <c r="AL889" t="s">
        <v>11071</v>
      </c>
    </row>
    <row r="890" spans="1:38">
      <c r="A890" t="s">
        <v>8465</v>
      </c>
      <c r="B890" t="s">
        <v>13313</v>
      </c>
      <c r="C890" t="s">
        <v>6053</v>
      </c>
      <c r="D890" t="s">
        <v>5892</v>
      </c>
      <c r="E890" s="2">
        <v>20600</v>
      </c>
      <c r="F890" s="2">
        <v>20600</v>
      </c>
      <c r="G890" s="3">
        <v>43309</v>
      </c>
      <c r="H890" s="4">
        <v>0.14165509259258999</v>
      </c>
      <c r="I890" s="3">
        <v>43309</v>
      </c>
      <c r="J890" s="4">
        <v>0.99998842592592996</v>
      </c>
      <c r="K890" s="2">
        <v>0</v>
      </c>
      <c r="L890" t="s">
        <v>5856</v>
      </c>
      <c r="M890" t="s">
        <v>13314</v>
      </c>
      <c r="N890" s="3">
        <v>43311</v>
      </c>
      <c r="O890" s="3">
        <v>43311</v>
      </c>
      <c r="P890" t="s">
        <v>7268</v>
      </c>
      <c r="Q890" t="s">
        <v>6038</v>
      </c>
      <c r="R890" t="s">
        <v>6040</v>
      </c>
      <c r="S890" s="3">
        <v>43313</v>
      </c>
      <c r="T890" t="s">
        <v>9938</v>
      </c>
      <c r="U890" t="s">
        <v>5893</v>
      </c>
      <c r="V890" t="s">
        <v>6045</v>
      </c>
      <c r="W890" t="s">
        <v>5857</v>
      </c>
      <c r="X890" s="2">
        <v>0</v>
      </c>
      <c r="Y890" t="s">
        <v>5858</v>
      </c>
      <c r="Z890" t="s">
        <v>6037</v>
      </c>
      <c r="AA890" s="2">
        <v>20000</v>
      </c>
      <c r="AB890" t="s">
        <v>5915</v>
      </c>
      <c r="AC890" t="s">
        <v>9979</v>
      </c>
      <c r="AD890" s="32"/>
      <c r="AJ890" t="s">
        <v>9958</v>
      </c>
      <c r="AL890" t="s">
        <v>14078</v>
      </c>
    </row>
    <row r="891" spans="1:38">
      <c r="A891" t="s">
        <v>8465</v>
      </c>
      <c r="B891" t="s">
        <v>12227</v>
      </c>
      <c r="C891" t="s">
        <v>7702</v>
      </c>
      <c r="D891" t="s">
        <v>7703</v>
      </c>
      <c r="E891" s="2">
        <v>18540</v>
      </c>
      <c r="F891" s="2">
        <v>18540</v>
      </c>
      <c r="G891" s="3">
        <v>43310</v>
      </c>
      <c r="H891" s="4">
        <v>0.16952546296296001</v>
      </c>
      <c r="I891" s="3">
        <v>43310</v>
      </c>
      <c r="J891" s="4">
        <v>0.926875</v>
      </c>
      <c r="K891" s="2">
        <v>20</v>
      </c>
      <c r="L891" t="s">
        <v>5856</v>
      </c>
      <c r="M891" t="s">
        <v>8476</v>
      </c>
      <c r="N891" s="3">
        <v>43313</v>
      </c>
      <c r="O891" s="3">
        <v>43312</v>
      </c>
      <c r="P891" t="s">
        <v>5960</v>
      </c>
      <c r="Q891" t="s">
        <v>8525</v>
      </c>
      <c r="R891" t="s">
        <v>6036</v>
      </c>
      <c r="S891" s="3">
        <v>43313</v>
      </c>
      <c r="T891" t="s">
        <v>9938</v>
      </c>
      <c r="U891" t="s">
        <v>6600</v>
      </c>
      <c r="V891" t="s">
        <v>7705</v>
      </c>
      <c r="W891" t="s">
        <v>5857</v>
      </c>
      <c r="X891" s="2">
        <v>1020</v>
      </c>
      <c r="Y891" t="s">
        <v>5858</v>
      </c>
      <c r="Z891" t="s">
        <v>6037</v>
      </c>
      <c r="AA891" s="2">
        <v>18000</v>
      </c>
      <c r="AB891" t="s">
        <v>5863</v>
      </c>
      <c r="AC891" t="s">
        <v>9976</v>
      </c>
      <c r="AD891" s="32">
        <v>43278</v>
      </c>
      <c r="AJ891" t="s">
        <v>9958</v>
      </c>
      <c r="AL891" t="s">
        <v>11072</v>
      </c>
    </row>
    <row r="892" spans="1:38">
      <c r="A892" t="s">
        <v>8465</v>
      </c>
      <c r="B892" t="s">
        <v>12228</v>
      </c>
      <c r="C892" t="s">
        <v>8500</v>
      </c>
      <c r="D892" t="s">
        <v>8501</v>
      </c>
      <c r="E892" s="2">
        <v>20000</v>
      </c>
      <c r="F892" s="2">
        <v>20000</v>
      </c>
      <c r="G892" s="3">
        <v>43310</v>
      </c>
      <c r="H892" s="4">
        <v>0.94770833333333004</v>
      </c>
      <c r="I892" s="3">
        <v>43311</v>
      </c>
      <c r="J892" s="4">
        <v>0.76469907407407001</v>
      </c>
      <c r="K892" s="2">
        <v>20</v>
      </c>
      <c r="L892" t="s">
        <v>5856</v>
      </c>
      <c r="M892" t="s">
        <v>8072</v>
      </c>
      <c r="N892" s="3">
        <v>43315</v>
      </c>
      <c r="O892" s="3">
        <v>43313</v>
      </c>
      <c r="P892" t="s">
        <v>7136</v>
      </c>
      <c r="Q892" t="s">
        <v>8526</v>
      </c>
      <c r="R892" t="s">
        <v>6036</v>
      </c>
      <c r="S892" s="3">
        <v>43315</v>
      </c>
      <c r="T892" t="s">
        <v>9938</v>
      </c>
      <c r="U892" t="s">
        <v>5867</v>
      </c>
      <c r="V892" t="s">
        <v>8503</v>
      </c>
      <c r="W892" t="s">
        <v>5868</v>
      </c>
      <c r="X892" s="2">
        <v>1020</v>
      </c>
      <c r="Y892" t="s">
        <v>5858</v>
      </c>
      <c r="Z892" t="s">
        <v>6037</v>
      </c>
      <c r="AA892" s="2">
        <v>20000</v>
      </c>
      <c r="AB892" t="s">
        <v>5863</v>
      </c>
      <c r="AC892" t="s">
        <v>9974</v>
      </c>
      <c r="AD892" s="32">
        <v>43218</v>
      </c>
      <c r="AI892" t="s">
        <v>9943</v>
      </c>
      <c r="AJ892" t="s">
        <v>9959</v>
      </c>
      <c r="AL892" t="s">
        <v>11073</v>
      </c>
    </row>
    <row r="893" spans="1:38">
      <c r="A893" t="s">
        <v>8465</v>
      </c>
      <c r="B893" t="s">
        <v>12229</v>
      </c>
      <c r="C893" t="s">
        <v>6695</v>
      </c>
      <c r="D893" t="s">
        <v>6696</v>
      </c>
      <c r="E893" s="2">
        <v>9000</v>
      </c>
      <c r="F893" s="2">
        <v>9000</v>
      </c>
      <c r="G893" s="3">
        <v>43311</v>
      </c>
      <c r="H893" s="4">
        <v>0.76469907407407001</v>
      </c>
      <c r="I893" s="3">
        <v>43312</v>
      </c>
      <c r="J893" s="4">
        <v>0.13234953703704</v>
      </c>
      <c r="K893" s="2">
        <v>20</v>
      </c>
      <c r="L893" t="s">
        <v>5856</v>
      </c>
      <c r="M893" t="s">
        <v>8326</v>
      </c>
      <c r="N893" s="3">
        <v>43314</v>
      </c>
      <c r="O893" s="3">
        <v>43314</v>
      </c>
      <c r="P893" t="s">
        <v>5911</v>
      </c>
      <c r="Q893" t="s">
        <v>8527</v>
      </c>
      <c r="R893" t="s">
        <v>6036</v>
      </c>
      <c r="S893" s="3">
        <v>43314</v>
      </c>
      <c r="T893" t="s">
        <v>9938</v>
      </c>
      <c r="U893" t="s">
        <v>5935</v>
      </c>
      <c r="V893" t="s">
        <v>6699</v>
      </c>
      <c r="W893" t="s">
        <v>5857</v>
      </c>
      <c r="X893" s="2">
        <v>1020</v>
      </c>
      <c r="Y893" t="s">
        <v>5858</v>
      </c>
      <c r="Z893" t="s">
        <v>6037</v>
      </c>
      <c r="AA893" s="2">
        <v>9000</v>
      </c>
      <c r="AB893" t="s">
        <v>5863</v>
      </c>
      <c r="AC893" t="s">
        <v>9974</v>
      </c>
      <c r="AD893" s="32">
        <v>43193</v>
      </c>
      <c r="AI893" t="s">
        <v>9943</v>
      </c>
      <c r="AJ893" t="s">
        <v>9959</v>
      </c>
      <c r="AL893" t="s">
        <v>11074</v>
      </c>
    </row>
    <row r="894" spans="1:38">
      <c r="A894" t="s">
        <v>8465</v>
      </c>
      <c r="B894" t="s">
        <v>12230</v>
      </c>
      <c r="C894" t="s">
        <v>8478</v>
      </c>
      <c r="D894" t="s">
        <v>8479</v>
      </c>
      <c r="E894" s="2">
        <v>10000</v>
      </c>
      <c r="F894" s="2">
        <v>10000</v>
      </c>
      <c r="G894" s="3">
        <v>43325</v>
      </c>
      <c r="H894" s="4">
        <v>0.59150462962963002</v>
      </c>
      <c r="I894" s="3">
        <v>43326</v>
      </c>
      <c r="J894" s="4">
        <v>0</v>
      </c>
      <c r="K894" s="2">
        <v>20</v>
      </c>
      <c r="L894" t="s">
        <v>5856</v>
      </c>
      <c r="M894" t="s">
        <v>7264</v>
      </c>
      <c r="N894" s="3">
        <v>43328</v>
      </c>
      <c r="O894" s="3">
        <v>43327</v>
      </c>
      <c r="P894" t="s">
        <v>7136</v>
      </c>
      <c r="Q894" t="s">
        <v>8528</v>
      </c>
      <c r="R894" t="s">
        <v>6036</v>
      </c>
      <c r="S894" s="3">
        <v>43328</v>
      </c>
      <c r="T894" t="s">
        <v>9938</v>
      </c>
      <c r="U894" t="s">
        <v>5935</v>
      </c>
      <c r="V894" t="s">
        <v>5993</v>
      </c>
      <c r="W894" t="s">
        <v>5868</v>
      </c>
      <c r="X894" s="2">
        <v>1020</v>
      </c>
      <c r="Y894" t="s">
        <v>5858</v>
      </c>
      <c r="Z894" t="s">
        <v>6037</v>
      </c>
      <c r="AA894" s="2">
        <v>10000</v>
      </c>
      <c r="AB894" t="s">
        <v>5863</v>
      </c>
      <c r="AC894" t="s">
        <v>9974</v>
      </c>
      <c r="AD894" s="32"/>
      <c r="AI894" t="s">
        <v>9943</v>
      </c>
      <c r="AJ894" t="s">
        <v>9959</v>
      </c>
      <c r="AL894" t="s">
        <v>11075</v>
      </c>
    </row>
    <row r="895" spans="1:38">
      <c r="A895" t="s">
        <v>8465</v>
      </c>
      <c r="B895" t="s">
        <v>12231</v>
      </c>
      <c r="C895" t="s">
        <v>8500</v>
      </c>
      <c r="D895" t="s">
        <v>8501</v>
      </c>
      <c r="E895" s="2">
        <v>20000</v>
      </c>
      <c r="F895" s="2">
        <v>20000</v>
      </c>
      <c r="G895" s="3">
        <v>43345</v>
      </c>
      <c r="H895" s="4">
        <v>0.18300925925926001</v>
      </c>
      <c r="I895" s="3">
        <v>43346</v>
      </c>
      <c r="J895" s="4">
        <v>0</v>
      </c>
      <c r="K895" s="2">
        <v>20</v>
      </c>
      <c r="L895" t="s">
        <v>5856</v>
      </c>
      <c r="M895" t="s">
        <v>8072</v>
      </c>
      <c r="N895" s="3">
        <v>43348</v>
      </c>
      <c r="O895" s="3">
        <v>43347</v>
      </c>
      <c r="P895" t="s">
        <v>7136</v>
      </c>
      <c r="Q895" t="s">
        <v>8529</v>
      </c>
      <c r="R895" t="s">
        <v>6036</v>
      </c>
      <c r="S895" s="3">
        <v>43348</v>
      </c>
      <c r="T895" t="s">
        <v>9938</v>
      </c>
      <c r="U895" t="s">
        <v>5867</v>
      </c>
      <c r="V895" t="s">
        <v>8503</v>
      </c>
      <c r="W895" t="s">
        <v>5868</v>
      </c>
      <c r="X895" s="2">
        <v>1020</v>
      </c>
      <c r="Y895" t="s">
        <v>5858</v>
      </c>
      <c r="Z895" t="s">
        <v>6037</v>
      </c>
      <c r="AA895" s="2">
        <v>20000</v>
      </c>
      <c r="AB895" t="s">
        <v>5863</v>
      </c>
      <c r="AC895" t="s">
        <v>9974</v>
      </c>
      <c r="AD895" s="32"/>
      <c r="AI895" t="s">
        <v>9943</v>
      </c>
      <c r="AJ895" t="s">
        <v>9959</v>
      </c>
      <c r="AL895" t="s">
        <v>11076</v>
      </c>
    </row>
    <row r="896" spans="1:38">
      <c r="A896" t="s">
        <v>8465</v>
      </c>
      <c r="B896" t="s">
        <v>12232</v>
      </c>
      <c r="C896" t="s">
        <v>6695</v>
      </c>
      <c r="D896" t="s">
        <v>6696</v>
      </c>
      <c r="E896" s="2">
        <v>9000</v>
      </c>
      <c r="F896" s="2">
        <v>9000</v>
      </c>
      <c r="G896" s="3">
        <v>43347</v>
      </c>
      <c r="H896" s="4">
        <v>0.63234953703704</v>
      </c>
      <c r="I896" s="3">
        <v>43348</v>
      </c>
      <c r="J896" s="4">
        <v>0</v>
      </c>
      <c r="K896" s="2">
        <v>0</v>
      </c>
      <c r="L896" t="s">
        <v>5856</v>
      </c>
      <c r="M896" t="s">
        <v>8326</v>
      </c>
      <c r="N896" s="3">
        <v>43353</v>
      </c>
      <c r="O896" s="3">
        <v>43349</v>
      </c>
      <c r="P896" t="s">
        <v>5911</v>
      </c>
      <c r="Q896" t="s">
        <v>8530</v>
      </c>
      <c r="R896" t="s">
        <v>6036</v>
      </c>
      <c r="S896" s="3">
        <v>43353</v>
      </c>
      <c r="T896" t="s">
        <v>9938</v>
      </c>
      <c r="U896" t="s">
        <v>5935</v>
      </c>
      <c r="V896" t="s">
        <v>6699</v>
      </c>
      <c r="W896" t="s">
        <v>5857</v>
      </c>
      <c r="X896" s="2">
        <v>1020</v>
      </c>
      <c r="Y896" t="s">
        <v>5858</v>
      </c>
      <c r="Z896" t="s">
        <v>6037</v>
      </c>
      <c r="AA896" s="2">
        <v>9000</v>
      </c>
      <c r="AB896" t="s">
        <v>5863</v>
      </c>
      <c r="AC896" t="s">
        <v>9974</v>
      </c>
      <c r="AD896" s="32"/>
      <c r="AI896" t="s">
        <v>9943</v>
      </c>
      <c r="AJ896" t="s">
        <v>9959</v>
      </c>
      <c r="AL896" t="s">
        <v>11077</v>
      </c>
    </row>
    <row r="897" spans="1:38">
      <c r="A897" t="s">
        <v>8465</v>
      </c>
      <c r="B897" t="s">
        <v>12233</v>
      </c>
      <c r="C897" t="s">
        <v>8531</v>
      </c>
      <c r="D897" t="s">
        <v>8532</v>
      </c>
      <c r="E897" s="2">
        <v>6180</v>
      </c>
      <c r="F897" s="2">
        <v>6180</v>
      </c>
      <c r="G897" s="3">
        <v>43350</v>
      </c>
      <c r="H897" s="4">
        <v>0.74754629629629998</v>
      </c>
      <c r="I897" s="3">
        <v>43351</v>
      </c>
      <c r="J897" s="4">
        <v>0</v>
      </c>
      <c r="K897" s="2">
        <v>20</v>
      </c>
      <c r="L897" t="s">
        <v>5856</v>
      </c>
      <c r="M897" t="s">
        <v>8533</v>
      </c>
      <c r="N897" s="3">
        <v>43353</v>
      </c>
      <c r="O897" s="3">
        <v>43352</v>
      </c>
      <c r="P897" t="s">
        <v>5960</v>
      </c>
      <c r="Q897" t="s">
        <v>8534</v>
      </c>
      <c r="R897" t="s">
        <v>6036</v>
      </c>
      <c r="S897" s="3">
        <v>43353</v>
      </c>
      <c r="T897" t="s">
        <v>9938</v>
      </c>
      <c r="U897" t="s">
        <v>6582</v>
      </c>
      <c r="V897" t="s">
        <v>8535</v>
      </c>
      <c r="W897" t="s">
        <v>5857</v>
      </c>
      <c r="X897" s="2">
        <v>1020</v>
      </c>
      <c r="Y897" t="s">
        <v>5858</v>
      </c>
      <c r="Z897" t="s">
        <v>6037</v>
      </c>
      <c r="AA897" s="2">
        <v>6000</v>
      </c>
      <c r="AB897" t="s">
        <v>5863</v>
      </c>
      <c r="AC897" t="s">
        <v>9976</v>
      </c>
      <c r="AD897" s="32"/>
      <c r="AJ897" t="s">
        <v>9958</v>
      </c>
      <c r="AL897" t="s">
        <v>14079</v>
      </c>
    </row>
    <row r="898" spans="1:38">
      <c r="A898" t="s">
        <v>8465</v>
      </c>
      <c r="B898" t="s">
        <v>12234</v>
      </c>
      <c r="C898" t="s">
        <v>8536</v>
      </c>
      <c r="D898" t="s">
        <v>8537</v>
      </c>
      <c r="E898" s="2">
        <v>3090</v>
      </c>
      <c r="F898" s="2">
        <v>3090</v>
      </c>
      <c r="G898" s="3">
        <v>43363</v>
      </c>
      <c r="H898" s="4">
        <v>0.87377314814814999</v>
      </c>
      <c r="I898" s="3">
        <v>43364</v>
      </c>
      <c r="J898" s="4">
        <v>0</v>
      </c>
      <c r="K898" s="2">
        <v>20</v>
      </c>
      <c r="L898" t="s">
        <v>5856</v>
      </c>
      <c r="M898" t="s">
        <v>8538</v>
      </c>
      <c r="N898" s="3">
        <v>43367</v>
      </c>
      <c r="O898" s="3">
        <v>43365</v>
      </c>
      <c r="P898" t="s">
        <v>5929</v>
      </c>
      <c r="Q898" t="s">
        <v>8539</v>
      </c>
      <c r="R898" t="s">
        <v>6036</v>
      </c>
      <c r="S898" s="3">
        <v>43367</v>
      </c>
      <c r="T898" t="s">
        <v>9938</v>
      </c>
      <c r="U898" t="s">
        <v>8540</v>
      </c>
      <c r="V898" t="s">
        <v>8541</v>
      </c>
      <c r="W898" t="s">
        <v>5857</v>
      </c>
      <c r="X898" s="2">
        <v>1020</v>
      </c>
      <c r="Y898" t="s">
        <v>5858</v>
      </c>
      <c r="Z898" t="s">
        <v>6037</v>
      </c>
      <c r="AA898" s="2">
        <v>3000</v>
      </c>
      <c r="AB898" t="s">
        <v>5863</v>
      </c>
      <c r="AC898" t="s">
        <v>9976</v>
      </c>
      <c r="AD898" s="32"/>
      <c r="AJ898" t="s">
        <v>9957</v>
      </c>
      <c r="AL898" t="s">
        <v>11079</v>
      </c>
    </row>
    <row r="899" spans="1:38">
      <c r="A899" t="s">
        <v>8465</v>
      </c>
      <c r="B899" t="s">
        <v>13315</v>
      </c>
      <c r="C899" t="s">
        <v>8536</v>
      </c>
      <c r="D899" t="s">
        <v>8537</v>
      </c>
      <c r="E899" s="2">
        <v>2060</v>
      </c>
      <c r="F899" s="2">
        <v>2060</v>
      </c>
      <c r="G899" s="3">
        <v>43367</v>
      </c>
      <c r="H899" s="4">
        <v>0.91584490740740998</v>
      </c>
      <c r="I899" s="3">
        <v>43368</v>
      </c>
      <c r="J899" s="4">
        <v>0</v>
      </c>
      <c r="K899" s="2">
        <v>0</v>
      </c>
      <c r="L899" t="s">
        <v>5856</v>
      </c>
      <c r="M899" t="s">
        <v>8234</v>
      </c>
      <c r="N899" s="3">
        <v>43370</v>
      </c>
      <c r="O899" s="3">
        <v>43369</v>
      </c>
      <c r="P899" t="s">
        <v>5929</v>
      </c>
      <c r="Q899" t="s">
        <v>13316</v>
      </c>
      <c r="R899" t="s">
        <v>6036</v>
      </c>
      <c r="S899" s="3">
        <v>43370</v>
      </c>
      <c r="T899" t="s">
        <v>9938</v>
      </c>
      <c r="U899" t="s">
        <v>8540</v>
      </c>
      <c r="V899" t="s">
        <v>8541</v>
      </c>
      <c r="W899" t="s">
        <v>5857</v>
      </c>
      <c r="X899" s="2">
        <v>1020</v>
      </c>
      <c r="Y899" t="s">
        <v>5858</v>
      </c>
      <c r="Z899" t="s">
        <v>6037</v>
      </c>
      <c r="AA899" s="2">
        <v>2000</v>
      </c>
      <c r="AB899" t="s">
        <v>5863</v>
      </c>
      <c r="AC899" t="s">
        <v>9976</v>
      </c>
      <c r="AD899" s="32"/>
      <c r="AJ899" t="s">
        <v>9957</v>
      </c>
      <c r="AL899" t="s">
        <v>14080</v>
      </c>
    </row>
    <row r="900" spans="1:38">
      <c r="A900" t="s">
        <v>8465</v>
      </c>
      <c r="B900" t="s">
        <v>13317</v>
      </c>
      <c r="C900" t="s">
        <v>6464</v>
      </c>
      <c r="D900" t="s">
        <v>6465</v>
      </c>
      <c r="E900" s="2">
        <v>20000</v>
      </c>
      <c r="F900" s="2">
        <v>20000</v>
      </c>
      <c r="G900" s="3">
        <v>43371</v>
      </c>
      <c r="H900" s="4">
        <v>0.43217592592593002</v>
      </c>
      <c r="I900" s="3">
        <v>43372</v>
      </c>
      <c r="J900" s="4">
        <v>0.24916666666667001</v>
      </c>
      <c r="K900" s="2">
        <v>20</v>
      </c>
      <c r="L900" t="s">
        <v>5856</v>
      </c>
      <c r="M900" t="s">
        <v>8072</v>
      </c>
      <c r="N900" s="3">
        <v>43270</v>
      </c>
      <c r="O900" s="3">
        <v>43374</v>
      </c>
      <c r="P900" t="s">
        <v>5929</v>
      </c>
      <c r="Q900" t="s">
        <v>13318</v>
      </c>
      <c r="R900" t="s">
        <v>6036</v>
      </c>
      <c r="S900" s="3">
        <v>43377</v>
      </c>
      <c r="T900" t="s">
        <v>9938</v>
      </c>
      <c r="U900" t="s">
        <v>6467</v>
      </c>
      <c r="V900" t="s">
        <v>6468</v>
      </c>
      <c r="W900" t="s">
        <v>5857</v>
      </c>
      <c r="X900" s="2">
        <v>1020</v>
      </c>
      <c r="Y900" t="s">
        <v>5858</v>
      </c>
      <c r="Z900" t="s">
        <v>6037</v>
      </c>
      <c r="AA900" s="2">
        <v>20000</v>
      </c>
      <c r="AB900" t="s">
        <v>5863</v>
      </c>
      <c r="AC900" t="s">
        <v>9976</v>
      </c>
      <c r="AD900" s="32"/>
      <c r="AJ900" t="s">
        <v>9957</v>
      </c>
      <c r="AL900" t="s">
        <v>14081</v>
      </c>
    </row>
    <row r="901" spans="1:38">
      <c r="A901" t="s">
        <v>8465</v>
      </c>
      <c r="B901" t="s">
        <v>13319</v>
      </c>
      <c r="C901" t="s">
        <v>6464</v>
      </c>
      <c r="D901" t="s">
        <v>6465</v>
      </c>
      <c r="E901" s="2">
        <v>20000</v>
      </c>
      <c r="F901" s="2">
        <v>20000</v>
      </c>
      <c r="G901" s="3">
        <v>43371</v>
      </c>
      <c r="H901" s="4">
        <v>0.59435185185185002</v>
      </c>
      <c r="I901" s="3">
        <v>43372</v>
      </c>
      <c r="J901" s="4">
        <v>0.41134259259258998</v>
      </c>
      <c r="K901" s="2">
        <v>20</v>
      </c>
      <c r="L901" t="s">
        <v>5856</v>
      </c>
      <c r="M901" t="s">
        <v>8072</v>
      </c>
      <c r="N901" s="3">
        <v>43270</v>
      </c>
      <c r="O901" s="3">
        <v>43374</v>
      </c>
      <c r="P901" t="s">
        <v>5929</v>
      </c>
      <c r="Q901" t="s">
        <v>13318</v>
      </c>
      <c r="R901" t="s">
        <v>6042</v>
      </c>
      <c r="S901" s="3">
        <v>43377</v>
      </c>
      <c r="T901" t="s">
        <v>9938</v>
      </c>
      <c r="U901" t="s">
        <v>6467</v>
      </c>
      <c r="V901" t="s">
        <v>6468</v>
      </c>
      <c r="W901" t="s">
        <v>5857</v>
      </c>
      <c r="X901" s="2">
        <v>1020</v>
      </c>
      <c r="Y901" t="s">
        <v>5858</v>
      </c>
      <c r="Z901" t="s">
        <v>6037</v>
      </c>
      <c r="AA901" s="2">
        <v>20000</v>
      </c>
      <c r="AB901" t="s">
        <v>5863</v>
      </c>
      <c r="AC901" t="s">
        <v>9976</v>
      </c>
      <c r="AD901" s="32"/>
      <c r="AJ901" t="s">
        <v>9957</v>
      </c>
      <c r="AL901" t="s">
        <v>14082</v>
      </c>
    </row>
    <row r="902" spans="1:38">
      <c r="A902" t="s">
        <v>8465</v>
      </c>
      <c r="B902" t="s">
        <v>13320</v>
      </c>
      <c r="C902" t="s">
        <v>8404</v>
      </c>
      <c r="D902" t="s">
        <v>8405</v>
      </c>
      <c r="E902" s="2">
        <v>20000</v>
      </c>
      <c r="F902" s="2">
        <v>20000</v>
      </c>
      <c r="G902" s="3">
        <v>43372</v>
      </c>
      <c r="H902" s="4">
        <v>0.58208333333332996</v>
      </c>
      <c r="I902" s="3">
        <v>43373</v>
      </c>
      <c r="J902" s="4">
        <v>0.39907407407406997</v>
      </c>
      <c r="K902" s="2">
        <v>20</v>
      </c>
      <c r="L902" t="s">
        <v>5856</v>
      </c>
      <c r="M902" t="s">
        <v>8072</v>
      </c>
      <c r="N902" s="3">
        <v>43272</v>
      </c>
      <c r="O902" s="3">
        <v>43375</v>
      </c>
      <c r="P902" t="s">
        <v>5929</v>
      </c>
      <c r="Q902" t="s">
        <v>13293</v>
      </c>
      <c r="R902" t="s">
        <v>6042</v>
      </c>
      <c r="S902" s="3">
        <v>43377</v>
      </c>
      <c r="T902" t="s">
        <v>9938</v>
      </c>
      <c r="U902" t="s">
        <v>8407</v>
      </c>
      <c r="V902" t="s">
        <v>6468</v>
      </c>
      <c r="W902" t="s">
        <v>5857</v>
      </c>
      <c r="X902" s="2">
        <v>1020</v>
      </c>
      <c r="Y902" t="s">
        <v>5858</v>
      </c>
      <c r="Z902" t="s">
        <v>6037</v>
      </c>
      <c r="AA902" s="2">
        <v>20000</v>
      </c>
      <c r="AB902" t="s">
        <v>5863</v>
      </c>
      <c r="AD902" s="32"/>
      <c r="AJ902" t="s">
        <v>9957</v>
      </c>
      <c r="AL902" t="s">
        <v>14083</v>
      </c>
    </row>
    <row r="903" spans="1:38">
      <c r="A903" t="s">
        <v>8542</v>
      </c>
      <c r="B903" t="s">
        <v>13321</v>
      </c>
      <c r="C903" t="s">
        <v>8414</v>
      </c>
      <c r="D903" t="s">
        <v>8415</v>
      </c>
      <c r="E903" s="2">
        <v>12425</v>
      </c>
      <c r="F903" s="2">
        <v>19570</v>
      </c>
      <c r="G903" s="3">
        <v>43281</v>
      </c>
      <c r="H903" s="4">
        <v>0.78804398148148003</v>
      </c>
      <c r="I903" s="3">
        <v>43282</v>
      </c>
      <c r="J903" s="4">
        <v>0.49709490740741002</v>
      </c>
      <c r="K903" s="2">
        <v>0</v>
      </c>
      <c r="L903" t="s">
        <v>5856</v>
      </c>
      <c r="M903" t="s">
        <v>13322</v>
      </c>
      <c r="N903" s="3">
        <v>43283</v>
      </c>
      <c r="O903" s="3">
        <v>43284</v>
      </c>
      <c r="P903" t="s">
        <v>6673</v>
      </c>
      <c r="Q903" t="s">
        <v>6038</v>
      </c>
      <c r="R903" t="s">
        <v>6039</v>
      </c>
      <c r="S903" s="3"/>
      <c r="T903" t="s">
        <v>9938</v>
      </c>
      <c r="U903" t="s">
        <v>7537</v>
      </c>
      <c r="V903" t="s">
        <v>6067</v>
      </c>
      <c r="W903" t="s">
        <v>5868</v>
      </c>
      <c r="X903" s="2">
        <v>1150</v>
      </c>
      <c r="Y903" t="s">
        <v>5858</v>
      </c>
      <c r="Z903" t="s">
        <v>6037</v>
      </c>
      <c r="AA903" s="2">
        <v>11855</v>
      </c>
      <c r="AB903" t="s">
        <v>5859</v>
      </c>
      <c r="AC903" t="s">
        <v>9978</v>
      </c>
      <c r="AD903" s="32">
        <v>43279</v>
      </c>
      <c r="AJ903" t="s">
        <v>9958</v>
      </c>
      <c r="AL903" t="s">
        <v>14084</v>
      </c>
    </row>
    <row r="904" spans="1:38">
      <c r="A904" t="s">
        <v>8542</v>
      </c>
      <c r="B904" t="s">
        <v>13323</v>
      </c>
      <c r="C904" t="s">
        <v>7261</v>
      </c>
      <c r="D904" t="s">
        <v>7262</v>
      </c>
      <c r="E904" s="2">
        <v>20600</v>
      </c>
      <c r="F904" s="2">
        <v>20600</v>
      </c>
      <c r="G904" s="3">
        <v>43283</v>
      </c>
      <c r="H904" s="4">
        <v>0.25361111111111001</v>
      </c>
      <c r="I904" s="3">
        <v>43283</v>
      </c>
      <c r="J904" s="4">
        <v>0.99998842592592996</v>
      </c>
      <c r="K904" s="2">
        <v>0</v>
      </c>
      <c r="L904" t="s">
        <v>5856</v>
      </c>
      <c r="M904" t="s">
        <v>8543</v>
      </c>
      <c r="N904" s="3">
        <v>43285</v>
      </c>
      <c r="O904" s="3">
        <v>43285</v>
      </c>
      <c r="P904" t="s">
        <v>6673</v>
      </c>
      <c r="Q904" t="s">
        <v>7263</v>
      </c>
      <c r="R904" t="s">
        <v>6042</v>
      </c>
      <c r="S904" s="3">
        <v>43292</v>
      </c>
      <c r="T904" t="s">
        <v>9938</v>
      </c>
      <c r="U904" t="s">
        <v>5963</v>
      </c>
      <c r="V904" t="s">
        <v>6067</v>
      </c>
      <c r="W904" t="s">
        <v>5857</v>
      </c>
      <c r="X904" s="2">
        <v>1150</v>
      </c>
      <c r="Y904" t="s">
        <v>5858</v>
      </c>
      <c r="Z904" t="s">
        <v>6037</v>
      </c>
      <c r="AA904" s="2">
        <v>20000</v>
      </c>
      <c r="AB904" t="s">
        <v>5863</v>
      </c>
      <c r="AC904" t="s">
        <v>9979</v>
      </c>
      <c r="AD904" s="32">
        <v>43280</v>
      </c>
      <c r="AJ904" t="s">
        <v>9958</v>
      </c>
      <c r="AL904" t="s">
        <v>14085</v>
      </c>
    </row>
    <row r="905" spans="1:38">
      <c r="A905" t="s">
        <v>8542</v>
      </c>
      <c r="B905" t="s">
        <v>13324</v>
      </c>
      <c r="C905" t="s">
        <v>8420</v>
      </c>
      <c r="D905" t="s">
        <v>8421</v>
      </c>
      <c r="E905" s="2">
        <v>20600</v>
      </c>
      <c r="F905" s="2">
        <v>20600</v>
      </c>
      <c r="G905" s="3">
        <v>43283</v>
      </c>
      <c r="H905" s="4">
        <v>0.52131944444444001</v>
      </c>
      <c r="I905" s="3">
        <v>43284</v>
      </c>
      <c r="J905" s="4">
        <v>0.26769675925926001</v>
      </c>
      <c r="K905" s="2">
        <v>0</v>
      </c>
      <c r="L905" t="s">
        <v>5856</v>
      </c>
      <c r="M905" t="s">
        <v>8543</v>
      </c>
      <c r="N905" s="3"/>
      <c r="O905" s="3">
        <v>43286</v>
      </c>
      <c r="P905" t="s">
        <v>6673</v>
      </c>
      <c r="Q905" t="s">
        <v>8422</v>
      </c>
      <c r="R905" t="s">
        <v>6036</v>
      </c>
      <c r="S905" s="3">
        <v>43297</v>
      </c>
      <c r="T905" t="s">
        <v>9938</v>
      </c>
      <c r="U905" t="s">
        <v>7537</v>
      </c>
      <c r="V905" t="s">
        <v>6067</v>
      </c>
      <c r="W905" t="s">
        <v>5857</v>
      </c>
      <c r="X905" s="2">
        <v>1150</v>
      </c>
      <c r="Y905" t="s">
        <v>5858</v>
      </c>
      <c r="Z905" t="s">
        <v>6037</v>
      </c>
      <c r="AA905" s="2">
        <v>20000</v>
      </c>
      <c r="AB905" t="s">
        <v>5859</v>
      </c>
      <c r="AC905" t="s">
        <v>9979</v>
      </c>
      <c r="AD905" s="32">
        <v>43280</v>
      </c>
      <c r="AJ905" t="s">
        <v>9958</v>
      </c>
      <c r="AL905" t="s">
        <v>14086</v>
      </c>
    </row>
    <row r="906" spans="1:38">
      <c r="A906" t="s">
        <v>8542</v>
      </c>
      <c r="B906" t="s">
        <v>12235</v>
      </c>
      <c r="C906" t="s">
        <v>8466</v>
      </c>
      <c r="D906" t="s">
        <v>8467</v>
      </c>
      <c r="E906" s="2">
        <v>7100</v>
      </c>
      <c r="F906" s="2">
        <v>20600</v>
      </c>
      <c r="G906" s="3">
        <v>43284</v>
      </c>
      <c r="H906" s="4">
        <v>0.28853009259258999</v>
      </c>
      <c r="I906" s="3">
        <v>43284</v>
      </c>
      <c r="J906" s="4">
        <v>0.92432870370370002</v>
      </c>
      <c r="K906" s="2">
        <v>0</v>
      </c>
      <c r="L906" t="s">
        <v>5856</v>
      </c>
      <c r="M906" t="s">
        <v>8544</v>
      </c>
      <c r="N906" s="3">
        <v>43289</v>
      </c>
      <c r="O906" s="3">
        <v>43291</v>
      </c>
      <c r="P906" t="s">
        <v>5862</v>
      </c>
      <c r="Q906" t="s">
        <v>13325</v>
      </c>
      <c r="R906" t="s">
        <v>6476</v>
      </c>
      <c r="S906" s="3">
        <v>43386</v>
      </c>
      <c r="T906" t="s">
        <v>9938</v>
      </c>
      <c r="U906" t="s">
        <v>8150</v>
      </c>
      <c r="V906" t="s">
        <v>8468</v>
      </c>
      <c r="W906" t="s">
        <v>5868</v>
      </c>
      <c r="X906" s="2">
        <v>1150</v>
      </c>
      <c r="Y906" t="s">
        <v>5858</v>
      </c>
      <c r="Z906" t="s">
        <v>6037</v>
      </c>
      <c r="AA906" s="2">
        <v>6500</v>
      </c>
      <c r="AB906" t="s">
        <v>5859</v>
      </c>
      <c r="AC906" t="s">
        <v>9977</v>
      </c>
      <c r="AD906" s="32">
        <v>43272</v>
      </c>
      <c r="AJ906" t="s">
        <v>9971</v>
      </c>
      <c r="AL906" t="s">
        <v>11080</v>
      </c>
    </row>
    <row r="907" spans="1:38">
      <c r="A907" t="s">
        <v>8542</v>
      </c>
      <c r="B907" t="s">
        <v>12226</v>
      </c>
      <c r="C907" t="s">
        <v>8522</v>
      </c>
      <c r="D907" t="s">
        <v>8523</v>
      </c>
      <c r="E907" s="2">
        <v>10300</v>
      </c>
      <c r="F907" s="2">
        <v>10300</v>
      </c>
      <c r="G907" s="3">
        <v>43284</v>
      </c>
      <c r="H907" s="4">
        <v>0.59150462962963002</v>
      </c>
      <c r="I907" s="3">
        <v>43284</v>
      </c>
      <c r="J907" s="4">
        <v>0.96468750000000003</v>
      </c>
      <c r="K907" s="2">
        <v>20</v>
      </c>
      <c r="L907" t="s">
        <v>5856</v>
      </c>
      <c r="M907" t="s">
        <v>8586</v>
      </c>
      <c r="N907" s="3">
        <v>43305</v>
      </c>
      <c r="O907" s="3">
        <v>43286</v>
      </c>
      <c r="P907" t="s">
        <v>5898</v>
      </c>
      <c r="Q907" t="s">
        <v>8524</v>
      </c>
      <c r="R907" t="s">
        <v>6036</v>
      </c>
      <c r="S907" s="3">
        <v>43305</v>
      </c>
      <c r="T907" t="s">
        <v>9938</v>
      </c>
      <c r="U907" t="s">
        <v>7329</v>
      </c>
      <c r="V907" t="s">
        <v>6045</v>
      </c>
      <c r="W907" t="s">
        <v>5857</v>
      </c>
      <c r="X907" s="2">
        <v>1150</v>
      </c>
      <c r="Y907" t="s">
        <v>5858</v>
      </c>
      <c r="Z907" t="s">
        <v>6037</v>
      </c>
      <c r="AA907" s="2">
        <v>10000</v>
      </c>
      <c r="AB907" t="s">
        <v>5863</v>
      </c>
      <c r="AC907" t="s">
        <v>9974</v>
      </c>
      <c r="AD907" s="32">
        <v>43263</v>
      </c>
      <c r="AJ907" t="s">
        <v>9959</v>
      </c>
      <c r="AL907" t="s">
        <v>14087</v>
      </c>
    </row>
    <row r="908" spans="1:38">
      <c r="A908" t="s">
        <v>8542</v>
      </c>
      <c r="B908" t="s">
        <v>12109</v>
      </c>
      <c r="C908" t="s">
        <v>8284</v>
      </c>
      <c r="D908" t="s">
        <v>8285</v>
      </c>
      <c r="E908" s="2">
        <v>10300</v>
      </c>
      <c r="F908" s="2">
        <v>10300</v>
      </c>
      <c r="G908" s="3">
        <v>43285</v>
      </c>
      <c r="H908" s="4">
        <v>0.40918981481480998</v>
      </c>
      <c r="I908" s="3">
        <v>43285</v>
      </c>
      <c r="J908" s="4">
        <v>0.78237268518518999</v>
      </c>
      <c r="K908" s="2">
        <v>0</v>
      </c>
      <c r="L908" t="s">
        <v>5856</v>
      </c>
      <c r="M908" t="s">
        <v>8586</v>
      </c>
      <c r="N908" s="3">
        <v>43300</v>
      </c>
      <c r="O908" s="3">
        <v>43287</v>
      </c>
      <c r="P908" t="s">
        <v>5898</v>
      </c>
      <c r="Q908" t="s">
        <v>8286</v>
      </c>
      <c r="R908" t="s">
        <v>6036</v>
      </c>
      <c r="S908" s="3">
        <v>43300</v>
      </c>
      <c r="T908" t="s">
        <v>9938</v>
      </c>
      <c r="U908" t="s">
        <v>6054</v>
      </c>
      <c r="V908" t="s">
        <v>5899</v>
      </c>
      <c r="W908" t="s">
        <v>5857</v>
      </c>
      <c r="X908" s="2">
        <v>1150</v>
      </c>
      <c r="Y908" t="s">
        <v>5858</v>
      </c>
      <c r="Z908" t="s">
        <v>6037</v>
      </c>
      <c r="AA908" s="2">
        <v>10000</v>
      </c>
      <c r="AB908" t="s">
        <v>5863</v>
      </c>
      <c r="AC908" t="s">
        <v>9974</v>
      </c>
      <c r="AD908" s="32">
        <v>43272</v>
      </c>
      <c r="AI908" t="s">
        <v>9939</v>
      </c>
      <c r="AJ908" t="s">
        <v>9958</v>
      </c>
      <c r="AL908" t="s">
        <v>14088</v>
      </c>
    </row>
    <row r="909" spans="1:38">
      <c r="A909" t="s">
        <v>8542</v>
      </c>
      <c r="B909" t="s">
        <v>13326</v>
      </c>
      <c r="C909" t="s">
        <v>8420</v>
      </c>
      <c r="D909" t="s">
        <v>8421</v>
      </c>
      <c r="E909" s="2">
        <v>600</v>
      </c>
      <c r="F909" s="2">
        <v>20600</v>
      </c>
      <c r="G909" s="3">
        <v>43287</v>
      </c>
      <c r="H909" s="4">
        <v>0.21373842592593001</v>
      </c>
      <c r="I909" s="3">
        <v>43287</v>
      </c>
      <c r="J909" s="4">
        <v>0.96011574074074002</v>
      </c>
      <c r="K909" s="2">
        <v>0</v>
      </c>
      <c r="L909" t="s">
        <v>5856</v>
      </c>
      <c r="M909" t="s">
        <v>8543</v>
      </c>
      <c r="N909" s="3">
        <v>43287</v>
      </c>
      <c r="O909" s="3">
        <v>43289</v>
      </c>
      <c r="P909" t="s">
        <v>6673</v>
      </c>
      <c r="Q909" t="s">
        <v>6038</v>
      </c>
      <c r="R909" t="s">
        <v>6039</v>
      </c>
      <c r="S909" s="3"/>
      <c r="T909" t="s">
        <v>9938</v>
      </c>
      <c r="U909" t="s">
        <v>7537</v>
      </c>
      <c r="V909" t="s">
        <v>6067</v>
      </c>
      <c r="W909" t="s">
        <v>5857</v>
      </c>
      <c r="X909" s="2">
        <v>1150</v>
      </c>
      <c r="Y909" t="s">
        <v>5858</v>
      </c>
      <c r="Z909" t="s">
        <v>6037</v>
      </c>
      <c r="AA909" s="2">
        <v>0</v>
      </c>
      <c r="AB909" t="s">
        <v>5859</v>
      </c>
      <c r="AC909" t="s">
        <v>9979</v>
      </c>
      <c r="AD909" s="32">
        <v>43279</v>
      </c>
      <c r="AJ909" t="s">
        <v>9958</v>
      </c>
      <c r="AL909" t="s">
        <v>14089</v>
      </c>
    </row>
    <row r="910" spans="1:38">
      <c r="A910" t="s">
        <v>8542</v>
      </c>
      <c r="B910" t="s">
        <v>13327</v>
      </c>
      <c r="C910" t="s">
        <v>6459</v>
      </c>
      <c r="D910" t="s">
        <v>6460</v>
      </c>
      <c r="E910" s="2">
        <v>20600</v>
      </c>
      <c r="F910" s="2">
        <v>20600</v>
      </c>
      <c r="G910" s="3">
        <v>43288</v>
      </c>
      <c r="H910" s="4">
        <v>0.15848379629629999</v>
      </c>
      <c r="I910" s="3">
        <v>43288</v>
      </c>
      <c r="J910" s="4">
        <v>0.90486111111111001</v>
      </c>
      <c r="K910" s="2">
        <v>0</v>
      </c>
      <c r="L910" t="s">
        <v>5856</v>
      </c>
      <c r="M910" t="s">
        <v>8543</v>
      </c>
      <c r="N910" s="3">
        <v>43300</v>
      </c>
      <c r="O910" s="3">
        <v>43290</v>
      </c>
      <c r="P910" t="s">
        <v>5898</v>
      </c>
      <c r="Q910" t="s">
        <v>6038</v>
      </c>
      <c r="R910" t="s">
        <v>6040</v>
      </c>
      <c r="S910" s="3">
        <v>43288</v>
      </c>
      <c r="T910" t="s">
        <v>9938</v>
      </c>
      <c r="U910" t="s">
        <v>6065</v>
      </c>
      <c r="V910" t="s">
        <v>5899</v>
      </c>
      <c r="W910" t="s">
        <v>5857</v>
      </c>
      <c r="X910" s="2">
        <v>0</v>
      </c>
      <c r="Y910" t="s">
        <v>5858</v>
      </c>
      <c r="Z910" t="s">
        <v>6037</v>
      </c>
      <c r="AA910" s="2">
        <v>20000</v>
      </c>
      <c r="AB910" t="s">
        <v>5861</v>
      </c>
      <c r="AC910" t="s">
        <v>9975</v>
      </c>
      <c r="AD910" s="32"/>
      <c r="AI910" t="s">
        <v>9939</v>
      </c>
      <c r="AJ910" t="s">
        <v>9958</v>
      </c>
      <c r="AL910" t="s">
        <v>14090</v>
      </c>
    </row>
    <row r="911" spans="1:38">
      <c r="A911" t="s">
        <v>8542</v>
      </c>
      <c r="B911" t="s">
        <v>12236</v>
      </c>
      <c r="C911" t="s">
        <v>8414</v>
      </c>
      <c r="D911" t="s">
        <v>8415</v>
      </c>
      <c r="E911" s="2">
        <v>600</v>
      </c>
      <c r="F911" s="2">
        <v>20600</v>
      </c>
      <c r="G911" s="3">
        <v>43290</v>
      </c>
      <c r="H911" s="4">
        <v>3.125E-2</v>
      </c>
      <c r="I911" s="3">
        <v>43290</v>
      </c>
      <c r="J911" s="4">
        <v>0.77762731481480996</v>
      </c>
      <c r="K911" s="2">
        <v>20</v>
      </c>
      <c r="L911" t="s">
        <v>5856</v>
      </c>
      <c r="M911" t="s">
        <v>8543</v>
      </c>
      <c r="N911" s="3">
        <v>43292</v>
      </c>
      <c r="O911" s="3">
        <v>43292</v>
      </c>
      <c r="P911" t="s">
        <v>6673</v>
      </c>
      <c r="Q911" t="s">
        <v>6038</v>
      </c>
      <c r="R911" t="s">
        <v>6039</v>
      </c>
      <c r="S911" s="3"/>
      <c r="T911" t="s">
        <v>9938</v>
      </c>
      <c r="U911" t="s">
        <v>7537</v>
      </c>
      <c r="V911" t="s">
        <v>6067</v>
      </c>
      <c r="W911" t="s">
        <v>5868</v>
      </c>
      <c r="X911" s="2">
        <v>1150</v>
      </c>
      <c r="Y911" t="s">
        <v>5858</v>
      </c>
      <c r="Z911" t="s">
        <v>6037</v>
      </c>
      <c r="AA911" s="2">
        <v>0</v>
      </c>
      <c r="AB911" t="s">
        <v>5859</v>
      </c>
      <c r="AC911" t="s">
        <v>9978</v>
      </c>
      <c r="AD911" s="32">
        <v>43187</v>
      </c>
      <c r="AJ911" t="s">
        <v>9958</v>
      </c>
      <c r="AL911" t="s">
        <v>14091</v>
      </c>
    </row>
    <row r="912" spans="1:38">
      <c r="A912" t="s">
        <v>8542</v>
      </c>
      <c r="B912" t="s">
        <v>12173</v>
      </c>
      <c r="C912" t="s">
        <v>7225</v>
      </c>
      <c r="D912" t="s">
        <v>7226</v>
      </c>
      <c r="E912" s="5">
        <v>20548.5</v>
      </c>
      <c r="F912" s="5">
        <v>20548.5</v>
      </c>
      <c r="G912" s="3">
        <v>43290</v>
      </c>
      <c r="H912" s="4">
        <v>0.30555555555556002</v>
      </c>
      <c r="I912" s="3">
        <v>43295</v>
      </c>
      <c r="J912" s="4">
        <v>5.0057870370370003E-2</v>
      </c>
      <c r="K912" s="2">
        <v>20</v>
      </c>
      <c r="L912" t="s">
        <v>5856</v>
      </c>
      <c r="M912" t="s">
        <v>13328</v>
      </c>
      <c r="N912" s="3">
        <v>43293</v>
      </c>
      <c r="O912" s="3">
        <v>43297</v>
      </c>
      <c r="P912" t="s">
        <v>6673</v>
      </c>
      <c r="Q912" t="s">
        <v>8436</v>
      </c>
      <c r="R912" t="s">
        <v>6036</v>
      </c>
      <c r="S912" s="3">
        <v>43293</v>
      </c>
      <c r="T912" t="s">
        <v>9938</v>
      </c>
      <c r="U912" t="s">
        <v>7228</v>
      </c>
      <c r="V912" t="s">
        <v>6067</v>
      </c>
      <c r="W912" t="s">
        <v>5857</v>
      </c>
      <c r="X912" s="2">
        <v>1150</v>
      </c>
      <c r="Y912" t="s">
        <v>5858</v>
      </c>
      <c r="Z912" t="s">
        <v>6037</v>
      </c>
      <c r="AA912" s="2">
        <v>19950</v>
      </c>
      <c r="AB912" t="s">
        <v>5863</v>
      </c>
      <c r="AC912" t="s">
        <v>9978</v>
      </c>
      <c r="AD912" s="32">
        <v>43179</v>
      </c>
      <c r="AI912" t="s">
        <v>9950</v>
      </c>
      <c r="AJ912" t="s">
        <v>9958</v>
      </c>
      <c r="AL912" t="s">
        <v>14092</v>
      </c>
    </row>
    <row r="913" spans="1:38">
      <c r="A913" t="s">
        <v>8542</v>
      </c>
      <c r="B913" t="s">
        <v>12237</v>
      </c>
      <c r="C913" t="s">
        <v>8546</v>
      </c>
      <c r="D913" t="s">
        <v>8547</v>
      </c>
      <c r="E913" s="2">
        <v>5000</v>
      </c>
      <c r="F913" s="2">
        <v>5000</v>
      </c>
      <c r="G913" s="3">
        <v>43296</v>
      </c>
      <c r="H913" s="4">
        <v>0.54392361111110998</v>
      </c>
      <c r="I913" s="3">
        <v>43296</v>
      </c>
      <c r="J913" s="4">
        <v>0.72508101851852003</v>
      </c>
      <c r="K913" s="2">
        <v>20</v>
      </c>
      <c r="L913" t="s">
        <v>5856</v>
      </c>
      <c r="M913" t="s">
        <v>8548</v>
      </c>
      <c r="N913" s="3">
        <v>43291</v>
      </c>
      <c r="O913" s="3">
        <v>43298</v>
      </c>
      <c r="P913" t="s">
        <v>8549</v>
      </c>
      <c r="Q913" t="s">
        <v>8550</v>
      </c>
      <c r="R913" t="s">
        <v>6036</v>
      </c>
      <c r="S913" s="3">
        <v>43297</v>
      </c>
      <c r="T913" t="s">
        <v>9938</v>
      </c>
      <c r="U913" t="s">
        <v>8551</v>
      </c>
      <c r="V913" t="s">
        <v>8552</v>
      </c>
      <c r="W913" t="s">
        <v>5857</v>
      </c>
      <c r="X913" s="2">
        <v>0</v>
      </c>
      <c r="Y913" t="s">
        <v>5858</v>
      </c>
      <c r="Z913" t="s">
        <v>6037</v>
      </c>
      <c r="AA913" s="2">
        <v>5000</v>
      </c>
      <c r="AB913" t="s">
        <v>5863</v>
      </c>
      <c r="AC913" t="s">
        <v>9987</v>
      </c>
      <c r="AD913" s="32">
        <v>43271</v>
      </c>
      <c r="AI913" t="s">
        <v>9939</v>
      </c>
      <c r="AJ913" t="s">
        <v>9958</v>
      </c>
      <c r="AL913" t="s">
        <v>11081</v>
      </c>
    </row>
    <row r="914" spans="1:38">
      <c r="A914" t="s">
        <v>8542</v>
      </c>
      <c r="B914" t="s">
        <v>12238</v>
      </c>
      <c r="C914" t="s">
        <v>8420</v>
      </c>
      <c r="D914" t="s">
        <v>8421</v>
      </c>
      <c r="E914" s="2">
        <v>20000</v>
      </c>
      <c r="F914" s="2">
        <v>20000</v>
      </c>
      <c r="G914" s="3">
        <v>43296</v>
      </c>
      <c r="H914" s="4">
        <v>0.74591435185184995</v>
      </c>
      <c r="I914" s="3">
        <v>43297</v>
      </c>
      <c r="J914" s="4">
        <v>0.47055555555556</v>
      </c>
      <c r="K914" s="2">
        <v>0</v>
      </c>
      <c r="L914" t="s">
        <v>5856</v>
      </c>
      <c r="M914" t="s">
        <v>8545</v>
      </c>
      <c r="N914" s="3">
        <v>43297</v>
      </c>
      <c r="O914" s="3">
        <v>43299</v>
      </c>
      <c r="P914" t="s">
        <v>6673</v>
      </c>
      <c r="Q914" t="s">
        <v>6038</v>
      </c>
      <c r="R914" t="s">
        <v>6040</v>
      </c>
      <c r="S914" s="3">
        <v>43313</v>
      </c>
      <c r="T914" t="s">
        <v>9938</v>
      </c>
      <c r="U914" t="s">
        <v>7537</v>
      </c>
      <c r="V914" t="s">
        <v>6067</v>
      </c>
      <c r="W914" t="s">
        <v>5857</v>
      </c>
      <c r="X914" s="2">
        <v>0</v>
      </c>
      <c r="Y914" t="s">
        <v>5858</v>
      </c>
      <c r="Z914" t="s">
        <v>6037</v>
      </c>
      <c r="AA914" s="2">
        <v>20000</v>
      </c>
      <c r="AB914" t="s">
        <v>5861</v>
      </c>
      <c r="AC914" t="s">
        <v>9979</v>
      </c>
      <c r="AD914" s="32"/>
      <c r="AJ914" t="s">
        <v>9958</v>
      </c>
      <c r="AL914" t="s">
        <v>11082</v>
      </c>
    </row>
    <row r="915" spans="1:38">
      <c r="A915" t="s">
        <v>8542</v>
      </c>
      <c r="B915" t="s">
        <v>12239</v>
      </c>
      <c r="C915" t="s">
        <v>8420</v>
      </c>
      <c r="D915" t="s">
        <v>8421</v>
      </c>
      <c r="E915" s="2">
        <v>20000</v>
      </c>
      <c r="F915" s="2">
        <v>20000</v>
      </c>
      <c r="G915" s="3">
        <v>43297</v>
      </c>
      <c r="H915" s="4">
        <v>0.49138888888888999</v>
      </c>
      <c r="I915" s="3">
        <v>43298</v>
      </c>
      <c r="J915" s="4">
        <v>0.21603009259259001</v>
      </c>
      <c r="K915" s="2">
        <v>0</v>
      </c>
      <c r="L915" t="s">
        <v>5856</v>
      </c>
      <c r="M915" t="s">
        <v>8545</v>
      </c>
      <c r="N915" s="3">
        <v>43297</v>
      </c>
      <c r="O915" s="3">
        <v>43300</v>
      </c>
      <c r="P915" t="s">
        <v>6673</v>
      </c>
      <c r="Q915" t="s">
        <v>6038</v>
      </c>
      <c r="R915" t="s">
        <v>6040</v>
      </c>
      <c r="S915" s="3">
        <v>43313</v>
      </c>
      <c r="T915" t="s">
        <v>9938</v>
      </c>
      <c r="U915" t="s">
        <v>7537</v>
      </c>
      <c r="V915" t="s">
        <v>6067</v>
      </c>
      <c r="W915" t="s">
        <v>5857</v>
      </c>
      <c r="X915" s="2">
        <v>0</v>
      </c>
      <c r="Y915" t="s">
        <v>5858</v>
      </c>
      <c r="Z915" t="s">
        <v>6037</v>
      </c>
      <c r="AA915" s="2">
        <v>20000</v>
      </c>
      <c r="AB915" t="s">
        <v>5861</v>
      </c>
      <c r="AC915" t="s">
        <v>9979</v>
      </c>
      <c r="AD915" s="32"/>
      <c r="AJ915" t="s">
        <v>9958</v>
      </c>
      <c r="AL915" t="s">
        <v>11083</v>
      </c>
    </row>
    <row r="916" spans="1:38">
      <c r="A916" t="s">
        <v>8542</v>
      </c>
      <c r="B916" t="s">
        <v>12241</v>
      </c>
      <c r="C916" t="s">
        <v>6770</v>
      </c>
      <c r="D916" t="s">
        <v>6771</v>
      </c>
      <c r="E916" s="2">
        <v>20000</v>
      </c>
      <c r="F916" s="2">
        <v>20000</v>
      </c>
      <c r="G916" s="3">
        <v>43298</v>
      </c>
      <c r="H916" s="4">
        <v>0.23686342592592999</v>
      </c>
      <c r="I916" s="3">
        <v>43298</v>
      </c>
      <c r="J916" s="4">
        <v>0.96150462962963001</v>
      </c>
      <c r="K916" s="2">
        <v>0</v>
      </c>
      <c r="L916" t="s">
        <v>5856</v>
      </c>
      <c r="M916" t="s">
        <v>8545</v>
      </c>
      <c r="N916" s="3"/>
      <c r="O916" s="3">
        <v>43300</v>
      </c>
      <c r="P916" t="s">
        <v>6946</v>
      </c>
      <c r="Q916" t="s">
        <v>8555</v>
      </c>
      <c r="R916" t="s">
        <v>6036</v>
      </c>
      <c r="S916" s="3">
        <v>43304</v>
      </c>
      <c r="T916" t="s">
        <v>9938</v>
      </c>
      <c r="U916" t="s">
        <v>6675</v>
      </c>
      <c r="V916" t="s">
        <v>6760</v>
      </c>
      <c r="W916" t="s">
        <v>5857</v>
      </c>
      <c r="X916" s="2">
        <v>0</v>
      </c>
      <c r="Y916" t="s">
        <v>5858</v>
      </c>
      <c r="Z916" t="s">
        <v>6037</v>
      </c>
      <c r="AA916" s="2">
        <v>20000</v>
      </c>
      <c r="AB916" t="s">
        <v>5861</v>
      </c>
      <c r="AC916" t="s">
        <v>9979</v>
      </c>
      <c r="AD916" s="32"/>
      <c r="AJ916" t="s">
        <v>9958</v>
      </c>
      <c r="AL916" t="s">
        <v>11084</v>
      </c>
    </row>
    <row r="917" spans="1:38">
      <c r="A917" t="s">
        <v>8542</v>
      </c>
      <c r="B917" t="s">
        <v>12242</v>
      </c>
      <c r="C917" t="s">
        <v>8558</v>
      </c>
      <c r="D917" t="s">
        <v>8559</v>
      </c>
      <c r="E917" s="2">
        <v>10000</v>
      </c>
      <c r="F917" s="2">
        <v>10000</v>
      </c>
      <c r="G917" s="3">
        <v>43302</v>
      </c>
      <c r="H917" s="4">
        <v>0.63768518518519002</v>
      </c>
      <c r="I917" s="3">
        <v>43303</v>
      </c>
      <c r="J917" s="4">
        <v>0</v>
      </c>
      <c r="K917" s="2">
        <v>0</v>
      </c>
      <c r="L917" t="s">
        <v>5856</v>
      </c>
      <c r="M917" t="s">
        <v>8560</v>
      </c>
      <c r="N917" s="3">
        <v>43305</v>
      </c>
      <c r="O917" s="3">
        <v>43304</v>
      </c>
      <c r="P917" t="s">
        <v>5898</v>
      </c>
      <c r="Q917" t="s">
        <v>8561</v>
      </c>
      <c r="R917" t="s">
        <v>6036</v>
      </c>
      <c r="S917" s="3">
        <v>43305</v>
      </c>
      <c r="T917" t="s">
        <v>9938</v>
      </c>
      <c r="U917" t="s">
        <v>6064</v>
      </c>
      <c r="V917" t="s">
        <v>5899</v>
      </c>
      <c r="W917" t="s">
        <v>5857</v>
      </c>
      <c r="X917" s="2">
        <v>1150</v>
      </c>
      <c r="Y917" t="s">
        <v>5858</v>
      </c>
      <c r="Z917" t="s">
        <v>6037</v>
      </c>
      <c r="AA917" s="2">
        <v>10000</v>
      </c>
      <c r="AB917" t="s">
        <v>5863</v>
      </c>
      <c r="AC917" t="s">
        <v>9974</v>
      </c>
      <c r="AD917" s="32">
        <v>43263</v>
      </c>
      <c r="AI917" t="s">
        <v>9939</v>
      </c>
      <c r="AJ917" t="s">
        <v>9958</v>
      </c>
      <c r="AL917" t="s">
        <v>11085</v>
      </c>
    </row>
    <row r="918" spans="1:38">
      <c r="A918" t="s">
        <v>8542</v>
      </c>
      <c r="B918" t="s">
        <v>12243</v>
      </c>
      <c r="C918" t="s">
        <v>8414</v>
      </c>
      <c r="D918" t="s">
        <v>8415</v>
      </c>
      <c r="E918" s="2">
        <v>20000</v>
      </c>
      <c r="F918" s="2">
        <v>20000</v>
      </c>
      <c r="G918" s="3">
        <v>43304</v>
      </c>
      <c r="H918" s="4">
        <v>0.33663194444444</v>
      </c>
      <c r="I918" s="3">
        <v>43305</v>
      </c>
      <c r="J918" s="4">
        <v>6.1273148148149999E-2</v>
      </c>
      <c r="K918" s="2">
        <v>20</v>
      </c>
      <c r="L918" t="s">
        <v>5856</v>
      </c>
      <c r="M918" t="s">
        <v>8545</v>
      </c>
      <c r="N918" s="3">
        <v>43307</v>
      </c>
      <c r="O918" s="3">
        <v>43307</v>
      </c>
      <c r="P918" t="s">
        <v>6673</v>
      </c>
      <c r="Q918" t="s">
        <v>8562</v>
      </c>
      <c r="R918" t="s">
        <v>6036</v>
      </c>
      <c r="S918" s="3">
        <v>43307</v>
      </c>
      <c r="T918" t="s">
        <v>9938</v>
      </c>
      <c r="U918" t="s">
        <v>7537</v>
      </c>
      <c r="V918" t="s">
        <v>6067</v>
      </c>
      <c r="W918" t="s">
        <v>5868</v>
      </c>
      <c r="X918" s="2">
        <v>1150</v>
      </c>
      <c r="Y918" t="s">
        <v>5858</v>
      </c>
      <c r="Z918" t="s">
        <v>6037</v>
      </c>
      <c r="AA918" s="2">
        <v>20000</v>
      </c>
      <c r="AB918" t="s">
        <v>5863</v>
      </c>
      <c r="AC918" t="s">
        <v>9978</v>
      </c>
      <c r="AD918" s="32">
        <v>43187</v>
      </c>
      <c r="AJ918" t="s">
        <v>9958</v>
      </c>
      <c r="AL918" t="s">
        <v>11086</v>
      </c>
    </row>
    <row r="919" spans="1:38">
      <c r="A919" t="s">
        <v>8542</v>
      </c>
      <c r="B919" t="s">
        <v>12244</v>
      </c>
      <c r="C919" t="s">
        <v>8420</v>
      </c>
      <c r="D919" t="s">
        <v>8421</v>
      </c>
      <c r="E919" s="2">
        <v>20000</v>
      </c>
      <c r="F919" s="2">
        <v>20000</v>
      </c>
      <c r="G919" s="3">
        <v>43311</v>
      </c>
      <c r="H919" s="4">
        <v>0.16811342592593001</v>
      </c>
      <c r="I919" s="3">
        <v>43311</v>
      </c>
      <c r="J919" s="4">
        <v>0.89275462962963004</v>
      </c>
      <c r="K919" s="2">
        <v>0</v>
      </c>
      <c r="L919" t="s">
        <v>5856</v>
      </c>
      <c r="M919" t="s">
        <v>8545</v>
      </c>
      <c r="N919" s="3">
        <v>43325</v>
      </c>
      <c r="O919" s="3">
        <v>43316</v>
      </c>
      <c r="P919" t="s">
        <v>6673</v>
      </c>
      <c r="Q919" t="s">
        <v>13329</v>
      </c>
      <c r="R919" t="s">
        <v>6036</v>
      </c>
      <c r="S919" s="3">
        <v>43314</v>
      </c>
      <c r="T919" t="s">
        <v>9938</v>
      </c>
      <c r="U919" t="s">
        <v>7537</v>
      </c>
      <c r="V919" t="s">
        <v>6067</v>
      </c>
      <c r="W919" t="s">
        <v>5857</v>
      </c>
      <c r="X919" s="2">
        <v>0</v>
      </c>
      <c r="Y919" t="s">
        <v>5858</v>
      </c>
      <c r="Z919" t="s">
        <v>6037</v>
      </c>
      <c r="AA919" s="2">
        <v>20000</v>
      </c>
      <c r="AB919" t="s">
        <v>5861</v>
      </c>
      <c r="AC919" t="s">
        <v>9979</v>
      </c>
      <c r="AD919" s="32"/>
      <c r="AJ919" t="s">
        <v>9958</v>
      </c>
      <c r="AL919" t="s">
        <v>11087</v>
      </c>
    </row>
    <row r="920" spans="1:38">
      <c r="A920" t="s">
        <v>8542</v>
      </c>
      <c r="B920" t="s">
        <v>12245</v>
      </c>
      <c r="C920" t="s">
        <v>6770</v>
      </c>
      <c r="D920" t="s">
        <v>6771</v>
      </c>
      <c r="E920" s="2">
        <v>20000</v>
      </c>
      <c r="F920" s="2">
        <v>20000</v>
      </c>
      <c r="G920" s="3">
        <v>43311</v>
      </c>
      <c r="H920" s="4">
        <v>0.91358796296295997</v>
      </c>
      <c r="I920" s="3">
        <v>43312</v>
      </c>
      <c r="J920" s="4">
        <v>0.63822916666666996</v>
      </c>
      <c r="K920" s="2">
        <v>0</v>
      </c>
      <c r="L920" t="s">
        <v>5856</v>
      </c>
      <c r="M920" t="s">
        <v>8545</v>
      </c>
      <c r="N920" s="3"/>
      <c r="O920" s="3">
        <v>43314</v>
      </c>
      <c r="P920" t="s">
        <v>6946</v>
      </c>
      <c r="Q920" t="s">
        <v>13330</v>
      </c>
      <c r="R920" t="s">
        <v>6036</v>
      </c>
      <c r="S920" s="3">
        <v>43313</v>
      </c>
      <c r="T920" t="s">
        <v>9938</v>
      </c>
      <c r="U920" t="s">
        <v>6675</v>
      </c>
      <c r="V920" t="s">
        <v>6760</v>
      </c>
      <c r="W920" t="s">
        <v>5857</v>
      </c>
      <c r="X920" s="2">
        <v>0</v>
      </c>
      <c r="Y920" t="s">
        <v>5858</v>
      </c>
      <c r="Z920" t="s">
        <v>6037</v>
      </c>
      <c r="AA920" s="2">
        <v>20000</v>
      </c>
      <c r="AB920" t="s">
        <v>5861</v>
      </c>
      <c r="AC920" t="s">
        <v>9979</v>
      </c>
      <c r="AD920" s="32"/>
      <c r="AJ920" t="s">
        <v>9958</v>
      </c>
      <c r="AL920" t="s">
        <v>11088</v>
      </c>
    </row>
    <row r="921" spans="1:38">
      <c r="A921" t="s">
        <v>8542</v>
      </c>
      <c r="B921" t="s">
        <v>12246</v>
      </c>
      <c r="C921" t="s">
        <v>6770</v>
      </c>
      <c r="D921" t="s">
        <v>6771</v>
      </c>
      <c r="E921" s="2">
        <v>20000</v>
      </c>
      <c r="F921" s="2">
        <v>20000</v>
      </c>
      <c r="G921" s="3">
        <v>43312</v>
      </c>
      <c r="H921" s="4">
        <v>0.53086805555556005</v>
      </c>
      <c r="I921" s="3">
        <v>43313</v>
      </c>
      <c r="J921" s="4">
        <v>0.25550925925925999</v>
      </c>
      <c r="K921" s="2">
        <v>0</v>
      </c>
      <c r="L921" t="s">
        <v>5856</v>
      </c>
      <c r="M921" t="s">
        <v>8545</v>
      </c>
      <c r="N921" s="3"/>
      <c r="O921" s="3">
        <v>43315</v>
      </c>
      <c r="P921" t="s">
        <v>6946</v>
      </c>
      <c r="Q921" t="s">
        <v>13331</v>
      </c>
      <c r="R921" t="s">
        <v>6036</v>
      </c>
      <c r="S921" s="3">
        <v>43314</v>
      </c>
      <c r="T921" t="s">
        <v>9938</v>
      </c>
      <c r="U921" t="s">
        <v>6675</v>
      </c>
      <c r="V921" t="s">
        <v>6760</v>
      </c>
      <c r="W921" t="s">
        <v>5857</v>
      </c>
      <c r="X921" s="2">
        <v>0</v>
      </c>
      <c r="Y921" t="s">
        <v>5858</v>
      </c>
      <c r="Z921" t="s">
        <v>6037</v>
      </c>
      <c r="AA921" s="2">
        <v>20000</v>
      </c>
      <c r="AB921" t="s">
        <v>5861</v>
      </c>
      <c r="AC921" t="s">
        <v>9979</v>
      </c>
      <c r="AD921" s="32"/>
      <c r="AJ921" t="s">
        <v>9958</v>
      </c>
      <c r="AL921" t="s">
        <v>11089</v>
      </c>
    </row>
    <row r="922" spans="1:38">
      <c r="A922" t="s">
        <v>8542</v>
      </c>
      <c r="B922" t="s">
        <v>12247</v>
      </c>
      <c r="C922" t="s">
        <v>6770</v>
      </c>
      <c r="D922" t="s">
        <v>6771</v>
      </c>
      <c r="E922" s="2">
        <v>20000</v>
      </c>
      <c r="F922" s="2">
        <v>20000</v>
      </c>
      <c r="G922" s="3">
        <v>43313</v>
      </c>
      <c r="H922" s="4">
        <v>0.14814814814815</v>
      </c>
      <c r="I922" s="3">
        <v>43313</v>
      </c>
      <c r="J922" s="4">
        <v>0.87278935185185003</v>
      </c>
      <c r="K922" s="2">
        <v>0</v>
      </c>
      <c r="L922" t="s">
        <v>5856</v>
      </c>
      <c r="M922" t="s">
        <v>8545</v>
      </c>
      <c r="N922" s="3"/>
      <c r="O922" s="3">
        <v>43315</v>
      </c>
      <c r="P922" t="s">
        <v>6946</v>
      </c>
      <c r="Q922" t="s">
        <v>8563</v>
      </c>
      <c r="R922" t="s">
        <v>6036</v>
      </c>
      <c r="S922" s="3">
        <v>43315</v>
      </c>
      <c r="T922" t="s">
        <v>9938</v>
      </c>
      <c r="U922" t="s">
        <v>6675</v>
      </c>
      <c r="V922" t="s">
        <v>6760</v>
      </c>
      <c r="W922" t="s">
        <v>5857</v>
      </c>
      <c r="X922" s="2">
        <v>0</v>
      </c>
      <c r="Y922" t="s">
        <v>5858</v>
      </c>
      <c r="Z922" t="s">
        <v>6037</v>
      </c>
      <c r="AA922" s="2">
        <v>20000</v>
      </c>
      <c r="AB922" t="s">
        <v>5861</v>
      </c>
      <c r="AC922" t="s">
        <v>9979</v>
      </c>
      <c r="AD922" s="32"/>
      <c r="AJ922" t="s">
        <v>9958</v>
      </c>
      <c r="AL922" t="s">
        <v>11090</v>
      </c>
    </row>
    <row r="923" spans="1:38">
      <c r="A923" t="s">
        <v>8542</v>
      </c>
      <c r="B923" t="s">
        <v>12248</v>
      </c>
      <c r="C923" t="s">
        <v>6770</v>
      </c>
      <c r="D923" t="s">
        <v>6771</v>
      </c>
      <c r="E923" s="2">
        <v>20000</v>
      </c>
      <c r="F923" s="2">
        <v>20000</v>
      </c>
      <c r="G923" s="3">
        <v>43313</v>
      </c>
      <c r="H923" s="4">
        <v>0.76542824074074001</v>
      </c>
      <c r="I923" s="3">
        <v>43314</v>
      </c>
      <c r="J923" s="4">
        <v>0.49006944444444001</v>
      </c>
      <c r="K923" s="2">
        <v>0</v>
      </c>
      <c r="L923" t="s">
        <v>5856</v>
      </c>
      <c r="M923" t="s">
        <v>8545</v>
      </c>
      <c r="N923" s="3"/>
      <c r="O923" s="3">
        <v>43316</v>
      </c>
      <c r="P923" t="s">
        <v>6946</v>
      </c>
      <c r="Q923" t="s">
        <v>8190</v>
      </c>
      <c r="R923" t="s">
        <v>6036</v>
      </c>
      <c r="S923" s="3">
        <v>43318</v>
      </c>
      <c r="T923" t="s">
        <v>9938</v>
      </c>
      <c r="U923" t="s">
        <v>6675</v>
      </c>
      <c r="V923" t="s">
        <v>6760</v>
      </c>
      <c r="W923" t="s">
        <v>5857</v>
      </c>
      <c r="X923" s="2">
        <v>0</v>
      </c>
      <c r="Y923" t="s">
        <v>5858</v>
      </c>
      <c r="Z923" t="s">
        <v>6037</v>
      </c>
      <c r="AA923" s="2">
        <v>20000</v>
      </c>
      <c r="AB923" t="s">
        <v>5861</v>
      </c>
      <c r="AC923" t="s">
        <v>9979</v>
      </c>
      <c r="AD923" s="32"/>
      <c r="AJ923" t="s">
        <v>9958</v>
      </c>
      <c r="AL923" t="s">
        <v>11091</v>
      </c>
    </row>
    <row r="924" spans="1:38">
      <c r="A924" t="s">
        <v>8542</v>
      </c>
      <c r="B924" t="s">
        <v>12249</v>
      </c>
      <c r="C924" t="s">
        <v>6770</v>
      </c>
      <c r="D924" t="s">
        <v>6771</v>
      </c>
      <c r="E924" s="2">
        <v>20000</v>
      </c>
      <c r="F924" s="2">
        <v>20000</v>
      </c>
      <c r="G924" s="3">
        <v>43314</v>
      </c>
      <c r="H924" s="4">
        <v>0.38270833333332999</v>
      </c>
      <c r="I924" s="3">
        <v>43315</v>
      </c>
      <c r="J924" s="4">
        <v>0.10734953703704</v>
      </c>
      <c r="K924" s="2">
        <v>0</v>
      </c>
      <c r="L924" t="s">
        <v>5856</v>
      </c>
      <c r="M924" t="s">
        <v>8545</v>
      </c>
      <c r="N924" s="3"/>
      <c r="O924" s="3">
        <v>43317</v>
      </c>
      <c r="P924" t="s">
        <v>6946</v>
      </c>
      <c r="Q924" t="s">
        <v>8564</v>
      </c>
      <c r="R924" t="s">
        <v>6036</v>
      </c>
      <c r="S924" s="3">
        <v>43321</v>
      </c>
      <c r="T924" t="s">
        <v>9938</v>
      </c>
      <c r="U924" t="s">
        <v>6675</v>
      </c>
      <c r="V924" t="s">
        <v>6760</v>
      </c>
      <c r="W924" t="s">
        <v>5857</v>
      </c>
      <c r="X924" s="2">
        <v>0</v>
      </c>
      <c r="Y924" t="s">
        <v>5858</v>
      </c>
      <c r="Z924" t="s">
        <v>6037</v>
      </c>
      <c r="AA924" s="2">
        <v>20000</v>
      </c>
      <c r="AB924" t="s">
        <v>5861</v>
      </c>
      <c r="AC924" t="s">
        <v>9979</v>
      </c>
      <c r="AD924" s="32"/>
      <c r="AJ924" t="s">
        <v>9958</v>
      </c>
      <c r="AL924" t="s">
        <v>11092</v>
      </c>
    </row>
    <row r="925" spans="1:38">
      <c r="A925" t="s">
        <v>8542</v>
      </c>
      <c r="B925" t="s">
        <v>12250</v>
      </c>
      <c r="C925" t="s">
        <v>8420</v>
      </c>
      <c r="D925" t="s">
        <v>8421</v>
      </c>
      <c r="E925" s="2">
        <v>20000</v>
      </c>
      <c r="F925" s="2">
        <v>20000</v>
      </c>
      <c r="G925" s="3">
        <v>43315</v>
      </c>
      <c r="H925" s="4">
        <v>0.27534722222222002</v>
      </c>
      <c r="I925" s="3">
        <v>43315</v>
      </c>
      <c r="J925" s="4">
        <v>0.99998842592592996</v>
      </c>
      <c r="K925" s="2">
        <v>0</v>
      </c>
      <c r="L925" t="s">
        <v>5856</v>
      </c>
      <c r="M925" t="s">
        <v>8545</v>
      </c>
      <c r="N925" s="3">
        <v>43325</v>
      </c>
      <c r="O925" s="3">
        <v>43317</v>
      </c>
      <c r="P925" t="s">
        <v>6673</v>
      </c>
      <c r="Q925" t="s">
        <v>13332</v>
      </c>
      <c r="R925" t="s">
        <v>6036</v>
      </c>
      <c r="S925" s="3">
        <v>43314</v>
      </c>
      <c r="T925" t="s">
        <v>9938</v>
      </c>
      <c r="U925" t="s">
        <v>7537</v>
      </c>
      <c r="V925" t="s">
        <v>6067</v>
      </c>
      <c r="W925" t="s">
        <v>5857</v>
      </c>
      <c r="X925" s="2">
        <v>0</v>
      </c>
      <c r="Y925" t="s">
        <v>5858</v>
      </c>
      <c r="Z925" t="s">
        <v>6037</v>
      </c>
      <c r="AA925" s="2">
        <v>20000</v>
      </c>
      <c r="AB925" t="s">
        <v>5861</v>
      </c>
      <c r="AC925" t="s">
        <v>9979</v>
      </c>
      <c r="AD925" s="32"/>
      <c r="AJ925" t="s">
        <v>9958</v>
      </c>
      <c r="AL925" t="s">
        <v>11093</v>
      </c>
    </row>
    <row r="926" spans="1:38">
      <c r="A926" t="s">
        <v>8542</v>
      </c>
      <c r="B926" t="s">
        <v>12251</v>
      </c>
      <c r="C926" t="s">
        <v>8420</v>
      </c>
      <c r="D926" t="s">
        <v>8421</v>
      </c>
      <c r="E926" s="2">
        <v>20000</v>
      </c>
      <c r="F926" s="2">
        <v>20000</v>
      </c>
      <c r="G926" s="3">
        <v>43316</v>
      </c>
      <c r="H926" s="4">
        <v>0.27534722222222002</v>
      </c>
      <c r="I926" s="3">
        <v>43316</v>
      </c>
      <c r="J926" s="4">
        <v>0.99998842592592996</v>
      </c>
      <c r="K926" s="2">
        <v>0</v>
      </c>
      <c r="L926" t="s">
        <v>5856</v>
      </c>
      <c r="M926" t="s">
        <v>8545</v>
      </c>
      <c r="N926" s="3">
        <v>43325</v>
      </c>
      <c r="O926" s="3">
        <v>43318</v>
      </c>
      <c r="P926" t="s">
        <v>6673</v>
      </c>
      <c r="Q926" t="s">
        <v>13333</v>
      </c>
      <c r="R926" t="s">
        <v>6036</v>
      </c>
      <c r="S926" s="3">
        <v>43314</v>
      </c>
      <c r="T926" t="s">
        <v>9938</v>
      </c>
      <c r="U926" t="s">
        <v>7537</v>
      </c>
      <c r="V926" t="s">
        <v>6067</v>
      </c>
      <c r="W926" t="s">
        <v>5857</v>
      </c>
      <c r="X926" s="2">
        <v>0</v>
      </c>
      <c r="Y926" t="s">
        <v>5858</v>
      </c>
      <c r="Z926" t="s">
        <v>6037</v>
      </c>
      <c r="AA926" s="2">
        <v>20000</v>
      </c>
      <c r="AB926" t="s">
        <v>5861</v>
      </c>
      <c r="AC926" t="s">
        <v>9979</v>
      </c>
      <c r="AD926" s="32"/>
      <c r="AJ926" t="s">
        <v>9958</v>
      </c>
      <c r="AL926" t="s">
        <v>11094</v>
      </c>
    </row>
    <row r="927" spans="1:38">
      <c r="A927" t="s">
        <v>8542</v>
      </c>
      <c r="B927" t="s">
        <v>12252</v>
      </c>
      <c r="C927" t="s">
        <v>7225</v>
      </c>
      <c r="D927" t="s">
        <v>7226</v>
      </c>
      <c r="E927" s="2">
        <v>5000</v>
      </c>
      <c r="F927" s="2">
        <v>5000</v>
      </c>
      <c r="G927" s="3">
        <v>43317</v>
      </c>
      <c r="H927" s="4">
        <v>7.3356481481479996E-2</v>
      </c>
      <c r="I927" s="3">
        <v>43317</v>
      </c>
      <c r="J927" s="4">
        <v>0.25451388888888998</v>
      </c>
      <c r="K927" s="2">
        <v>20</v>
      </c>
      <c r="L927" t="s">
        <v>5856</v>
      </c>
      <c r="M927" t="s">
        <v>8548</v>
      </c>
      <c r="N927" s="3">
        <v>43320</v>
      </c>
      <c r="O927" s="3">
        <v>43319</v>
      </c>
      <c r="P927" t="s">
        <v>6673</v>
      </c>
      <c r="Q927" t="s">
        <v>8566</v>
      </c>
      <c r="R927" t="s">
        <v>6036</v>
      </c>
      <c r="S927" s="3">
        <v>43320</v>
      </c>
      <c r="T927" t="s">
        <v>9938</v>
      </c>
      <c r="U927" t="s">
        <v>7228</v>
      </c>
      <c r="V927" t="s">
        <v>6067</v>
      </c>
      <c r="W927" t="s">
        <v>5857</v>
      </c>
      <c r="X927" s="2">
        <v>1150</v>
      </c>
      <c r="Y927" t="s">
        <v>5858</v>
      </c>
      <c r="Z927" t="s">
        <v>6037</v>
      </c>
      <c r="AA927" s="2">
        <v>5000</v>
      </c>
      <c r="AB927" t="s">
        <v>5863</v>
      </c>
      <c r="AC927" t="s">
        <v>9978</v>
      </c>
      <c r="AD927" s="32">
        <v>43262</v>
      </c>
      <c r="AI927" t="s">
        <v>9950</v>
      </c>
      <c r="AJ927" t="s">
        <v>9958</v>
      </c>
      <c r="AL927" t="s">
        <v>11095</v>
      </c>
    </row>
    <row r="928" spans="1:38">
      <c r="A928" t="s">
        <v>8542</v>
      </c>
      <c r="B928" t="s">
        <v>12253</v>
      </c>
      <c r="C928" t="s">
        <v>8420</v>
      </c>
      <c r="D928" t="s">
        <v>8421</v>
      </c>
      <c r="E928" s="2">
        <v>20000</v>
      </c>
      <c r="F928" s="2">
        <v>20000</v>
      </c>
      <c r="G928" s="3">
        <v>43317</v>
      </c>
      <c r="H928" s="4">
        <v>0.27534722222222002</v>
      </c>
      <c r="I928" s="3">
        <v>43317</v>
      </c>
      <c r="J928" s="4">
        <v>0.99998842592592996</v>
      </c>
      <c r="K928" s="2">
        <v>0</v>
      </c>
      <c r="L928" t="s">
        <v>5856</v>
      </c>
      <c r="M928" t="s">
        <v>8545</v>
      </c>
      <c r="N928" s="3">
        <v>43325</v>
      </c>
      <c r="O928" s="3">
        <v>43319</v>
      </c>
      <c r="P928" t="s">
        <v>6673</v>
      </c>
      <c r="Q928" t="s">
        <v>8461</v>
      </c>
      <c r="R928" t="s">
        <v>6036</v>
      </c>
      <c r="S928" s="3">
        <v>43319</v>
      </c>
      <c r="T928" t="s">
        <v>9938</v>
      </c>
      <c r="U928" t="s">
        <v>7537</v>
      </c>
      <c r="V928" t="s">
        <v>6067</v>
      </c>
      <c r="W928" t="s">
        <v>5857</v>
      </c>
      <c r="X928" s="2">
        <v>0</v>
      </c>
      <c r="Y928" t="s">
        <v>5858</v>
      </c>
      <c r="Z928" t="s">
        <v>6037</v>
      </c>
      <c r="AA928" s="2">
        <v>20000</v>
      </c>
      <c r="AB928" t="s">
        <v>5861</v>
      </c>
      <c r="AC928" t="s">
        <v>9979</v>
      </c>
      <c r="AD928" s="32"/>
      <c r="AJ928" t="s">
        <v>9958</v>
      </c>
      <c r="AL928" t="s">
        <v>11096</v>
      </c>
    </row>
    <row r="929" spans="1:38">
      <c r="A929" t="s">
        <v>8542</v>
      </c>
      <c r="B929" t="s">
        <v>12254</v>
      </c>
      <c r="C929" t="s">
        <v>8567</v>
      </c>
      <c r="D929" t="s">
        <v>8568</v>
      </c>
      <c r="E929" s="2">
        <v>2060</v>
      </c>
      <c r="F929" s="2">
        <v>2060</v>
      </c>
      <c r="G929" s="3">
        <v>43318</v>
      </c>
      <c r="H929" s="4">
        <v>0.17987268518519001</v>
      </c>
      <c r="I929" s="3">
        <v>43318</v>
      </c>
      <c r="J929" s="4">
        <v>0.25451388888888998</v>
      </c>
      <c r="K929" s="2">
        <v>20</v>
      </c>
      <c r="L929" t="s">
        <v>5856</v>
      </c>
      <c r="M929" t="s">
        <v>8569</v>
      </c>
      <c r="N929" s="3">
        <v>43321</v>
      </c>
      <c r="O929" s="3">
        <v>43320</v>
      </c>
      <c r="P929" t="s">
        <v>8549</v>
      </c>
      <c r="Q929" t="s">
        <v>8570</v>
      </c>
      <c r="R929" t="s">
        <v>6036</v>
      </c>
      <c r="S929" s="3">
        <v>43321</v>
      </c>
      <c r="T929" t="s">
        <v>9938</v>
      </c>
      <c r="U929" t="s">
        <v>8551</v>
      </c>
      <c r="V929" t="s">
        <v>8571</v>
      </c>
      <c r="W929" t="s">
        <v>5857</v>
      </c>
      <c r="X929" s="2">
        <v>1150</v>
      </c>
      <c r="Y929" t="s">
        <v>5858</v>
      </c>
      <c r="Z929" t="s">
        <v>6037</v>
      </c>
      <c r="AA929" s="2">
        <v>2000</v>
      </c>
      <c r="AB929" t="s">
        <v>5863</v>
      </c>
      <c r="AC929" t="s">
        <v>9987</v>
      </c>
      <c r="AD929" s="32">
        <v>43276</v>
      </c>
      <c r="AJ929" t="s">
        <v>9958</v>
      </c>
      <c r="AL929" t="s">
        <v>11097</v>
      </c>
    </row>
    <row r="930" spans="1:38">
      <c r="A930" t="s">
        <v>8542</v>
      </c>
      <c r="B930" t="s">
        <v>12255</v>
      </c>
      <c r="C930" t="s">
        <v>8420</v>
      </c>
      <c r="D930" t="s">
        <v>8421</v>
      </c>
      <c r="E930" s="2">
        <v>20000</v>
      </c>
      <c r="F930" s="2">
        <v>20000</v>
      </c>
      <c r="G930" s="3">
        <v>43318</v>
      </c>
      <c r="H930" s="4">
        <v>0.27534722222222002</v>
      </c>
      <c r="I930" s="3">
        <v>43318</v>
      </c>
      <c r="J930" s="4">
        <v>0.99998842592592996</v>
      </c>
      <c r="K930" s="2">
        <v>0</v>
      </c>
      <c r="L930" t="s">
        <v>5856</v>
      </c>
      <c r="M930" t="s">
        <v>8545</v>
      </c>
      <c r="N930" s="3">
        <v>43325</v>
      </c>
      <c r="O930" s="3">
        <v>43320</v>
      </c>
      <c r="P930" t="s">
        <v>6673</v>
      </c>
      <c r="Q930" t="s">
        <v>13334</v>
      </c>
      <c r="R930" t="s">
        <v>6036</v>
      </c>
      <c r="S930" s="3">
        <v>43322</v>
      </c>
      <c r="T930" t="s">
        <v>9938</v>
      </c>
      <c r="U930" t="s">
        <v>7537</v>
      </c>
      <c r="V930" t="s">
        <v>6067</v>
      </c>
      <c r="W930" t="s">
        <v>5857</v>
      </c>
      <c r="X930" s="2">
        <v>0</v>
      </c>
      <c r="Y930" t="s">
        <v>5858</v>
      </c>
      <c r="Z930" t="s">
        <v>6037</v>
      </c>
      <c r="AA930" s="2">
        <v>20000</v>
      </c>
      <c r="AB930" t="s">
        <v>5861</v>
      </c>
      <c r="AC930" t="s">
        <v>9979</v>
      </c>
      <c r="AD930" s="32"/>
      <c r="AJ930" t="s">
        <v>9958</v>
      </c>
      <c r="AL930" t="s">
        <v>11098</v>
      </c>
    </row>
    <row r="931" spans="1:38">
      <c r="A931" t="s">
        <v>8542</v>
      </c>
      <c r="B931" t="s">
        <v>12256</v>
      </c>
      <c r="C931" t="s">
        <v>6670</v>
      </c>
      <c r="D931" t="s">
        <v>6671</v>
      </c>
      <c r="E931" s="2">
        <v>20000</v>
      </c>
      <c r="F931" s="2">
        <v>20000</v>
      </c>
      <c r="G931" s="3">
        <v>43323</v>
      </c>
      <c r="H931" s="4">
        <v>0.63767361111110998</v>
      </c>
      <c r="I931" s="3">
        <v>43324</v>
      </c>
      <c r="J931" s="4">
        <v>0.36231481481480998</v>
      </c>
      <c r="K931" s="2">
        <v>0</v>
      </c>
      <c r="L931" t="s">
        <v>5856</v>
      </c>
      <c r="M931" t="s">
        <v>8545</v>
      </c>
      <c r="N931" s="3">
        <v>43325</v>
      </c>
      <c r="O931" s="3">
        <v>43326</v>
      </c>
      <c r="P931" t="s">
        <v>5889</v>
      </c>
      <c r="Q931" t="s">
        <v>6674</v>
      </c>
      <c r="R931" t="s">
        <v>6036</v>
      </c>
      <c r="S931" s="3">
        <v>43335</v>
      </c>
      <c r="T931" t="s">
        <v>9938</v>
      </c>
      <c r="U931" t="s">
        <v>6675</v>
      </c>
      <c r="V931" t="s">
        <v>6067</v>
      </c>
      <c r="W931" t="s">
        <v>5857</v>
      </c>
      <c r="X931" s="2">
        <v>0</v>
      </c>
      <c r="Y931" t="s">
        <v>5858</v>
      </c>
      <c r="Z931" t="s">
        <v>6037</v>
      </c>
      <c r="AA931" s="2">
        <v>20000</v>
      </c>
      <c r="AB931" t="s">
        <v>5861</v>
      </c>
      <c r="AC931" t="s">
        <v>9979</v>
      </c>
      <c r="AD931" s="32"/>
      <c r="AJ931" t="s">
        <v>9958</v>
      </c>
      <c r="AL931" t="s">
        <v>11099</v>
      </c>
    </row>
    <row r="932" spans="1:38">
      <c r="A932" t="s">
        <v>8542</v>
      </c>
      <c r="B932" t="s">
        <v>12257</v>
      </c>
      <c r="C932" t="s">
        <v>8420</v>
      </c>
      <c r="D932" t="s">
        <v>8421</v>
      </c>
      <c r="E932" s="2">
        <v>20000</v>
      </c>
      <c r="F932" s="2">
        <v>20000</v>
      </c>
      <c r="G932" s="3">
        <v>43325</v>
      </c>
      <c r="H932" s="4">
        <v>0.27534722222222002</v>
      </c>
      <c r="I932" s="3">
        <v>43325</v>
      </c>
      <c r="J932" s="4">
        <v>0.99998842592592996</v>
      </c>
      <c r="K932" s="2">
        <v>0</v>
      </c>
      <c r="L932" t="s">
        <v>5856</v>
      </c>
      <c r="M932" t="s">
        <v>8545</v>
      </c>
      <c r="N932" s="3">
        <v>43325</v>
      </c>
      <c r="O932" s="3">
        <v>43327</v>
      </c>
      <c r="P932" t="s">
        <v>6673</v>
      </c>
      <c r="Q932" t="s">
        <v>13335</v>
      </c>
      <c r="R932" t="s">
        <v>6036</v>
      </c>
      <c r="S932" s="3">
        <v>43326</v>
      </c>
      <c r="T932" t="s">
        <v>9938</v>
      </c>
      <c r="U932" t="s">
        <v>7537</v>
      </c>
      <c r="V932" t="s">
        <v>6067</v>
      </c>
      <c r="W932" t="s">
        <v>5857</v>
      </c>
      <c r="X932" s="2">
        <v>0</v>
      </c>
      <c r="Y932" t="s">
        <v>5858</v>
      </c>
      <c r="Z932" t="s">
        <v>6037</v>
      </c>
      <c r="AA932" s="2">
        <v>20000</v>
      </c>
      <c r="AB932" t="s">
        <v>5861</v>
      </c>
      <c r="AC932" t="s">
        <v>9979</v>
      </c>
      <c r="AD932" s="32"/>
      <c r="AJ932" t="s">
        <v>9958</v>
      </c>
      <c r="AL932" t="s">
        <v>11100</v>
      </c>
    </row>
    <row r="933" spans="1:38">
      <c r="A933" t="s">
        <v>8542</v>
      </c>
      <c r="B933" t="s">
        <v>12258</v>
      </c>
      <c r="C933" t="s">
        <v>8420</v>
      </c>
      <c r="D933" t="s">
        <v>8421</v>
      </c>
      <c r="E933" s="2">
        <v>20000</v>
      </c>
      <c r="F933" s="2">
        <v>20000</v>
      </c>
      <c r="G933" s="3">
        <v>43326</v>
      </c>
      <c r="H933" s="4">
        <v>0.27534722222222002</v>
      </c>
      <c r="I933" s="3">
        <v>43326</v>
      </c>
      <c r="J933" s="4">
        <v>0.99998842592592996</v>
      </c>
      <c r="K933" s="2">
        <v>0</v>
      </c>
      <c r="L933" t="s">
        <v>5856</v>
      </c>
      <c r="M933" t="s">
        <v>8545</v>
      </c>
      <c r="N933" s="3">
        <v>43325</v>
      </c>
      <c r="O933" s="3">
        <v>43328</v>
      </c>
      <c r="P933" t="s">
        <v>6673</v>
      </c>
      <c r="Q933" t="s">
        <v>8462</v>
      </c>
      <c r="R933" t="s">
        <v>6036</v>
      </c>
      <c r="S933" s="3">
        <v>43328</v>
      </c>
      <c r="T933" t="s">
        <v>9938</v>
      </c>
      <c r="U933" t="s">
        <v>7537</v>
      </c>
      <c r="V933" t="s">
        <v>6067</v>
      </c>
      <c r="W933" t="s">
        <v>5857</v>
      </c>
      <c r="X933" s="2">
        <v>0</v>
      </c>
      <c r="Y933" t="s">
        <v>5858</v>
      </c>
      <c r="Z933" t="s">
        <v>6037</v>
      </c>
      <c r="AA933" s="2">
        <v>20000</v>
      </c>
      <c r="AB933" t="s">
        <v>5861</v>
      </c>
      <c r="AC933" t="s">
        <v>9979</v>
      </c>
      <c r="AD933" s="32"/>
      <c r="AJ933" t="s">
        <v>9958</v>
      </c>
      <c r="AL933" t="s">
        <v>11101</v>
      </c>
    </row>
    <row r="934" spans="1:38">
      <c r="A934" t="s">
        <v>8542</v>
      </c>
      <c r="B934" t="s">
        <v>12259</v>
      </c>
      <c r="C934" t="s">
        <v>8414</v>
      </c>
      <c r="D934" t="s">
        <v>8415</v>
      </c>
      <c r="E934" s="2">
        <v>20000</v>
      </c>
      <c r="F934" s="2">
        <v>20000</v>
      </c>
      <c r="G934" s="3">
        <v>43333</v>
      </c>
      <c r="H934" s="4">
        <v>0.33663194444444</v>
      </c>
      <c r="I934" s="3">
        <v>43334</v>
      </c>
      <c r="J934" s="4">
        <v>6.1273148148149999E-2</v>
      </c>
      <c r="K934" s="2">
        <v>20</v>
      </c>
      <c r="L934" t="s">
        <v>5856</v>
      </c>
      <c r="M934" t="s">
        <v>8545</v>
      </c>
      <c r="N934" s="3">
        <v>43339</v>
      </c>
      <c r="O934" s="3">
        <v>43336</v>
      </c>
      <c r="P934" t="s">
        <v>6673</v>
      </c>
      <c r="Q934" t="s">
        <v>8573</v>
      </c>
      <c r="R934" t="s">
        <v>6036</v>
      </c>
      <c r="S934" s="3">
        <v>43339</v>
      </c>
      <c r="T934" t="s">
        <v>9938</v>
      </c>
      <c r="U934" t="s">
        <v>7537</v>
      </c>
      <c r="V934" t="s">
        <v>6067</v>
      </c>
      <c r="W934" t="s">
        <v>5868</v>
      </c>
      <c r="X934" s="2">
        <v>1150</v>
      </c>
      <c r="Y934" t="s">
        <v>5858</v>
      </c>
      <c r="Z934" t="s">
        <v>6037</v>
      </c>
      <c r="AA934" s="2">
        <v>20000</v>
      </c>
      <c r="AB934" t="s">
        <v>5863</v>
      </c>
      <c r="AC934" t="s">
        <v>9978</v>
      </c>
      <c r="AD934" s="32"/>
      <c r="AJ934" t="s">
        <v>9958</v>
      </c>
      <c r="AL934" t="s">
        <v>11102</v>
      </c>
    </row>
    <row r="935" spans="1:38">
      <c r="A935" t="s">
        <v>8542</v>
      </c>
      <c r="B935" t="s">
        <v>12260</v>
      </c>
      <c r="C935" t="s">
        <v>6770</v>
      </c>
      <c r="D935" t="s">
        <v>6771</v>
      </c>
      <c r="E935" s="2">
        <v>20000</v>
      </c>
      <c r="F935" s="2">
        <v>20000</v>
      </c>
      <c r="G935" s="3">
        <v>43343</v>
      </c>
      <c r="H935" s="4">
        <v>0.53086805555556005</v>
      </c>
      <c r="I935" s="3">
        <v>43344</v>
      </c>
      <c r="J935" s="4">
        <v>0.25550925925925999</v>
      </c>
      <c r="K935" s="2">
        <v>0</v>
      </c>
      <c r="L935" t="s">
        <v>5856</v>
      </c>
      <c r="M935" t="s">
        <v>8545</v>
      </c>
      <c r="N935" s="3"/>
      <c r="O935" s="3">
        <v>43346</v>
      </c>
      <c r="P935" t="s">
        <v>6946</v>
      </c>
      <c r="Q935" t="s">
        <v>13336</v>
      </c>
      <c r="R935" t="s">
        <v>6036</v>
      </c>
      <c r="S935" s="3">
        <v>43350</v>
      </c>
      <c r="T935" t="s">
        <v>9938</v>
      </c>
      <c r="U935" t="s">
        <v>6675</v>
      </c>
      <c r="V935" t="s">
        <v>6760</v>
      </c>
      <c r="W935" t="s">
        <v>5857</v>
      </c>
      <c r="X935" s="2">
        <v>0</v>
      </c>
      <c r="Y935" t="s">
        <v>5858</v>
      </c>
      <c r="Z935" t="s">
        <v>6037</v>
      </c>
      <c r="AA935" s="2">
        <v>20000</v>
      </c>
      <c r="AB935" t="s">
        <v>5861</v>
      </c>
      <c r="AC935" t="s">
        <v>9979</v>
      </c>
      <c r="AD935" s="32"/>
      <c r="AJ935" t="s">
        <v>9958</v>
      </c>
      <c r="AL935" t="s">
        <v>11103</v>
      </c>
    </row>
    <row r="936" spans="1:38">
      <c r="A936" t="s">
        <v>8542</v>
      </c>
      <c r="B936" t="s">
        <v>12261</v>
      </c>
      <c r="C936" t="s">
        <v>6770</v>
      </c>
      <c r="D936" t="s">
        <v>6771</v>
      </c>
      <c r="E936" s="2">
        <v>20000</v>
      </c>
      <c r="F936" s="2">
        <v>20000</v>
      </c>
      <c r="G936" s="3">
        <v>43344</v>
      </c>
      <c r="H936" s="4">
        <v>0.14814814814815</v>
      </c>
      <c r="I936" s="3">
        <v>43344</v>
      </c>
      <c r="J936" s="4">
        <v>0.87278935185185003</v>
      </c>
      <c r="K936" s="2">
        <v>0</v>
      </c>
      <c r="L936" t="s">
        <v>5856</v>
      </c>
      <c r="M936" t="s">
        <v>8545</v>
      </c>
      <c r="N936" s="3"/>
      <c r="O936" s="3">
        <v>43346</v>
      </c>
      <c r="P936" t="s">
        <v>6946</v>
      </c>
      <c r="Q936" t="s">
        <v>13229</v>
      </c>
      <c r="R936" t="s">
        <v>6036</v>
      </c>
      <c r="S936" s="3">
        <v>43350</v>
      </c>
      <c r="T936" t="s">
        <v>9938</v>
      </c>
      <c r="U936" t="s">
        <v>6675</v>
      </c>
      <c r="V936" t="s">
        <v>6760</v>
      </c>
      <c r="W936" t="s">
        <v>5857</v>
      </c>
      <c r="X936" s="2">
        <v>0</v>
      </c>
      <c r="Y936" t="s">
        <v>5858</v>
      </c>
      <c r="Z936" t="s">
        <v>6037</v>
      </c>
      <c r="AA936" s="2">
        <v>20000</v>
      </c>
      <c r="AB936" t="s">
        <v>5861</v>
      </c>
      <c r="AC936" t="s">
        <v>9979</v>
      </c>
      <c r="AD936" s="32"/>
      <c r="AJ936" t="s">
        <v>9958</v>
      </c>
      <c r="AL936" t="s">
        <v>11104</v>
      </c>
    </row>
    <row r="937" spans="1:38">
      <c r="A937" t="s">
        <v>8542</v>
      </c>
      <c r="B937" t="s">
        <v>12262</v>
      </c>
      <c r="C937" t="s">
        <v>6670</v>
      </c>
      <c r="D937" t="s">
        <v>6671</v>
      </c>
      <c r="E937" s="2">
        <v>20000</v>
      </c>
      <c r="F937" s="2">
        <v>20000</v>
      </c>
      <c r="G937" s="3">
        <v>43344</v>
      </c>
      <c r="H937" s="4">
        <v>0.27534722222222002</v>
      </c>
      <c r="I937" s="3">
        <v>43344</v>
      </c>
      <c r="J937" s="4">
        <v>0.99998842592592996</v>
      </c>
      <c r="K937" s="2">
        <v>0</v>
      </c>
      <c r="L937" t="s">
        <v>5856</v>
      </c>
      <c r="M937" t="s">
        <v>8545</v>
      </c>
      <c r="N937" s="3">
        <v>43346</v>
      </c>
      <c r="O937" s="3">
        <v>43346</v>
      </c>
      <c r="P937" t="s">
        <v>5889</v>
      </c>
      <c r="Q937" t="s">
        <v>6038</v>
      </c>
      <c r="R937" t="s">
        <v>6040</v>
      </c>
      <c r="S937" s="3">
        <v>43374</v>
      </c>
      <c r="T937" t="s">
        <v>9938</v>
      </c>
      <c r="U937" t="s">
        <v>6675</v>
      </c>
      <c r="V937" t="s">
        <v>6067</v>
      </c>
      <c r="W937" t="s">
        <v>5857</v>
      </c>
      <c r="X937" s="2">
        <v>0</v>
      </c>
      <c r="Y937" t="s">
        <v>5858</v>
      </c>
      <c r="Z937" t="s">
        <v>6037</v>
      </c>
      <c r="AA937" s="2">
        <v>20000</v>
      </c>
      <c r="AB937" t="s">
        <v>5861</v>
      </c>
      <c r="AC937" t="s">
        <v>9979</v>
      </c>
      <c r="AD937" s="32"/>
      <c r="AJ937" t="s">
        <v>9958</v>
      </c>
      <c r="AL937" t="s">
        <v>11105</v>
      </c>
    </row>
    <row r="938" spans="1:38">
      <c r="A938" t="s">
        <v>8542</v>
      </c>
      <c r="B938" t="s">
        <v>12263</v>
      </c>
      <c r="C938" t="s">
        <v>8420</v>
      </c>
      <c r="D938" t="s">
        <v>8421</v>
      </c>
      <c r="E938" s="2">
        <v>20000</v>
      </c>
      <c r="F938" s="2">
        <v>20000</v>
      </c>
      <c r="G938" s="3">
        <v>43345</v>
      </c>
      <c r="H938" s="4">
        <v>0.27534722222222002</v>
      </c>
      <c r="I938" s="3">
        <v>43345</v>
      </c>
      <c r="J938" s="4">
        <v>0.99998842592592996</v>
      </c>
      <c r="K938" s="2">
        <v>0</v>
      </c>
      <c r="L938" t="s">
        <v>5856</v>
      </c>
      <c r="M938" t="s">
        <v>8545</v>
      </c>
      <c r="N938" s="3">
        <v>43346</v>
      </c>
      <c r="O938" s="3">
        <v>43347</v>
      </c>
      <c r="P938" t="s">
        <v>6673</v>
      </c>
      <c r="Q938" t="s">
        <v>8438</v>
      </c>
      <c r="R938" t="s">
        <v>6036</v>
      </c>
      <c r="S938" s="3">
        <v>43347</v>
      </c>
      <c r="T938" t="s">
        <v>9938</v>
      </c>
      <c r="U938" t="s">
        <v>7537</v>
      </c>
      <c r="V938" t="s">
        <v>6067</v>
      </c>
      <c r="W938" t="s">
        <v>5857</v>
      </c>
      <c r="X938" s="2">
        <v>0</v>
      </c>
      <c r="Y938" t="s">
        <v>5858</v>
      </c>
      <c r="Z938" t="s">
        <v>6037</v>
      </c>
      <c r="AA938" s="2">
        <v>20000</v>
      </c>
      <c r="AB938" t="s">
        <v>5861</v>
      </c>
      <c r="AC938" t="s">
        <v>9979</v>
      </c>
      <c r="AD938" s="32"/>
      <c r="AJ938" t="s">
        <v>9958</v>
      </c>
      <c r="AL938" t="s">
        <v>11106</v>
      </c>
    </row>
    <row r="939" spans="1:38">
      <c r="A939" t="s">
        <v>8542</v>
      </c>
      <c r="B939" t="s">
        <v>12264</v>
      </c>
      <c r="C939" t="s">
        <v>8577</v>
      </c>
      <c r="D939" t="s">
        <v>8578</v>
      </c>
      <c r="E939" s="2">
        <v>5150</v>
      </c>
      <c r="F939" s="2">
        <v>5150</v>
      </c>
      <c r="G939" s="3">
        <v>43346</v>
      </c>
      <c r="H939" s="4">
        <v>6.7916666666669998E-2</v>
      </c>
      <c r="I939" s="3">
        <v>43346</v>
      </c>
      <c r="J939" s="4">
        <v>0.25451388888888998</v>
      </c>
      <c r="K939" s="2">
        <v>20</v>
      </c>
      <c r="L939" t="s">
        <v>5856</v>
      </c>
      <c r="M939" t="s">
        <v>8579</v>
      </c>
      <c r="N939" s="3">
        <v>43349</v>
      </c>
      <c r="O939" s="3">
        <v>43348</v>
      </c>
      <c r="P939" t="s">
        <v>5911</v>
      </c>
      <c r="Q939" t="s">
        <v>8580</v>
      </c>
      <c r="R939" t="s">
        <v>6036</v>
      </c>
      <c r="S939" s="3">
        <v>43349</v>
      </c>
      <c r="T939" t="s">
        <v>9938</v>
      </c>
      <c r="U939" t="s">
        <v>6065</v>
      </c>
      <c r="V939" t="s">
        <v>8401</v>
      </c>
      <c r="W939" t="s">
        <v>5857</v>
      </c>
      <c r="X939" s="2">
        <v>1150</v>
      </c>
      <c r="Y939" t="s">
        <v>5858</v>
      </c>
      <c r="Z939" t="s">
        <v>6037</v>
      </c>
      <c r="AA939" s="2">
        <v>5000</v>
      </c>
      <c r="AB939" t="s">
        <v>5863</v>
      </c>
      <c r="AD939" s="32"/>
      <c r="AI939" t="s">
        <v>9939</v>
      </c>
      <c r="AJ939" t="s">
        <v>9958</v>
      </c>
      <c r="AL939" t="s">
        <v>11107</v>
      </c>
    </row>
    <row r="940" spans="1:38">
      <c r="A940" t="s">
        <v>8542</v>
      </c>
      <c r="B940" t="s">
        <v>12265</v>
      </c>
      <c r="C940" t="s">
        <v>8420</v>
      </c>
      <c r="D940" t="s">
        <v>8421</v>
      </c>
      <c r="E940" s="2">
        <v>20000</v>
      </c>
      <c r="F940" s="2">
        <v>20000</v>
      </c>
      <c r="G940" s="3">
        <v>43346</v>
      </c>
      <c r="H940" s="4">
        <v>0.27534722222222002</v>
      </c>
      <c r="I940" s="3">
        <v>43346</v>
      </c>
      <c r="J940" s="4">
        <v>0.99998842592592996</v>
      </c>
      <c r="K940" s="2">
        <v>0</v>
      </c>
      <c r="L940" t="s">
        <v>5856</v>
      </c>
      <c r="M940" t="s">
        <v>8545</v>
      </c>
      <c r="N940" s="3">
        <v>43346</v>
      </c>
      <c r="O940" s="3">
        <v>43348</v>
      </c>
      <c r="P940" t="s">
        <v>6673</v>
      </c>
      <c r="Q940" t="s">
        <v>13337</v>
      </c>
      <c r="R940" t="s">
        <v>6036</v>
      </c>
      <c r="S940" s="3">
        <v>43349</v>
      </c>
      <c r="T940" t="s">
        <v>9938</v>
      </c>
      <c r="U940" t="s">
        <v>7537</v>
      </c>
      <c r="V940" t="s">
        <v>6067</v>
      </c>
      <c r="W940" t="s">
        <v>5857</v>
      </c>
      <c r="X940" s="2">
        <v>0</v>
      </c>
      <c r="Y940" t="s">
        <v>5858</v>
      </c>
      <c r="Z940" t="s">
        <v>6037</v>
      </c>
      <c r="AA940" s="2">
        <v>20000</v>
      </c>
      <c r="AB940" t="s">
        <v>5861</v>
      </c>
      <c r="AC940" t="s">
        <v>9979</v>
      </c>
      <c r="AD940" s="32"/>
      <c r="AJ940" t="s">
        <v>9958</v>
      </c>
      <c r="AL940" t="s">
        <v>11108</v>
      </c>
    </row>
    <row r="941" spans="1:38">
      <c r="A941" t="s">
        <v>8542</v>
      </c>
      <c r="B941" t="s">
        <v>12266</v>
      </c>
      <c r="C941" t="s">
        <v>8420</v>
      </c>
      <c r="D941" t="s">
        <v>8421</v>
      </c>
      <c r="E941" s="2">
        <v>20000</v>
      </c>
      <c r="F941" s="2">
        <v>20000</v>
      </c>
      <c r="G941" s="3">
        <v>43347</v>
      </c>
      <c r="H941" s="4">
        <v>0.27534722222222002</v>
      </c>
      <c r="I941" s="3">
        <v>43347</v>
      </c>
      <c r="J941" s="4">
        <v>0.99998842592592996</v>
      </c>
      <c r="K941" s="2">
        <v>0</v>
      </c>
      <c r="L941" t="s">
        <v>5856</v>
      </c>
      <c r="M941" t="s">
        <v>8545</v>
      </c>
      <c r="N941" s="3">
        <v>43346</v>
      </c>
      <c r="O941" s="3">
        <v>43349</v>
      </c>
      <c r="P941" t="s">
        <v>6673</v>
      </c>
      <c r="Q941" t="s">
        <v>8576</v>
      </c>
      <c r="R941" t="s">
        <v>6036</v>
      </c>
      <c r="S941" s="3">
        <v>43350</v>
      </c>
      <c r="T941" t="s">
        <v>9938</v>
      </c>
      <c r="U941" t="s">
        <v>7537</v>
      </c>
      <c r="V941" t="s">
        <v>6067</v>
      </c>
      <c r="W941" t="s">
        <v>5857</v>
      </c>
      <c r="X941" s="2">
        <v>0</v>
      </c>
      <c r="Y941" t="s">
        <v>5858</v>
      </c>
      <c r="Z941" t="s">
        <v>6037</v>
      </c>
      <c r="AA941" s="2">
        <v>20000</v>
      </c>
      <c r="AB941" t="s">
        <v>5861</v>
      </c>
      <c r="AC941" t="s">
        <v>9979</v>
      </c>
      <c r="AD941" s="32"/>
      <c r="AJ941" t="s">
        <v>9958</v>
      </c>
      <c r="AL941" t="s">
        <v>11109</v>
      </c>
    </row>
    <row r="942" spans="1:38">
      <c r="A942" t="s">
        <v>8542</v>
      </c>
      <c r="B942" t="s">
        <v>12267</v>
      </c>
      <c r="C942" t="s">
        <v>8420</v>
      </c>
      <c r="D942" t="s">
        <v>8421</v>
      </c>
      <c r="E942" s="2">
        <v>20000</v>
      </c>
      <c r="F942" s="2">
        <v>20000</v>
      </c>
      <c r="G942" s="3">
        <v>43348</v>
      </c>
      <c r="H942" s="4">
        <v>0.27534722222222002</v>
      </c>
      <c r="I942" s="3">
        <v>43348</v>
      </c>
      <c r="J942" s="4">
        <v>0.99998842592592996</v>
      </c>
      <c r="K942" s="2">
        <v>0</v>
      </c>
      <c r="L942" t="s">
        <v>5856</v>
      </c>
      <c r="M942" t="s">
        <v>8545</v>
      </c>
      <c r="N942" s="3">
        <v>43346</v>
      </c>
      <c r="O942" s="3">
        <v>43350</v>
      </c>
      <c r="P942" t="s">
        <v>6673</v>
      </c>
      <c r="Q942" t="s">
        <v>13338</v>
      </c>
      <c r="R942" t="s">
        <v>6036</v>
      </c>
      <c r="S942" s="3">
        <v>43351</v>
      </c>
      <c r="T942" t="s">
        <v>9938</v>
      </c>
      <c r="U942" t="s">
        <v>7537</v>
      </c>
      <c r="V942" t="s">
        <v>6067</v>
      </c>
      <c r="W942" t="s">
        <v>5857</v>
      </c>
      <c r="X942" s="2">
        <v>0</v>
      </c>
      <c r="Y942" t="s">
        <v>5858</v>
      </c>
      <c r="Z942" t="s">
        <v>6037</v>
      </c>
      <c r="AA942" s="2">
        <v>20000</v>
      </c>
      <c r="AB942" t="s">
        <v>5861</v>
      </c>
      <c r="AC942" t="s">
        <v>9979</v>
      </c>
      <c r="AD942" s="32"/>
      <c r="AJ942" t="s">
        <v>9958</v>
      </c>
      <c r="AL942" t="s">
        <v>11110</v>
      </c>
    </row>
    <row r="943" spans="1:38">
      <c r="A943" t="s">
        <v>8542</v>
      </c>
      <c r="B943" t="s">
        <v>12268</v>
      </c>
      <c r="C943" t="s">
        <v>8420</v>
      </c>
      <c r="D943" t="s">
        <v>8421</v>
      </c>
      <c r="E943" s="2">
        <v>20000</v>
      </c>
      <c r="F943" s="2">
        <v>20000</v>
      </c>
      <c r="G943" s="3">
        <v>43349</v>
      </c>
      <c r="H943" s="4">
        <v>0.27534722222222002</v>
      </c>
      <c r="I943" s="3">
        <v>43349</v>
      </c>
      <c r="J943" s="4">
        <v>0.99998842592592996</v>
      </c>
      <c r="K943" s="2">
        <v>0</v>
      </c>
      <c r="L943" t="s">
        <v>5856</v>
      </c>
      <c r="M943" t="s">
        <v>8545</v>
      </c>
      <c r="N943" s="3">
        <v>43346</v>
      </c>
      <c r="O943" s="3">
        <v>43351</v>
      </c>
      <c r="P943" t="s">
        <v>6673</v>
      </c>
      <c r="Q943" t="s">
        <v>13339</v>
      </c>
      <c r="R943" t="s">
        <v>6036</v>
      </c>
      <c r="S943" s="3">
        <v>43352</v>
      </c>
      <c r="T943" t="s">
        <v>9938</v>
      </c>
      <c r="U943" t="s">
        <v>7537</v>
      </c>
      <c r="V943" t="s">
        <v>6067</v>
      </c>
      <c r="W943" t="s">
        <v>5857</v>
      </c>
      <c r="X943" s="2">
        <v>0</v>
      </c>
      <c r="Y943" t="s">
        <v>5858</v>
      </c>
      <c r="Z943" t="s">
        <v>6037</v>
      </c>
      <c r="AA943" s="2">
        <v>20000</v>
      </c>
      <c r="AB943" t="s">
        <v>5861</v>
      </c>
      <c r="AC943" t="s">
        <v>9979</v>
      </c>
      <c r="AD943" s="32"/>
      <c r="AJ943" t="s">
        <v>9958</v>
      </c>
      <c r="AL943" t="s">
        <v>11111</v>
      </c>
    </row>
    <row r="944" spans="1:38">
      <c r="A944" t="s">
        <v>8542</v>
      </c>
      <c r="B944" t="s">
        <v>12269</v>
      </c>
      <c r="C944" t="s">
        <v>8420</v>
      </c>
      <c r="D944" t="s">
        <v>8421</v>
      </c>
      <c r="E944" s="2">
        <v>20000</v>
      </c>
      <c r="F944" s="2">
        <v>20000</v>
      </c>
      <c r="G944" s="3">
        <v>43352</v>
      </c>
      <c r="H944" s="4">
        <v>0.27534722222222002</v>
      </c>
      <c r="I944" s="3">
        <v>43352</v>
      </c>
      <c r="J944" s="4">
        <v>0.99998842592592996</v>
      </c>
      <c r="K944" s="2">
        <v>0</v>
      </c>
      <c r="L944" t="s">
        <v>5856</v>
      </c>
      <c r="M944" t="s">
        <v>8545</v>
      </c>
      <c r="N944" s="3">
        <v>43353</v>
      </c>
      <c r="O944" s="3">
        <v>43354</v>
      </c>
      <c r="P944" t="s">
        <v>6673</v>
      </c>
      <c r="Q944" t="s">
        <v>8581</v>
      </c>
      <c r="R944" t="s">
        <v>6036</v>
      </c>
      <c r="S944" s="3">
        <v>43356</v>
      </c>
      <c r="T944" t="s">
        <v>9938</v>
      </c>
      <c r="U944" t="s">
        <v>7537</v>
      </c>
      <c r="V944" t="s">
        <v>6067</v>
      </c>
      <c r="W944" t="s">
        <v>5857</v>
      </c>
      <c r="X944" s="2">
        <v>0</v>
      </c>
      <c r="Y944" t="s">
        <v>5858</v>
      </c>
      <c r="Z944" t="s">
        <v>6037</v>
      </c>
      <c r="AA944" s="2">
        <v>20000</v>
      </c>
      <c r="AB944" t="s">
        <v>5861</v>
      </c>
      <c r="AC944" t="s">
        <v>9979</v>
      </c>
      <c r="AD944" s="32"/>
      <c r="AJ944" t="s">
        <v>9958</v>
      </c>
      <c r="AL944" t="s">
        <v>11112</v>
      </c>
    </row>
    <row r="945" spans="1:38">
      <c r="A945" t="s">
        <v>8542</v>
      </c>
      <c r="B945" t="s">
        <v>12270</v>
      </c>
      <c r="C945" t="s">
        <v>8420</v>
      </c>
      <c r="D945" t="s">
        <v>8421</v>
      </c>
      <c r="E945" s="2">
        <v>20000</v>
      </c>
      <c r="F945" s="2">
        <v>20000</v>
      </c>
      <c r="G945" s="3">
        <v>43353</v>
      </c>
      <c r="H945" s="4">
        <v>0.27534722222222002</v>
      </c>
      <c r="I945" s="3">
        <v>43353</v>
      </c>
      <c r="J945" s="4">
        <v>0.99998842592592996</v>
      </c>
      <c r="K945" s="2">
        <v>0</v>
      </c>
      <c r="L945" t="s">
        <v>5856</v>
      </c>
      <c r="M945" t="s">
        <v>8545</v>
      </c>
      <c r="N945" s="3">
        <v>43353</v>
      </c>
      <c r="O945" s="3">
        <v>43355</v>
      </c>
      <c r="P945" t="s">
        <v>6673</v>
      </c>
      <c r="Q945" t="s">
        <v>13340</v>
      </c>
      <c r="R945" t="s">
        <v>6036</v>
      </c>
      <c r="S945" s="3">
        <v>43357</v>
      </c>
      <c r="T945" t="s">
        <v>9938</v>
      </c>
      <c r="U945" t="s">
        <v>7537</v>
      </c>
      <c r="V945" t="s">
        <v>6067</v>
      </c>
      <c r="W945" t="s">
        <v>5857</v>
      </c>
      <c r="X945" s="2">
        <v>0</v>
      </c>
      <c r="Y945" t="s">
        <v>5858</v>
      </c>
      <c r="Z945" t="s">
        <v>6037</v>
      </c>
      <c r="AA945" s="2">
        <v>20000</v>
      </c>
      <c r="AB945" t="s">
        <v>5861</v>
      </c>
      <c r="AC945" t="s">
        <v>9979</v>
      </c>
      <c r="AD945" s="32"/>
      <c r="AJ945" t="s">
        <v>9958</v>
      </c>
      <c r="AL945" t="s">
        <v>11113</v>
      </c>
    </row>
    <row r="946" spans="1:38">
      <c r="A946" t="s">
        <v>8542</v>
      </c>
      <c r="B946" t="s">
        <v>12271</v>
      </c>
      <c r="C946" t="s">
        <v>8420</v>
      </c>
      <c r="D946" t="s">
        <v>8421</v>
      </c>
      <c r="E946" s="2">
        <v>20000</v>
      </c>
      <c r="F946" s="2">
        <v>20000</v>
      </c>
      <c r="G946" s="3">
        <v>43354</v>
      </c>
      <c r="H946" s="4">
        <v>0.27534722222222002</v>
      </c>
      <c r="I946" s="3">
        <v>43354</v>
      </c>
      <c r="J946" s="4">
        <v>0.99998842592592996</v>
      </c>
      <c r="K946" s="2">
        <v>0</v>
      </c>
      <c r="L946" t="s">
        <v>5856</v>
      </c>
      <c r="M946" t="s">
        <v>8545</v>
      </c>
      <c r="N946" s="3">
        <v>43353</v>
      </c>
      <c r="O946" s="3">
        <v>43356</v>
      </c>
      <c r="P946" t="s">
        <v>6673</v>
      </c>
      <c r="Q946" t="s">
        <v>13341</v>
      </c>
      <c r="R946" t="s">
        <v>6036</v>
      </c>
      <c r="S946" s="3">
        <v>43368</v>
      </c>
      <c r="T946" t="s">
        <v>9938</v>
      </c>
      <c r="U946" t="s">
        <v>7537</v>
      </c>
      <c r="V946" t="s">
        <v>6067</v>
      </c>
      <c r="W946" t="s">
        <v>5857</v>
      </c>
      <c r="X946" s="2">
        <v>0</v>
      </c>
      <c r="Y946" t="s">
        <v>5858</v>
      </c>
      <c r="Z946" t="s">
        <v>6037</v>
      </c>
      <c r="AA946" s="2">
        <v>20000</v>
      </c>
      <c r="AB946" t="s">
        <v>5861</v>
      </c>
      <c r="AC946" t="s">
        <v>9979</v>
      </c>
      <c r="AD946" s="32"/>
      <c r="AJ946" t="s">
        <v>9958</v>
      </c>
      <c r="AL946" t="s">
        <v>11114</v>
      </c>
    </row>
    <row r="947" spans="1:38">
      <c r="A947" t="s">
        <v>8542</v>
      </c>
      <c r="B947" t="s">
        <v>12272</v>
      </c>
      <c r="C947" t="s">
        <v>8420</v>
      </c>
      <c r="D947" t="s">
        <v>8421</v>
      </c>
      <c r="E947" s="2">
        <v>20000</v>
      </c>
      <c r="F947" s="2">
        <v>20000</v>
      </c>
      <c r="G947" s="3">
        <v>43355</v>
      </c>
      <c r="H947" s="4">
        <v>0.27534722222222002</v>
      </c>
      <c r="I947" s="3">
        <v>43355</v>
      </c>
      <c r="J947" s="4">
        <v>0.99998842592592996</v>
      </c>
      <c r="K947" s="2">
        <v>0</v>
      </c>
      <c r="L947" t="s">
        <v>5856</v>
      </c>
      <c r="M947" t="s">
        <v>8545</v>
      </c>
      <c r="N947" s="3">
        <v>43353</v>
      </c>
      <c r="O947" s="3">
        <v>43357</v>
      </c>
      <c r="P947" t="s">
        <v>6673</v>
      </c>
      <c r="Q947" t="s">
        <v>8464</v>
      </c>
      <c r="R947" t="s">
        <v>6036</v>
      </c>
      <c r="S947" s="3">
        <v>43370</v>
      </c>
      <c r="T947" t="s">
        <v>9938</v>
      </c>
      <c r="U947" t="s">
        <v>7537</v>
      </c>
      <c r="V947" t="s">
        <v>6067</v>
      </c>
      <c r="W947" t="s">
        <v>5857</v>
      </c>
      <c r="X947" s="2">
        <v>0</v>
      </c>
      <c r="Y947" t="s">
        <v>5858</v>
      </c>
      <c r="Z947" t="s">
        <v>6037</v>
      </c>
      <c r="AA947" s="2">
        <v>20000</v>
      </c>
      <c r="AB947" t="s">
        <v>5861</v>
      </c>
      <c r="AC947" t="s">
        <v>9979</v>
      </c>
      <c r="AD947" s="32"/>
      <c r="AJ947" t="s">
        <v>9958</v>
      </c>
      <c r="AL947" t="s">
        <v>11115</v>
      </c>
    </row>
    <row r="948" spans="1:38">
      <c r="A948" t="s">
        <v>8542</v>
      </c>
      <c r="B948" t="s">
        <v>12273</v>
      </c>
      <c r="C948" t="s">
        <v>8420</v>
      </c>
      <c r="D948" t="s">
        <v>8421</v>
      </c>
      <c r="E948" s="2">
        <v>20000</v>
      </c>
      <c r="F948" s="2">
        <v>20000</v>
      </c>
      <c r="G948" s="3">
        <v>43356</v>
      </c>
      <c r="H948" s="4">
        <v>0.27534722222222002</v>
      </c>
      <c r="I948" s="3">
        <v>43356</v>
      </c>
      <c r="J948" s="4">
        <v>0.99998842592592996</v>
      </c>
      <c r="K948" s="2">
        <v>0</v>
      </c>
      <c r="L948" t="s">
        <v>5856</v>
      </c>
      <c r="M948" t="s">
        <v>8545</v>
      </c>
      <c r="N948" s="3">
        <v>43353</v>
      </c>
      <c r="O948" s="3">
        <v>43358</v>
      </c>
      <c r="P948" t="s">
        <v>6673</v>
      </c>
      <c r="Q948" t="s">
        <v>8572</v>
      </c>
      <c r="R948" t="s">
        <v>6036</v>
      </c>
      <c r="S948" s="3">
        <v>43371</v>
      </c>
      <c r="T948" t="s">
        <v>9938</v>
      </c>
      <c r="U948" t="s">
        <v>7537</v>
      </c>
      <c r="V948" t="s">
        <v>6067</v>
      </c>
      <c r="W948" t="s">
        <v>5857</v>
      </c>
      <c r="X948" s="2">
        <v>0</v>
      </c>
      <c r="Y948" t="s">
        <v>5858</v>
      </c>
      <c r="Z948" t="s">
        <v>6037</v>
      </c>
      <c r="AA948" s="2">
        <v>20000</v>
      </c>
      <c r="AB948" t="s">
        <v>5861</v>
      </c>
      <c r="AC948" t="s">
        <v>9979</v>
      </c>
      <c r="AD948" s="32"/>
      <c r="AJ948" t="s">
        <v>9958</v>
      </c>
      <c r="AL948" t="s">
        <v>11116</v>
      </c>
    </row>
    <row r="949" spans="1:38">
      <c r="A949" t="s">
        <v>8542</v>
      </c>
      <c r="B949" t="s">
        <v>12274</v>
      </c>
      <c r="C949" t="s">
        <v>8420</v>
      </c>
      <c r="D949" t="s">
        <v>8421</v>
      </c>
      <c r="E949" s="2">
        <v>20000</v>
      </c>
      <c r="F949" s="2">
        <v>20000</v>
      </c>
      <c r="G949" s="3">
        <v>43358</v>
      </c>
      <c r="H949" s="4">
        <v>0.27534722222222002</v>
      </c>
      <c r="I949" s="3">
        <v>43358</v>
      </c>
      <c r="J949" s="4">
        <v>0.99998842592592996</v>
      </c>
      <c r="K949" s="2">
        <v>0</v>
      </c>
      <c r="L949" t="s">
        <v>5856</v>
      </c>
      <c r="M949" t="s">
        <v>8545</v>
      </c>
      <c r="N949" s="3">
        <v>43360</v>
      </c>
      <c r="O949" s="3">
        <v>43360</v>
      </c>
      <c r="P949" t="s">
        <v>6673</v>
      </c>
      <c r="Q949" t="s">
        <v>6038</v>
      </c>
      <c r="R949" t="s">
        <v>6040</v>
      </c>
      <c r="S949" s="3">
        <v>43374</v>
      </c>
      <c r="T949" t="s">
        <v>9938</v>
      </c>
      <c r="U949" t="s">
        <v>7537</v>
      </c>
      <c r="V949" t="s">
        <v>6067</v>
      </c>
      <c r="W949" t="s">
        <v>5857</v>
      </c>
      <c r="X949" s="2">
        <v>0</v>
      </c>
      <c r="Y949" t="s">
        <v>5858</v>
      </c>
      <c r="Z949" t="s">
        <v>6037</v>
      </c>
      <c r="AA949" s="2">
        <v>20000</v>
      </c>
      <c r="AB949" t="s">
        <v>5861</v>
      </c>
      <c r="AC949" t="s">
        <v>9979</v>
      </c>
      <c r="AD949" s="32"/>
      <c r="AJ949" t="s">
        <v>9958</v>
      </c>
      <c r="AL949" t="s">
        <v>11117</v>
      </c>
    </row>
    <row r="950" spans="1:38">
      <c r="A950" t="s">
        <v>8542</v>
      </c>
      <c r="B950" t="s">
        <v>12275</v>
      </c>
      <c r="C950" t="s">
        <v>8420</v>
      </c>
      <c r="D950" t="s">
        <v>8421</v>
      </c>
      <c r="E950" s="2">
        <v>20000</v>
      </c>
      <c r="F950" s="2">
        <v>20000</v>
      </c>
      <c r="G950" s="3">
        <v>43358</v>
      </c>
      <c r="H950" s="4">
        <v>0.27534722222222002</v>
      </c>
      <c r="I950" s="3">
        <v>43358</v>
      </c>
      <c r="J950" s="4">
        <v>0.99998842592592996</v>
      </c>
      <c r="K950" s="2">
        <v>0</v>
      </c>
      <c r="L950" t="s">
        <v>5856</v>
      </c>
      <c r="M950" t="s">
        <v>8545</v>
      </c>
      <c r="N950" s="3">
        <v>43360</v>
      </c>
      <c r="O950" s="3">
        <v>43360</v>
      </c>
      <c r="P950" t="s">
        <v>6673</v>
      </c>
      <c r="Q950" t="s">
        <v>6038</v>
      </c>
      <c r="R950" t="s">
        <v>6040</v>
      </c>
      <c r="S950" s="3">
        <v>43374</v>
      </c>
      <c r="T950" t="s">
        <v>9938</v>
      </c>
      <c r="U950" t="s">
        <v>7537</v>
      </c>
      <c r="V950" t="s">
        <v>6067</v>
      </c>
      <c r="W950" t="s">
        <v>5857</v>
      </c>
      <c r="X950" s="2">
        <v>0</v>
      </c>
      <c r="Y950" t="s">
        <v>5858</v>
      </c>
      <c r="Z950" t="s">
        <v>6037</v>
      </c>
      <c r="AA950" s="2">
        <v>20000</v>
      </c>
      <c r="AB950" t="s">
        <v>5861</v>
      </c>
      <c r="AC950" t="s">
        <v>9979</v>
      </c>
      <c r="AD950" s="32"/>
      <c r="AJ950" t="s">
        <v>9958</v>
      </c>
      <c r="AL950" t="s">
        <v>11118</v>
      </c>
    </row>
    <row r="951" spans="1:38">
      <c r="A951" t="s">
        <v>8582</v>
      </c>
      <c r="B951" t="s">
        <v>12276</v>
      </c>
      <c r="C951" t="s">
        <v>8583</v>
      </c>
      <c r="D951" t="s">
        <v>8584</v>
      </c>
      <c r="E951" s="2">
        <v>450</v>
      </c>
      <c r="F951" s="2">
        <v>15450</v>
      </c>
      <c r="G951" s="3">
        <v>43280</v>
      </c>
      <c r="H951" s="4">
        <v>2.0833333333330002E-2</v>
      </c>
      <c r="I951" s="3">
        <v>43280</v>
      </c>
      <c r="J951" s="4">
        <v>0.58062499999999995</v>
      </c>
      <c r="K951" s="2">
        <v>0</v>
      </c>
      <c r="L951" t="s">
        <v>5856</v>
      </c>
      <c r="M951" t="s">
        <v>13342</v>
      </c>
      <c r="N951" s="3"/>
      <c r="O951" s="3">
        <v>43282</v>
      </c>
      <c r="P951" t="s">
        <v>8549</v>
      </c>
      <c r="Q951" t="s">
        <v>6038</v>
      </c>
      <c r="R951" t="s">
        <v>6039</v>
      </c>
      <c r="S951" s="3"/>
      <c r="T951" t="s">
        <v>9938</v>
      </c>
      <c r="U951" t="s">
        <v>8551</v>
      </c>
      <c r="V951" t="s">
        <v>5962</v>
      </c>
      <c r="W951" t="s">
        <v>5857</v>
      </c>
      <c r="X951" s="2">
        <v>1150</v>
      </c>
      <c r="Y951" t="s">
        <v>5858</v>
      </c>
      <c r="Z951" t="s">
        <v>6037</v>
      </c>
      <c r="AA951" s="2">
        <v>0</v>
      </c>
      <c r="AB951" t="s">
        <v>5859</v>
      </c>
      <c r="AC951" t="s">
        <v>9988</v>
      </c>
      <c r="AD951" s="32">
        <v>43272</v>
      </c>
      <c r="AJ951" t="s">
        <v>9958</v>
      </c>
      <c r="AL951" t="s">
        <v>14093</v>
      </c>
    </row>
    <row r="952" spans="1:38">
      <c r="A952" t="s">
        <v>8582</v>
      </c>
      <c r="B952" t="s">
        <v>12277</v>
      </c>
      <c r="C952" t="s">
        <v>8588</v>
      </c>
      <c r="D952" t="s">
        <v>8589</v>
      </c>
      <c r="E952" s="5">
        <v>10222.75</v>
      </c>
      <c r="F952" s="5">
        <v>10222.75</v>
      </c>
      <c r="G952" s="3">
        <v>43280</v>
      </c>
      <c r="H952" s="4">
        <v>0.99547453703704003</v>
      </c>
      <c r="I952" s="3">
        <v>43281</v>
      </c>
      <c r="J952" s="4">
        <v>0.36586805555556001</v>
      </c>
      <c r="K952" s="2">
        <v>4</v>
      </c>
      <c r="L952" t="s">
        <v>5856</v>
      </c>
      <c r="M952" t="s">
        <v>8590</v>
      </c>
      <c r="N952" s="3">
        <v>43285</v>
      </c>
      <c r="O952" s="3">
        <v>43283</v>
      </c>
      <c r="P952" t="s">
        <v>5862</v>
      </c>
      <c r="Q952" t="s">
        <v>8591</v>
      </c>
      <c r="R952" t="s">
        <v>6036</v>
      </c>
      <c r="S952" s="3">
        <v>43285</v>
      </c>
      <c r="T952" t="s">
        <v>9938</v>
      </c>
      <c r="U952" t="s">
        <v>8592</v>
      </c>
      <c r="V952" t="s">
        <v>8593</v>
      </c>
      <c r="W952" t="s">
        <v>5857</v>
      </c>
      <c r="X952" s="2">
        <v>1150</v>
      </c>
      <c r="Y952" t="s">
        <v>5858</v>
      </c>
      <c r="Z952" t="s">
        <v>6037</v>
      </c>
      <c r="AA952" s="2">
        <v>9925</v>
      </c>
      <c r="AB952" t="s">
        <v>5859</v>
      </c>
      <c r="AC952" t="s">
        <v>9974</v>
      </c>
      <c r="AD952" s="32">
        <v>43228</v>
      </c>
      <c r="AL952" t="s">
        <v>11119</v>
      </c>
    </row>
    <row r="953" spans="1:38">
      <c r="A953" t="s">
        <v>8582</v>
      </c>
      <c r="B953" t="s">
        <v>12280</v>
      </c>
      <c r="C953" t="s">
        <v>8583</v>
      </c>
      <c r="D953" t="s">
        <v>8584</v>
      </c>
      <c r="E953" s="2">
        <v>300</v>
      </c>
      <c r="F953" s="2">
        <v>10300</v>
      </c>
      <c r="G953" s="3">
        <v>43281</v>
      </c>
      <c r="H953" s="4">
        <v>0.38670138888889</v>
      </c>
      <c r="I953" s="3">
        <v>43281</v>
      </c>
      <c r="J953" s="4">
        <v>0.75988425925925995</v>
      </c>
      <c r="K953" s="2">
        <v>0</v>
      </c>
      <c r="L953" t="s">
        <v>5856</v>
      </c>
      <c r="M953" t="s">
        <v>8586</v>
      </c>
      <c r="N953" s="3">
        <v>43290</v>
      </c>
      <c r="O953" s="3">
        <v>43283</v>
      </c>
      <c r="P953" t="s">
        <v>8549</v>
      </c>
      <c r="Q953" t="s">
        <v>6038</v>
      </c>
      <c r="R953" t="s">
        <v>6040</v>
      </c>
      <c r="S953" s="3">
        <v>43288</v>
      </c>
      <c r="T953" t="s">
        <v>9938</v>
      </c>
      <c r="U953" t="s">
        <v>8551</v>
      </c>
      <c r="V953" t="s">
        <v>5962</v>
      </c>
      <c r="W953" t="s">
        <v>5857</v>
      </c>
      <c r="X953" s="2">
        <v>1150</v>
      </c>
      <c r="Y953" t="s">
        <v>5858</v>
      </c>
      <c r="Z953" t="s">
        <v>6037</v>
      </c>
      <c r="AA953" s="2">
        <v>300</v>
      </c>
      <c r="AB953" t="s">
        <v>5859</v>
      </c>
      <c r="AC953" t="s">
        <v>9988</v>
      </c>
      <c r="AD953" s="32">
        <v>43259</v>
      </c>
      <c r="AJ953" t="s">
        <v>9958</v>
      </c>
      <c r="AL953" t="s">
        <v>11121</v>
      </c>
    </row>
    <row r="954" spans="1:38">
      <c r="A954" t="s">
        <v>8582</v>
      </c>
      <c r="B954" t="s">
        <v>12281</v>
      </c>
      <c r="C954" t="s">
        <v>8583</v>
      </c>
      <c r="D954" t="s">
        <v>8584</v>
      </c>
      <c r="E954" s="2">
        <v>8625</v>
      </c>
      <c r="F954" s="2">
        <v>10300</v>
      </c>
      <c r="G954" s="3">
        <v>43281</v>
      </c>
      <c r="H954" s="4">
        <v>0.78071759259258999</v>
      </c>
      <c r="I954" s="3">
        <v>43282</v>
      </c>
      <c r="J954" s="4">
        <v>0.15390046296296001</v>
      </c>
      <c r="K954" s="2">
        <v>0</v>
      </c>
      <c r="L954" t="s">
        <v>5856</v>
      </c>
      <c r="M954" t="s">
        <v>8586</v>
      </c>
      <c r="N954" s="3">
        <v>43283</v>
      </c>
      <c r="O954" s="3">
        <v>43284</v>
      </c>
      <c r="P954" t="s">
        <v>8549</v>
      </c>
      <c r="Q954" t="s">
        <v>6038</v>
      </c>
      <c r="R954" t="s">
        <v>6040</v>
      </c>
      <c r="S954" s="3">
        <v>43288</v>
      </c>
      <c r="T954" t="s">
        <v>9938</v>
      </c>
      <c r="U954" t="s">
        <v>8551</v>
      </c>
      <c r="V954" t="s">
        <v>5962</v>
      </c>
      <c r="W954" t="s">
        <v>5857</v>
      </c>
      <c r="X954" s="2">
        <v>1150</v>
      </c>
      <c r="Y954" t="s">
        <v>5858</v>
      </c>
      <c r="Z954" t="s">
        <v>6037</v>
      </c>
      <c r="AA954" s="2">
        <v>8625</v>
      </c>
      <c r="AB954" t="s">
        <v>5859</v>
      </c>
      <c r="AC954" t="s">
        <v>9988</v>
      </c>
      <c r="AD954" s="32">
        <v>43259</v>
      </c>
      <c r="AJ954" t="s">
        <v>9958</v>
      </c>
      <c r="AL954" t="s">
        <v>11122</v>
      </c>
    </row>
    <row r="955" spans="1:38">
      <c r="A955" t="s">
        <v>8582</v>
      </c>
      <c r="B955" t="s">
        <v>12278</v>
      </c>
      <c r="C955" t="s">
        <v>8594</v>
      </c>
      <c r="D955" t="s">
        <v>8595</v>
      </c>
      <c r="E955" s="2">
        <v>5150</v>
      </c>
      <c r="F955" s="2">
        <v>5150</v>
      </c>
      <c r="G955" s="3">
        <v>43282</v>
      </c>
      <c r="H955" s="4">
        <v>0.18569444444444</v>
      </c>
      <c r="I955" s="3">
        <v>43282</v>
      </c>
      <c r="J955" s="4">
        <v>0.37229166666667002</v>
      </c>
      <c r="K955" s="2">
        <v>0</v>
      </c>
      <c r="L955" t="s">
        <v>5856</v>
      </c>
      <c r="M955" t="s">
        <v>8579</v>
      </c>
      <c r="N955" s="3">
        <v>43284</v>
      </c>
      <c r="O955" s="3">
        <v>43284</v>
      </c>
      <c r="P955" t="s">
        <v>6018</v>
      </c>
      <c r="Q955" t="s">
        <v>8596</v>
      </c>
      <c r="R955" t="s">
        <v>6036</v>
      </c>
      <c r="S955" s="3">
        <v>43284</v>
      </c>
      <c r="T955" t="s">
        <v>9938</v>
      </c>
      <c r="U955" t="s">
        <v>7228</v>
      </c>
      <c r="V955" t="s">
        <v>6041</v>
      </c>
      <c r="W955" t="s">
        <v>5857</v>
      </c>
      <c r="X955" s="2">
        <v>1150</v>
      </c>
      <c r="Y955" t="s">
        <v>5858</v>
      </c>
      <c r="Z955" t="s">
        <v>6037</v>
      </c>
      <c r="AA955" s="2">
        <v>5000</v>
      </c>
      <c r="AB955" t="s">
        <v>5859</v>
      </c>
      <c r="AC955" t="s">
        <v>9978</v>
      </c>
      <c r="AD955" s="32">
        <v>43262</v>
      </c>
      <c r="AI955" t="s">
        <v>9950</v>
      </c>
      <c r="AJ955" t="s">
        <v>9958</v>
      </c>
      <c r="AL955" t="s">
        <v>11120</v>
      </c>
    </row>
    <row r="956" spans="1:38">
      <c r="A956" t="s">
        <v>8582</v>
      </c>
      <c r="B956" t="s">
        <v>13343</v>
      </c>
      <c r="C956" t="s">
        <v>6770</v>
      </c>
      <c r="D956" t="s">
        <v>6771</v>
      </c>
      <c r="E956" s="2">
        <v>20600</v>
      </c>
      <c r="F956" s="2">
        <v>20600</v>
      </c>
      <c r="G956" s="3">
        <v>43282</v>
      </c>
      <c r="H956" s="4">
        <v>0.76542824074074001</v>
      </c>
      <c r="I956" s="3">
        <v>43283</v>
      </c>
      <c r="J956" s="4">
        <v>0.51180555555555995</v>
      </c>
      <c r="K956" s="2">
        <v>0</v>
      </c>
      <c r="L956" t="s">
        <v>5856</v>
      </c>
      <c r="M956" t="s">
        <v>8543</v>
      </c>
      <c r="N956" s="3"/>
      <c r="O956" s="3">
        <v>43285</v>
      </c>
      <c r="P956" t="s">
        <v>6018</v>
      </c>
      <c r="Q956" t="s">
        <v>9018</v>
      </c>
      <c r="R956" t="s">
        <v>6036</v>
      </c>
      <c r="S956" s="3">
        <v>43299</v>
      </c>
      <c r="T956" t="s">
        <v>9938</v>
      </c>
      <c r="U956" t="s">
        <v>6675</v>
      </c>
      <c r="V956" t="s">
        <v>6760</v>
      </c>
      <c r="W956" t="s">
        <v>5857</v>
      </c>
      <c r="X956" s="2">
        <v>1150</v>
      </c>
      <c r="Y956" t="s">
        <v>5858</v>
      </c>
      <c r="Z956" t="s">
        <v>6037</v>
      </c>
      <c r="AA956" s="2">
        <v>20000</v>
      </c>
      <c r="AB956" t="s">
        <v>5863</v>
      </c>
      <c r="AC956" t="s">
        <v>9979</v>
      </c>
      <c r="AD956" s="32">
        <v>43280</v>
      </c>
      <c r="AJ956" t="s">
        <v>9958</v>
      </c>
      <c r="AL956" t="s">
        <v>14094</v>
      </c>
    </row>
    <row r="957" spans="1:38">
      <c r="A957" t="s">
        <v>8582</v>
      </c>
      <c r="B957" t="s">
        <v>12294</v>
      </c>
      <c r="C957" t="s">
        <v>8620</v>
      </c>
      <c r="D957" t="s">
        <v>8621</v>
      </c>
      <c r="E957" s="2">
        <v>10815</v>
      </c>
      <c r="F957" s="2">
        <v>10815</v>
      </c>
      <c r="G957" s="3">
        <v>43283</v>
      </c>
      <c r="H957" s="4">
        <v>2.0833333333330002E-2</v>
      </c>
      <c r="I957" s="3">
        <v>43283</v>
      </c>
      <c r="J957" s="4">
        <v>0.41268518518518998</v>
      </c>
      <c r="K957" s="2">
        <v>20</v>
      </c>
      <c r="L957" t="s">
        <v>5856</v>
      </c>
      <c r="M957" t="s">
        <v>13344</v>
      </c>
      <c r="N957" s="3">
        <v>43297</v>
      </c>
      <c r="O957" s="3">
        <v>43285</v>
      </c>
      <c r="P957" t="s">
        <v>8622</v>
      </c>
      <c r="Q957" t="s">
        <v>8623</v>
      </c>
      <c r="R957" t="s">
        <v>6036</v>
      </c>
      <c r="S957" s="3">
        <v>43297</v>
      </c>
      <c r="T957" t="s">
        <v>9938</v>
      </c>
      <c r="U957" t="s">
        <v>7228</v>
      </c>
      <c r="V957" t="s">
        <v>8624</v>
      </c>
      <c r="W957" t="s">
        <v>5857</v>
      </c>
      <c r="X957" s="2">
        <v>1150</v>
      </c>
      <c r="Y957" t="s">
        <v>5858</v>
      </c>
      <c r="Z957" t="s">
        <v>6037</v>
      </c>
      <c r="AA957" s="2">
        <v>10500</v>
      </c>
      <c r="AB957" t="s">
        <v>5859</v>
      </c>
      <c r="AC957" t="s">
        <v>9978</v>
      </c>
      <c r="AD957" s="32">
        <v>43178</v>
      </c>
      <c r="AI957" t="s">
        <v>9950</v>
      </c>
      <c r="AJ957" t="s">
        <v>9958</v>
      </c>
      <c r="AL957" t="s">
        <v>14095</v>
      </c>
    </row>
    <row r="958" spans="1:38">
      <c r="A958" t="s">
        <v>8582</v>
      </c>
      <c r="B958" t="s">
        <v>13345</v>
      </c>
      <c r="C958" t="s">
        <v>8583</v>
      </c>
      <c r="D958" t="s">
        <v>8584</v>
      </c>
      <c r="E958" s="2">
        <v>20600</v>
      </c>
      <c r="F958" s="2">
        <v>20600</v>
      </c>
      <c r="G958" s="3">
        <v>43285</v>
      </c>
      <c r="H958" s="4">
        <v>2.0833333333330002E-2</v>
      </c>
      <c r="I958" s="3">
        <v>43285</v>
      </c>
      <c r="J958" s="4">
        <v>0.76721064814814999</v>
      </c>
      <c r="K958" s="2">
        <v>0</v>
      </c>
      <c r="L958" t="s">
        <v>5856</v>
      </c>
      <c r="M958" t="s">
        <v>8543</v>
      </c>
      <c r="N958" s="3"/>
      <c r="O958" s="3">
        <v>43287</v>
      </c>
      <c r="P958" t="s">
        <v>8549</v>
      </c>
      <c r="Q958" t="s">
        <v>13346</v>
      </c>
      <c r="R958" t="s">
        <v>6036</v>
      </c>
      <c r="S958" s="3">
        <v>43293</v>
      </c>
      <c r="T958" t="s">
        <v>9938</v>
      </c>
      <c r="U958" t="s">
        <v>8551</v>
      </c>
      <c r="V958" t="s">
        <v>5962</v>
      </c>
      <c r="W958" t="s">
        <v>5857</v>
      </c>
      <c r="X958" s="2">
        <v>1150</v>
      </c>
      <c r="Y958" t="s">
        <v>5858</v>
      </c>
      <c r="Z958" t="s">
        <v>6037</v>
      </c>
      <c r="AA958" s="2">
        <v>20000</v>
      </c>
      <c r="AB958" t="s">
        <v>5863</v>
      </c>
      <c r="AC958" t="s">
        <v>9988</v>
      </c>
      <c r="AD958" s="32">
        <v>43280</v>
      </c>
      <c r="AJ958" t="s">
        <v>9958</v>
      </c>
      <c r="AL958" t="s">
        <v>14096</v>
      </c>
    </row>
    <row r="959" spans="1:38">
      <c r="A959" t="s">
        <v>8582</v>
      </c>
      <c r="B959" t="s">
        <v>12431</v>
      </c>
      <c r="C959" t="s">
        <v>6770</v>
      </c>
      <c r="D959" t="s">
        <v>6771</v>
      </c>
      <c r="E959" s="2">
        <v>20600</v>
      </c>
      <c r="F959" s="2">
        <v>20600</v>
      </c>
      <c r="G959" s="3">
        <v>43286</v>
      </c>
      <c r="H959" s="4">
        <v>0.24975694444443999</v>
      </c>
      <c r="I959" s="3">
        <v>43286</v>
      </c>
      <c r="J959" s="4">
        <v>0.99613425925926002</v>
      </c>
      <c r="K959" s="2">
        <v>0</v>
      </c>
      <c r="L959" t="s">
        <v>5856</v>
      </c>
      <c r="M959" t="s">
        <v>8543</v>
      </c>
      <c r="N959" s="3">
        <v>43282</v>
      </c>
      <c r="O959" s="3">
        <v>43288</v>
      </c>
      <c r="P959" t="s">
        <v>6018</v>
      </c>
      <c r="Q959" t="s">
        <v>13347</v>
      </c>
      <c r="R959" t="s">
        <v>6036</v>
      </c>
      <c r="S959" s="3">
        <v>43300</v>
      </c>
      <c r="T959" t="s">
        <v>9938</v>
      </c>
      <c r="U959" t="s">
        <v>6675</v>
      </c>
      <c r="V959" t="s">
        <v>6760</v>
      </c>
      <c r="W959" t="s">
        <v>5857</v>
      </c>
      <c r="X959" s="2">
        <v>1150</v>
      </c>
      <c r="Y959" t="s">
        <v>5858</v>
      </c>
      <c r="Z959" t="s">
        <v>6037</v>
      </c>
      <c r="AA959" s="2">
        <v>20000</v>
      </c>
      <c r="AB959" t="s">
        <v>5863</v>
      </c>
      <c r="AC959" t="s">
        <v>9979</v>
      </c>
      <c r="AD959" s="32">
        <v>43272</v>
      </c>
      <c r="AJ959" t="s">
        <v>9958</v>
      </c>
      <c r="AL959" t="s">
        <v>14097</v>
      </c>
    </row>
    <row r="960" spans="1:38">
      <c r="A960" t="s">
        <v>8582</v>
      </c>
      <c r="B960" t="s">
        <v>12282</v>
      </c>
      <c r="C960" t="s">
        <v>8583</v>
      </c>
      <c r="D960" t="s">
        <v>8584</v>
      </c>
      <c r="E960" s="2">
        <v>300</v>
      </c>
      <c r="F960" s="2">
        <v>10300</v>
      </c>
      <c r="G960" s="3">
        <v>43287</v>
      </c>
      <c r="H960" s="4">
        <v>1.6967592592590001E-2</v>
      </c>
      <c r="I960" s="3">
        <v>43287</v>
      </c>
      <c r="J960" s="4">
        <v>0.39015046296296002</v>
      </c>
      <c r="K960" s="2">
        <v>0</v>
      </c>
      <c r="L960" t="s">
        <v>5856</v>
      </c>
      <c r="M960" t="s">
        <v>8586</v>
      </c>
      <c r="N960" s="3">
        <v>43283</v>
      </c>
      <c r="O960" s="3">
        <v>43289</v>
      </c>
      <c r="P960" t="s">
        <v>8549</v>
      </c>
      <c r="Q960" t="s">
        <v>13348</v>
      </c>
      <c r="R960" t="s">
        <v>6036</v>
      </c>
      <c r="S960" s="3">
        <v>43301</v>
      </c>
      <c r="T960" t="s">
        <v>9938</v>
      </c>
      <c r="U960" t="s">
        <v>8551</v>
      </c>
      <c r="V960" t="s">
        <v>5962</v>
      </c>
      <c r="W960" t="s">
        <v>5857</v>
      </c>
      <c r="X960" s="2">
        <v>1150</v>
      </c>
      <c r="Y960" t="s">
        <v>5858</v>
      </c>
      <c r="Z960" t="s">
        <v>6037</v>
      </c>
      <c r="AA960" s="2">
        <v>300</v>
      </c>
      <c r="AB960" t="s">
        <v>5859</v>
      </c>
      <c r="AC960" t="s">
        <v>9988</v>
      </c>
      <c r="AD960" s="32">
        <v>43259</v>
      </c>
      <c r="AJ960" t="s">
        <v>9958</v>
      </c>
      <c r="AL960" t="s">
        <v>11123</v>
      </c>
    </row>
    <row r="961" spans="1:38">
      <c r="A961" t="s">
        <v>8582</v>
      </c>
      <c r="B961" t="s">
        <v>12303</v>
      </c>
      <c r="C961" t="s">
        <v>8583</v>
      </c>
      <c r="D961" t="s">
        <v>8584</v>
      </c>
      <c r="E961" s="2">
        <v>10000</v>
      </c>
      <c r="F961" s="2">
        <v>10000</v>
      </c>
      <c r="G961" s="3">
        <v>43287</v>
      </c>
      <c r="H961" s="4">
        <v>0.4109837962963</v>
      </c>
      <c r="I961" s="3">
        <v>43287</v>
      </c>
      <c r="J961" s="4">
        <v>0.77329861111110998</v>
      </c>
      <c r="K961" s="2">
        <v>0</v>
      </c>
      <c r="L961" t="s">
        <v>5856</v>
      </c>
      <c r="M961" t="s">
        <v>8560</v>
      </c>
      <c r="N961" s="3">
        <v>43288</v>
      </c>
      <c r="O961" s="3">
        <v>43304</v>
      </c>
      <c r="P961" t="s">
        <v>8549</v>
      </c>
      <c r="Q961" t="s">
        <v>13348</v>
      </c>
      <c r="R961" t="s">
        <v>6036</v>
      </c>
      <c r="S961" s="3">
        <v>43301</v>
      </c>
      <c r="T961" t="s">
        <v>9938</v>
      </c>
      <c r="U961" t="s">
        <v>8551</v>
      </c>
      <c r="V961" t="s">
        <v>5962</v>
      </c>
      <c r="W961" t="s">
        <v>5857</v>
      </c>
      <c r="X961" s="2">
        <v>0</v>
      </c>
      <c r="Y961" t="s">
        <v>5858</v>
      </c>
      <c r="Z961" t="s">
        <v>6037</v>
      </c>
      <c r="AA961" s="2">
        <v>10000</v>
      </c>
      <c r="AB961" t="s">
        <v>5861</v>
      </c>
      <c r="AC961" t="s">
        <v>9988</v>
      </c>
      <c r="AD961" s="32"/>
      <c r="AJ961" t="s">
        <v>9958</v>
      </c>
      <c r="AL961" t="s">
        <v>11136</v>
      </c>
    </row>
    <row r="962" spans="1:38">
      <c r="A962" t="s">
        <v>8582</v>
      </c>
      <c r="B962" t="s">
        <v>12435</v>
      </c>
      <c r="C962" t="s">
        <v>8668</v>
      </c>
      <c r="D962" t="s">
        <v>8669</v>
      </c>
      <c r="E962" s="2">
        <v>2060</v>
      </c>
      <c r="F962" s="2">
        <v>2060</v>
      </c>
      <c r="G962" s="3">
        <v>43288</v>
      </c>
      <c r="H962" s="4">
        <v>2.0833333333330002E-2</v>
      </c>
      <c r="I962" s="3">
        <v>43288</v>
      </c>
      <c r="J962" s="4">
        <v>9.5474537037039994E-2</v>
      </c>
      <c r="K962" s="2">
        <v>20</v>
      </c>
      <c r="L962" t="s">
        <v>5856</v>
      </c>
      <c r="M962" t="s">
        <v>8569</v>
      </c>
      <c r="N962" s="3">
        <v>43293</v>
      </c>
      <c r="O962" s="3">
        <v>43290</v>
      </c>
      <c r="P962" t="s">
        <v>8549</v>
      </c>
      <c r="Q962" t="s">
        <v>8978</v>
      </c>
      <c r="R962" t="s">
        <v>6036</v>
      </c>
      <c r="S962" s="3">
        <v>43293</v>
      </c>
      <c r="T962" t="s">
        <v>9938</v>
      </c>
      <c r="U962" t="s">
        <v>8551</v>
      </c>
      <c r="V962" t="s">
        <v>8671</v>
      </c>
      <c r="W962" t="s">
        <v>5857</v>
      </c>
      <c r="X962" s="2">
        <v>1150</v>
      </c>
      <c r="Y962" t="s">
        <v>5858</v>
      </c>
      <c r="Z962" t="s">
        <v>6037</v>
      </c>
      <c r="AA962" s="2">
        <v>2000</v>
      </c>
      <c r="AB962" t="s">
        <v>5863</v>
      </c>
      <c r="AC962" t="s">
        <v>9987</v>
      </c>
      <c r="AD962" s="32">
        <v>43252</v>
      </c>
      <c r="AJ962" t="s">
        <v>9958</v>
      </c>
      <c r="AL962" t="s">
        <v>14098</v>
      </c>
    </row>
    <row r="963" spans="1:38">
      <c r="A963" t="s">
        <v>8582</v>
      </c>
      <c r="B963" t="s">
        <v>12436</v>
      </c>
      <c r="C963" t="s">
        <v>8611</v>
      </c>
      <c r="D963" t="s">
        <v>8612</v>
      </c>
      <c r="E963" s="2">
        <v>5150</v>
      </c>
      <c r="F963" s="2">
        <v>5150</v>
      </c>
      <c r="G963" s="3">
        <v>43288</v>
      </c>
      <c r="H963" s="4">
        <v>0.53960648148148005</v>
      </c>
      <c r="I963" s="3">
        <v>43288</v>
      </c>
      <c r="J963" s="4">
        <v>0.72620370370370002</v>
      </c>
      <c r="K963" s="2">
        <v>20</v>
      </c>
      <c r="L963" t="s">
        <v>5856</v>
      </c>
      <c r="M963" t="s">
        <v>8579</v>
      </c>
      <c r="N963" s="3">
        <v>43290</v>
      </c>
      <c r="O963" s="3">
        <v>43290</v>
      </c>
      <c r="P963" t="s">
        <v>8549</v>
      </c>
      <c r="Q963" t="s">
        <v>8979</v>
      </c>
      <c r="R963" t="s">
        <v>6036</v>
      </c>
      <c r="S963" s="3">
        <v>43290</v>
      </c>
      <c r="T963" t="s">
        <v>9938</v>
      </c>
      <c r="U963" t="s">
        <v>8551</v>
      </c>
      <c r="V963" t="s">
        <v>8614</v>
      </c>
      <c r="W963" t="s">
        <v>5857</v>
      </c>
      <c r="X963" s="2">
        <v>1150</v>
      </c>
      <c r="Y963" t="s">
        <v>5858</v>
      </c>
      <c r="Z963" t="s">
        <v>6037</v>
      </c>
      <c r="AA963" s="2">
        <v>5000</v>
      </c>
      <c r="AB963" t="s">
        <v>5859</v>
      </c>
      <c r="AC963" t="s">
        <v>9987</v>
      </c>
      <c r="AD963" s="32">
        <v>43202</v>
      </c>
      <c r="AJ963" t="s">
        <v>9958</v>
      </c>
      <c r="AL963" t="s">
        <v>14099</v>
      </c>
    </row>
    <row r="964" spans="1:38">
      <c r="A964" t="s">
        <v>8582</v>
      </c>
      <c r="B964" t="s">
        <v>12240</v>
      </c>
      <c r="C964" t="s">
        <v>6770</v>
      </c>
      <c r="D964" t="s">
        <v>6771</v>
      </c>
      <c r="E964" s="2">
        <v>20600</v>
      </c>
      <c r="F964" s="2">
        <v>20600</v>
      </c>
      <c r="G964" s="3">
        <v>43288</v>
      </c>
      <c r="H964" s="4">
        <v>0.84251157407406996</v>
      </c>
      <c r="I964" s="3">
        <v>43289</v>
      </c>
      <c r="J964" s="4">
        <v>0.58888888888889002</v>
      </c>
      <c r="K964" s="2">
        <v>0</v>
      </c>
      <c r="L964" t="s">
        <v>5856</v>
      </c>
      <c r="M964" t="s">
        <v>8543</v>
      </c>
      <c r="N964" s="3"/>
      <c r="O964" s="3">
        <v>43291</v>
      </c>
      <c r="P964" t="s">
        <v>6018</v>
      </c>
      <c r="Q964" t="s">
        <v>8625</v>
      </c>
      <c r="R964" t="s">
        <v>6036</v>
      </c>
      <c r="S964" s="3">
        <v>43300</v>
      </c>
      <c r="T964" t="s">
        <v>9938</v>
      </c>
      <c r="U964" t="s">
        <v>6675</v>
      </c>
      <c r="V964" t="s">
        <v>6760</v>
      </c>
      <c r="W964" t="s">
        <v>5857</v>
      </c>
      <c r="X964" s="2">
        <v>1150</v>
      </c>
      <c r="Y964" t="s">
        <v>5858</v>
      </c>
      <c r="Z964" t="s">
        <v>6037</v>
      </c>
      <c r="AA964" s="2">
        <v>20000</v>
      </c>
      <c r="AB964" t="s">
        <v>5859</v>
      </c>
      <c r="AC964" t="s">
        <v>9979</v>
      </c>
      <c r="AD964" s="32">
        <v>43272</v>
      </c>
      <c r="AJ964" t="s">
        <v>9958</v>
      </c>
      <c r="AL964" t="s">
        <v>14100</v>
      </c>
    </row>
    <row r="965" spans="1:38">
      <c r="A965" t="s">
        <v>8582</v>
      </c>
      <c r="B965" t="s">
        <v>12289</v>
      </c>
      <c r="C965" t="s">
        <v>8611</v>
      </c>
      <c r="D965" t="s">
        <v>8612</v>
      </c>
      <c r="E965" s="2">
        <v>10300</v>
      </c>
      <c r="F965" s="2">
        <v>10300</v>
      </c>
      <c r="G965" s="3">
        <v>43290</v>
      </c>
      <c r="H965" s="4">
        <v>2.0833333333330002E-2</v>
      </c>
      <c r="I965" s="3">
        <v>43290</v>
      </c>
      <c r="J965" s="4">
        <v>0.3940162037037</v>
      </c>
      <c r="K965" s="2">
        <v>20</v>
      </c>
      <c r="L965" t="s">
        <v>5856</v>
      </c>
      <c r="M965" t="s">
        <v>8586</v>
      </c>
      <c r="N965" s="3">
        <v>43293</v>
      </c>
      <c r="O965" s="3">
        <v>43292</v>
      </c>
      <c r="P965" t="s">
        <v>8549</v>
      </c>
      <c r="Q965" t="s">
        <v>8613</v>
      </c>
      <c r="R965" t="s">
        <v>6036</v>
      </c>
      <c r="S965" s="3">
        <v>43293</v>
      </c>
      <c r="T965" t="s">
        <v>9938</v>
      </c>
      <c r="U965" t="s">
        <v>8551</v>
      </c>
      <c r="V965" t="s">
        <v>8614</v>
      </c>
      <c r="W965" t="s">
        <v>5857</v>
      </c>
      <c r="X965" s="2">
        <v>1150</v>
      </c>
      <c r="Y965" t="s">
        <v>5858</v>
      </c>
      <c r="Z965" t="s">
        <v>6037</v>
      </c>
      <c r="AA965" s="2">
        <v>10000</v>
      </c>
      <c r="AB965" t="s">
        <v>5859</v>
      </c>
      <c r="AC965" t="s">
        <v>9987</v>
      </c>
      <c r="AD965" s="32">
        <v>43245</v>
      </c>
      <c r="AJ965" t="s">
        <v>9958</v>
      </c>
      <c r="AL965" t="s">
        <v>14101</v>
      </c>
    </row>
    <row r="966" spans="1:38">
      <c r="A966" t="s">
        <v>8582</v>
      </c>
      <c r="B966" t="s">
        <v>12288</v>
      </c>
      <c r="C966" t="s">
        <v>8607</v>
      </c>
      <c r="D966" t="s">
        <v>8608</v>
      </c>
      <c r="E966" s="2">
        <v>20600</v>
      </c>
      <c r="F966" s="2">
        <v>20600</v>
      </c>
      <c r="G966" s="3">
        <v>43295</v>
      </c>
      <c r="H966" s="4">
        <v>2.0821759259260001E-2</v>
      </c>
      <c r="I966" s="3">
        <v>43295</v>
      </c>
      <c r="J966" s="4">
        <v>0.76719907407406995</v>
      </c>
      <c r="K966" s="2">
        <v>20</v>
      </c>
      <c r="L966" t="s">
        <v>5856</v>
      </c>
      <c r="M966" t="s">
        <v>8543</v>
      </c>
      <c r="N966" s="3">
        <v>43290</v>
      </c>
      <c r="O966" s="3">
        <v>43297</v>
      </c>
      <c r="P966" t="s">
        <v>6018</v>
      </c>
      <c r="Q966" t="s">
        <v>8609</v>
      </c>
      <c r="R966" t="s">
        <v>6036</v>
      </c>
      <c r="S966" s="3">
        <v>43290</v>
      </c>
      <c r="T966" t="s">
        <v>9938</v>
      </c>
      <c r="U966" t="s">
        <v>7228</v>
      </c>
      <c r="V966" t="s">
        <v>8610</v>
      </c>
      <c r="W966" t="s">
        <v>5857</v>
      </c>
      <c r="X966" s="2">
        <v>1150</v>
      </c>
      <c r="Y966" t="s">
        <v>5858</v>
      </c>
      <c r="Z966" t="s">
        <v>6037</v>
      </c>
      <c r="AA966" s="2">
        <v>20000</v>
      </c>
      <c r="AB966" t="s">
        <v>5859</v>
      </c>
      <c r="AC966" t="s">
        <v>9978</v>
      </c>
      <c r="AD966" s="32">
        <v>43185</v>
      </c>
      <c r="AI966" t="s">
        <v>9955</v>
      </c>
      <c r="AJ966" t="s">
        <v>9958</v>
      </c>
      <c r="AL966" t="s">
        <v>14102</v>
      </c>
    </row>
    <row r="967" spans="1:38">
      <c r="A967" t="s">
        <v>8582</v>
      </c>
      <c r="B967" t="s">
        <v>12283</v>
      </c>
      <c r="C967" t="s">
        <v>6770</v>
      </c>
      <c r="D967" t="s">
        <v>6771</v>
      </c>
      <c r="E967" s="2">
        <v>20000</v>
      </c>
      <c r="F967" s="2">
        <v>20000</v>
      </c>
      <c r="G967" s="3">
        <v>43296</v>
      </c>
      <c r="H967" s="4">
        <v>0.18204861111111001</v>
      </c>
      <c r="I967" s="3">
        <v>43296</v>
      </c>
      <c r="J967" s="4">
        <v>0.90668981481481004</v>
      </c>
      <c r="K967" s="2">
        <v>0</v>
      </c>
      <c r="L967" t="s">
        <v>5856</v>
      </c>
      <c r="M967" t="s">
        <v>8545</v>
      </c>
      <c r="N967" s="3">
        <v>43290</v>
      </c>
      <c r="O967" s="3">
        <v>43298</v>
      </c>
      <c r="P967" t="s">
        <v>6018</v>
      </c>
      <c r="Q967" t="s">
        <v>13349</v>
      </c>
      <c r="R967" t="s">
        <v>6036</v>
      </c>
      <c r="S967" s="3">
        <v>43304</v>
      </c>
      <c r="T967" t="s">
        <v>9938</v>
      </c>
      <c r="U967" t="s">
        <v>6675</v>
      </c>
      <c r="V967" t="s">
        <v>6760</v>
      </c>
      <c r="W967" t="s">
        <v>5857</v>
      </c>
      <c r="X967" s="2">
        <v>1150</v>
      </c>
      <c r="Y967" t="s">
        <v>5858</v>
      </c>
      <c r="Z967" t="s">
        <v>6037</v>
      </c>
      <c r="AA967" s="2">
        <v>20000</v>
      </c>
      <c r="AB967" t="s">
        <v>5863</v>
      </c>
      <c r="AC967" t="s">
        <v>9979</v>
      </c>
      <c r="AD967" s="32">
        <v>43272</v>
      </c>
      <c r="AJ967" t="s">
        <v>9958</v>
      </c>
      <c r="AL967" t="s">
        <v>11124</v>
      </c>
    </row>
    <row r="968" spans="1:38">
      <c r="A968" t="s">
        <v>8582</v>
      </c>
      <c r="B968" t="s">
        <v>12284</v>
      </c>
      <c r="C968" t="s">
        <v>6098</v>
      </c>
      <c r="D968" t="s">
        <v>6017</v>
      </c>
      <c r="E968" s="2">
        <v>20600</v>
      </c>
      <c r="F968" s="2">
        <v>20600</v>
      </c>
      <c r="G968" s="3">
        <v>43296</v>
      </c>
      <c r="H968" s="4">
        <v>0.92752314814814996</v>
      </c>
      <c r="I968" s="3">
        <v>43297</v>
      </c>
      <c r="J968" s="4">
        <v>0.67390046296296002</v>
      </c>
      <c r="K968" s="2">
        <v>4</v>
      </c>
      <c r="L968" t="s">
        <v>5856</v>
      </c>
      <c r="M968" t="s">
        <v>8543</v>
      </c>
      <c r="N968" s="3"/>
      <c r="O968" s="3">
        <v>43299</v>
      </c>
      <c r="P968" t="s">
        <v>6018</v>
      </c>
      <c r="Q968" t="s">
        <v>6038</v>
      </c>
      <c r="R968" t="s">
        <v>6040</v>
      </c>
      <c r="S968" s="3">
        <v>43313</v>
      </c>
      <c r="T968" t="s">
        <v>9938</v>
      </c>
      <c r="U968" t="s">
        <v>5963</v>
      </c>
      <c r="V968" t="s">
        <v>6041</v>
      </c>
      <c r="W968" t="s">
        <v>5857</v>
      </c>
      <c r="X968" s="2">
        <v>1150</v>
      </c>
      <c r="Y968" t="s">
        <v>5858</v>
      </c>
      <c r="Z968" t="s">
        <v>6037</v>
      </c>
      <c r="AA968" s="2">
        <v>20600</v>
      </c>
      <c r="AB968" t="s">
        <v>5859</v>
      </c>
      <c r="AC968" t="s">
        <v>9979</v>
      </c>
      <c r="AD968" s="32">
        <v>43259</v>
      </c>
      <c r="AJ968" t="s">
        <v>9958</v>
      </c>
      <c r="AL968" t="s">
        <v>11125</v>
      </c>
    </row>
    <row r="969" spans="1:38">
      <c r="A969" t="s">
        <v>8582</v>
      </c>
      <c r="B969" t="s">
        <v>12286</v>
      </c>
      <c r="C969" t="s">
        <v>8603</v>
      </c>
      <c r="D969" t="s">
        <v>8604</v>
      </c>
      <c r="E969" s="2">
        <v>10000</v>
      </c>
      <c r="F969" s="2">
        <v>10000</v>
      </c>
      <c r="G969" s="3">
        <v>43297</v>
      </c>
      <c r="H969" s="4">
        <v>0.69473379629630005</v>
      </c>
      <c r="I969" s="3">
        <v>43298</v>
      </c>
      <c r="J969" s="4">
        <v>5.7048611111110002E-2</v>
      </c>
      <c r="K969" s="2">
        <v>0</v>
      </c>
      <c r="L969" t="s">
        <v>5856</v>
      </c>
      <c r="M969" t="s">
        <v>8560</v>
      </c>
      <c r="N969" s="3">
        <v>43301</v>
      </c>
      <c r="O969" s="3">
        <v>43300</v>
      </c>
      <c r="P969" t="s">
        <v>5971</v>
      </c>
      <c r="Q969" t="s">
        <v>8605</v>
      </c>
      <c r="R969" t="s">
        <v>6036</v>
      </c>
      <c r="S969" s="3">
        <v>43301</v>
      </c>
      <c r="T969" t="s">
        <v>9938</v>
      </c>
      <c r="U969" t="s">
        <v>5867</v>
      </c>
      <c r="V969" t="s">
        <v>6041</v>
      </c>
      <c r="W969" t="s">
        <v>5857</v>
      </c>
      <c r="X969" s="2">
        <v>1150</v>
      </c>
      <c r="Y969" t="s">
        <v>5858</v>
      </c>
      <c r="Z969" t="s">
        <v>6037</v>
      </c>
      <c r="AA969" s="2">
        <v>10000</v>
      </c>
      <c r="AB969" t="s">
        <v>5863</v>
      </c>
      <c r="AC969" t="s">
        <v>9974</v>
      </c>
      <c r="AD969" s="32">
        <v>43235</v>
      </c>
      <c r="AJ969" t="s">
        <v>9959</v>
      </c>
      <c r="AL969" t="s">
        <v>11126</v>
      </c>
    </row>
    <row r="970" spans="1:38">
      <c r="A970" t="s">
        <v>8582</v>
      </c>
      <c r="B970" t="s">
        <v>12287</v>
      </c>
      <c r="C970" t="s">
        <v>8603</v>
      </c>
      <c r="D970" t="s">
        <v>8604</v>
      </c>
      <c r="E970" s="2">
        <v>5150</v>
      </c>
      <c r="F970" s="2">
        <v>5150</v>
      </c>
      <c r="G970" s="3">
        <v>43298</v>
      </c>
      <c r="H970" s="4">
        <v>7.7881944444439993E-2</v>
      </c>
      <c r="I970" s="3">
        <v>43298</v>
      </c>
      <c r="J970" s="4">
        <v>0.26447916666666998</v>
      </c>
      <c r="K970" s="2">
        <v>20</v>
      </c>
      <c r="L970" t="s">
        <v>5856</v>
      </c>
      <c r="M970" t="s">
        <v>8579</v>
      </c>
      <c r="N970" s="3"/>
      <c r="O970" s="3">
        <v>43300</v>
      </c>
      <c r="P970" t="s">
        <v>5971</v>
      </c>
      <c r="Q970" t="s">
        <v>8606</v>
      </c>
      <c r="R970" t="s">
        <v>6036</v>
      </c>
      <c r="S970" s="3">
        <v>43300</v>
      </c>
      <c r="T970" t="s">
        <v>9938</v>
      </c>
      <c r="U970" t="s">
        <v>5867</v>
      </c>
      <c r="V970" t="s">
        <v>6041</v>
      </c>
      <c r="W970" t="s">
        <v>5857</v>
      </c>
      <c r="X970" s="2">
        <v>1150</v>
      </c>
      <c r="Y970" t="s">
        <v>5858</v>
      </c>
      <c r="Z970" t="s">
        <v>6037</v>
      </c>
      <c r="AA970" s="2">
        <v>5000</v>
      </c>
      <c r="AB970" t="s">
        <v>5863</v>
      </c>
      <c r="AC970" t="s">
        <v>9974</v>
      </c>
      <c r="AD970" s="32">
        <v>43277</v>
      </c>
      <c r="AJ970" t="s">
        <v>9959</v>
      </c>
      <c r="AL970" t="s">
        <v>11127</v>
      </c>
    </row>
    <row r="971" spans="1:38">
      <c r="A971" t="s">
        <v>8582</v>
      </c>
      <c r="B971" t="s">
        <v>12292</v>
      </c>
      <c r="C971" t="s">
        <v>8607</v>
      </c>
      <c r="D971" t="s">
        <v>8608</v>
      </c>
      <c r="E971" s="2">
        <v>5150</v>
      </c>
      <c r="F971" s="2">
        <v>5150</v>
      </c>
      <c r="G971" s="3">
        <v>43298</v>
      </c>
      <c r="H971" s="4">
        <v>0.28531250000000002</v>
      </c>
      <c r="I971" s="3">
        <v>43298</v>
      </c>
      <c r="J971" s="4">
        <v>0.47190972222222</v>
      </c>
      <c r="K971" s="2">
        <v>20</v>
      </c>
      <c r="L971" t="s">
        <v>5856</v>
      </c>
      <c r="M971" t="s">
        <v>8579</v>
      </c>
      <c r="N971" s="3">
        <v>43294</v>
      </c>
      <c r="O971" s="3">
        <v>43300</v>
      </c>
      <c r="P971" t="s">
        <v>6018</v>
      </c>
      <c r="Q971" t="s">
        <v>8616</v>
      </c>
      <c r="R971" t="s">
        <v>6036</v>
      </c>
      <c r="S971" s="3">
        <v>43294</v>
      </c>
      <c r="T971" t="s">
        <v>9938</v>
      </c>
      <c r="U971" t="s">
        <v>7228</v>
      </c>
      <c r="V971" t="s">
        <v>8610</v>
      </c>
      <c r="W971" t="s">
        <v>5857</v>
      </c>
      <c r="X971" s="2">
        <v>1150</v>
      </c>
      <c r="Y971" t="s">
        <v>5858</v>
      </c>
      <c r="Z971" t="s">
        <v>6037</v>
      </c>
      <c r="AA971" s="2">
        <v>5000</v>
      </c>
      <c r="AB971" t="s">
        <v>5859</v>
      </c>
      <c r="AC971" t="s">
        <v>9978</v>
      </c>
      <c r="AD971" s="32">
        <v>43254</v>
      </c>
      <c r="AI971" t="s">
        <v>9955</v>
      </c>
      <c r="AJ971" t="s">
        <v>9958</v>
      </c>
      <c r="AL971" t="s">
        <v>14103</v>
      </c>
    </row>
    <row r="972" spans="1:38">
      <c r="A972" t="s">
        <v>8582</v>
      </c>
      <c r="B972" t="s">
        <v>12295</v>
      </c>
      <c r="C972" t="s">
        <v>6770</v>
      </c>
      <c r="D972" t="s">
        <v>6771</v>
      </c>
      <c r="E972" s="2">
        <v>5600</v>
      </c>
      <c r="F972" s="2">
        <v>20600</v>
      </c>
      <c r="G972" s="3">
        <v>43299</v>
      </c>
      <c r="H972" s="4">
        <v>0.82505787037037004</v>
      </c>
      <c r="I972" s="3">
        <v>43300</v>
      </c>
      <c r="J972" s="4">
        <v>0.57143518518518999</v>
      </c>
      <c r="K972" s="2">
        <v>0</v>
      </c>
      <c r="L972" t="s">
        <v>5856</v>
      </c>
      <c r="M972" t="s">
        <v>8543</v>
      </c>
      <c r="N972" s="3"/>
      <c r="O972" s="3">
        <v>43302</v>
      </c>
      <c r="P972" t="s">
        <v>6018</v>
      </c>
      <c r="Q972" t="s">
        <v>8634</v>
      </c>
      <c r="R972" t="s">
        <v>6036</v>
      </c>
      <c r="S972" s="3">
        <v>43304</v>
      </c>
      <c r="T972" t="s">
        <v>9938</v>
      </c>
      <c r="U972" t="s">
        <v>6675</v>
      </c>
      <c r="V972" t="s">
        <v>6760</v>
      </c>
      <c r="W972" t="s">
        <v>5857</v>
      </c>
      <c r="X972" s="2">
        <v>1150</v>
      </c>
      <c r="Y972" t="s">
        <v>5858</v>
      </c>
      <c r="Z972" t="s">
        <v>6037</v>
      </c>
      <c r="AA972" s="2">
        <v>5000</v>
      </c>
      <c r="AB972" t="s">
        <v>5859</v>
      </c>
      <c r="AC972" t="s">
        <v>9979</v>
      </c>
      <c r="AD972" s="32">
        <v>43272</v>
      </c>
      <c r="AJ972" t="s">
        <v>9958</v>
      </c>
      <c r="AL972" t="s">
        <v>11128</v>
      </c>
    </row>
    <row r="973" spans="1:38">
      <c r="A973" t="s">
        <v>8582</v>
      </c>
      <c r="B973" t="s">
        <v>12296</v>
      </c>
      <c r="C973" t="s">
        <v>8626</v>
      </c>
      <c r="D973" t="s">
        <v>8627</v>
      </c>
      <c r="E973" s="2">
        <v>15450</v>
      </c>
      <c r="F973" s="2">
        <v>15450</v>
      </c>
      <c r="G973" s="3">
        <v>43300</v>
      </c>
      <c r="H973" s="4">
        <v>0.59226851851852003</v>
      </c>
      <c r="I973" s="3">
        <v>43301</v>
      </c>
      <c r="J973" s="4">
        <v>0.15204861111111001</v>
      </c>
      <c r="K973" s="2">
        <v>20</v>
      </c>
      <c r="L973" t="s">
        <v>5856</v>
      </c>
      <c r="M973" t="s">
        <v>8628</v>
      </c>
      <c r="N973" s="3">
        <v>43298</v>
      </c>
      <c r="O973" s="3">
        <v>43303</v>
      </c>
      <c r="P973" t="s">
        <v>6018</v>
      </c>
      <c r="Q973" t="s">
        <v>8629</v>
      </c>
      <c r="R973" t="s">
        <v>6036</v>
      </c>
      <c r="S973" s="3">
        <v>43298</v>
      </c>
      <c r="T973" t="s">
        <v>9938</v>
      </c>
      <c r="U973" t="s">
        <v>5963</v>
      </c>
      <c r="V973" t="s">
        <v>6066</v>
      </c>
      <c r="W973" t="s">
        <v>6478</v>
      </c>
      <c r="X973" s="2">
        <v>1150</v>
      </c>
      <c r="Y973" t="s">
        <v>5858</v>
      </c>
      <c r="Z973" t="s">
        <v>6037</v>
      </c>
      <c r="AA973" s="2">
        <v>15450</v>
      </c>
      <c r="AB973" t="s">
        <v>5859</v>
      </c>
      <c r="AC973" t="s">
        <v>9978</v>
      </c>
      <c r="AD973" s="32">
        <v>43140</v>
      </c>
      <c r="AJ973" t="s">
        <v>9958</v>
      </c>
      <c r="AL973" t="s">
        <v>11129</v>
      </c>
    </row>
    <row r="974" spans="1:38">
      <c r="A974" t="s">
        <v>8582</v>
      </c>
      <c r="B974" t="s">
        <v>12298</v>
      </c>
      <c r="C974" t="s">
        <v>6715</v>
      </c>
      <c r="D974" t="s">
        <v>6716</v>
      </c>
      <c r="E974" s="2">
        <v>12000</v>
      </c>
      <c r="F974" s="2">
        <v>12000</v>
      </c>
      <c r="G974" s="3">
        <v>43301</v>
      </c>
      <c r="H974" s="4">
        <v>0.17288194444443999</v>
      </c>
      <c r="I974" s="3">
        <v>43301</v>
      </c>
      <c r="J974" s="4">
        <v>0.60766203703704003</v>
      </c>
      <c r="K974" s="2">
        <v>55</v>
      </c>
      <c r="L974" t="s">
        <v>5856</v>
      </c>
      <c r="M974" t="s">
        <v>8631</v>
      </c>
      <c r="N974" s="3"/>
      <c r="O974" s="3">
        <v>43303</v>
      </c>
      <c r="P974" t="s">
        <v>6018</v>
      </c>
      <c r="Q974" t="s">
        <v>8632</v>
      </c>
      <c r="R974" t="s">
        <v>6036</v>
      </c>
      <c r="S974" s="3">
        <v>43305</v>
      </c>
      <c r="T974" t="s">
        <v>9938</v>
      </c>
      <c r="U974" t="s">
        <v>6714</v>
      </c>
      <c r="V974" t="s">
        <v>6717</v>
      </c>
      <c r="W974" t="s">
        <v>5857</v>
      </c>
      <c r="X974" s="2">
        <v>1150</v>
      </c>
      <c r="Y974" t="s">
        <v>5858</v>
      </c>
      <c r="Z974" t="s">
        <v>6037</v>
      </c>
      <c r="AA974" s="2">
        <v>12000</v>
      </c>
      <c r="AB974" t="s">
        <v>5863</v>
      </c>
      <c r="AC974" t="s">
        <v>9978</v>
      </c>
      <c r="AD974" s="32">
        <v>43263</v>
      </c>
      <c r="AJ974" t="s">
        <v>9958</v>
      </c>
      <c r="AL974" t="s">
        <v>11131</v>
      </c>
    </row>
    <row r="975" spans="1:38">
      <c r="A975" t="s">
        <v>8582</v>
      </c>
      <c r="B975" t="s">
        <v>12297</v>
      </c>
      <c r="C975" t="s">
        <v>8594</v>
      </c>
      <c r="D975" t="s">
        <v>8595</v>
      </c>
      <c r="E975" s="2">
        <v>5000</v>
      </c>
      <c r="F975" s="2">
        <v>5000</v>
      </c>
      <c r="G975" s="3">
        <v>43301</v>
      </c>
      <c r="H975" s="4">
        <v>0.62849537037036995</v>
      </c>
      <c r="I975" s="3">
        <v>43301</v>
      </c>
      <c r="J975" s="4">
        <v>0.80965277777778</v>
      </c>
      <c r="K975" s="2">
        <v>20</v>
      </c>
      <c r="L975" t="s">
        <v>5856</v>
      </c>
      <c r="M975" t="s">
        <v>8548</v>
      </c>
      <c r="N975" s="3">
        <v>43299</v>
      </c>
      <c r="O975" s="3">
        <v>43303</v>
      </c>
      <c r="P975" t="s">
        <v>6018</v>
      </c>
      <c r="Q975" t="s">
        <v>8630</v>
      </c>
      <c r="R975" t="s">
        <v>6036</v>
      </c>
      <c r="S975" s="3">
        <v>43299</v>
      </c>
      <c r="T975" t="s">
        <v>9938</v>
      </c>
      <c r="U975" t="s">
        <v>7228</v>
      </c>
      <c r="V975" t="s">
        <v>6041</v>
      </c>
      <c r="W975" t="s">
        <v>5857</v>
      </c>
      <c r="X975" s="2">
        <v>1150</v>
      </c>
      <c r="Y975" t="s">
        <v>5858</v>
      </c>
      <c r="Z975" t="s">
        <v>6037</v>
      </c>
      <c r="AA975" s="2">
        <v>5000</v>
      </c>
      <c r="AB975" t="s">
        <v>5863</v>
      </c>
      <c r="AC975" t="s">
        <v>9978</v>
      </c>
      <c r="AD975" s="32">
        <v>43255</v>
      </c>
      <c r="AI975" t="s">
        <v>9950</v>
      </c>
      <c r="AJ975" t="s">
        <v>9958</v>
      </c>
      <c r="AL975" t="s">
        <v>11130</v>
      </c>
    </row>
    <row r="976" spans="1:38">
      <c r="A976" t="s">
        <v>8582</v>
      </c>
      <c r="B976" t="s">
        <v>12315</v>
      </c>
      <c r="C976" t="s">
        <v>8583</v>
      </c>
      <c r="D976" t="s">
        <v>8584</v>
      </c>
      <c r="E976" s="2">
        <v>15000</v>
      </c>
      <c r="F976" s="2">
        <v>15000</v>
      </c>
      <c r="G976" s="3">
        <v>43302</v>
      </c>
      <c r="H976" s="4">
        <v>0.33141203703703997</v>
      </c>
      <c r="I976" s="3">
        <v>43302</v>
      </c>
      <c r="J976" s="4">
        <v>0.87489583333332999</v>
      </c>
      <c r="K976" s="2">
        <v>0</v>
      </c>
      <c r="L976" t="s">
        <v>5856</v>
      </c>
      <c r="M976" t="s">
        <v>8585</v>
      </c>
      <c r="N976" s="3">
        <v>43304</v>
      </c>
      <c r="O976" s="3">
        <v>43312</v>
      </c>
      <c r="P976" t="s">
        <v>8549</v>
      </c>
      <c r="Q976" t="s">
        <v>13350</v>
      </c>
      <c r="R976" t="s">
        <v>6036</v>
      </c>
      <c r="S976" s="3">
        <v>43304</v>
      </c>
      <c r="T976" t="s">
        <v>9938</v>
      </c>
      <c r="U976" t="s">
        <v>8551</v>
      </c>
      <c r="V976" t="s">
        <v>5962</v>
      </c>
      <c r="W976" t="s">
        <v>5857</v>
      </c>
      <c r="X976" s="2">
        <v>0</v>
      </c>
      <c r="Y976" t="s">
        <v>5858</v>
      </c>
      <c r="Z976" t="s">
        <v>6037</v>
      </c>
      <c r="AA976" s="2">
        <v>15000</v>
      </c>
      <c r="AB976" t="s">
        <v>5861</v>
      </c>
      <c r="AC976" t="s">
        <v>9988</v>
      </c>
      <c r="AD976" s="32"/>
      <c r="AJ976" t="s">
        <v>9958</v>
      </c>
      <c r="AL976" t="s">
        <v>11148</v>
      </c>
    </row>
    <row r="977" spans="1:38">
      <c r="A977" t="s">
        <v>8582</v>
      </c>
      <c r="B977" t="s">
        <v>12299</v>
      </c>
      <c r="C977" t="s">
        <v>8607</v>
      </c>
      <c r="D977" t="s">
        <v>8608</v>
      </c>
      <c r="E977" s="2">
        <v>5000</v>
      </c>
      <c r="F977" s="2">
        <v>5000</v>
      </c>
      <c r="G977" s="3">
        <v>43303</v>
      </c>
      <c r="H977" s="4">
        <v>0.35134259259258999</v>
      </c>
      <c r="I977" s="3">
        <v>43303</v>
      </c>
      <c r="J977" s="4">
        <v>0.53249999999999997</v>
      </c>
      <c r="K977" s="2">
        <v>20</v>
      </c>
      <c r="L977" t="s">
        <v>5856</v>
      </c>
      <c r="M977" t="s">
        <v>8548</v>
      </c>
      <c r="N977" s="3">
        <v>43305</v>
      </c>
      <c r="O977" s="3">
        <v>43305</v>
      </c>
      <c r="P977" t="s">
        <v>6018</v>
      </c>
      <c r="Q977" t="s">
        <v>8633</v>
      </c>
      <c r="R977" t="s">
        <v>6036</v>
      </c>
      <c r="S977" s="3">
        <v>43305</v>
      </c>
      <c r="T977" t="s">
        <v>9938</v>
      </c>
      <c r="U977" t="s">
        <v>7228</v>
      </c>
      <c r="V977" t="s">
        <v>8610</v>
      </c>
      <c r="W977" t="s">
        <v>5857</v>
      </c>
      <c r="X977" s="2">
        <v>1150</v>
      </c>
      <c r="Y977" t="s">
        <v>5858</v>
      </c>
      <c r="Z977" t="s">
        <v>6037</v>
      </c>
      <c r="AA977" s="2">
        <v>5000</v>
      </c>
      <c r="AB977" t="s">
        <v>5863</v>
      </c>
      <c r="AC977" t="s">
        <v>9978</v>
      </c>
      <c r="AD977" s="32">
        <v>43263</v>
      </c>
      <c r="AI977" t="s">
        <v>9955</v>
      </c>
      <c r="AJ977" t="s">
        <v>9958</v>
      </c>
      <c r="AL977" t="s">
        <v>11132</v>
      </c>
    </row>
    <row r="978" spans="1:38">
      <c r="A978" t="s">
        <v>8582</v>
      </c>
      <c r="B978" t="s">
        <v>12300</v>
      </c>
      <c r="C978" t="s">
        <v>6770</v>
      </c>
      <c r="D978" t="s">
        <v>6771</v>
      </c>
      <c r="E978" s="2">
        <v>20600</v>
      </c>
      <c r="F978" s="2">
        <v>20600</v>
      </c>
      <c r="G978" s="3">
        <v>43304</v>
      </c>
      <c r="H978" s="4">
        <v>2.0833333333330002E-2</v>
      </c>
      <c r="I978" s="3">
        <v>43304</v>
      </c>
      <c r="J978" s="4">
        <v>0.76721064814814999</v>
      </c>
      <c r="K978" s="2">
        <v>0</v>
      </c>
      <c r="L978" t="s">
        <v>5856</v>
      </c>
      <c r="M978" t="s">
        <v>8543</v>
      </c>
      <c r="N978" s="3"/>
      <c r="O978" s="3">
        <v>43306</v>
      </c>
      <c r="P978" t="s">
        <v>6018</v>
      </c>
      <c r="Q978" t="s">
        <v>8556</v>
      </c>
      <c r="R978" t="s">
        <v>6036</v>
      </c>
      <c r="S978" s="3">
        <v>43305</v>
      </c>
      <c r="T978" t="s">
        <v>9938</v>
      </c>
      <c r="U978" t="s">
        <v>6675</v>
      </c>
      <c r="V978" t="s">
        <v>6760</v>
      </c>
      <c r="W978" t="s">
        <v>5857</v>
      </c>
      <c r="X978" s="2">
        <v>1150</v>
      </c>
      <c r="Y978" t="s">
        <v>5858</v>
      </c>
      <c r="Z978" t="s">
        <v>6037</v>
      </c>
      <c r="AA978" s="2">
        <v>20000</v>
      </c>
      <c r="AB978" t="s">
        <v>5859</v>
      </c>
      <c r="AC978" t="s">
        <v>9979</v>
      </c>
      <c r="AD978" s="32">
        <v>43272</v>
      </c>
      <c r="AJ978" t="s">
        <v>9958</v>
      </c>
      <c r="AL978" t="s">
        <v>11133</v>
      </c>
    </row>
    <row r="979" spans="1:38">
      <c r="A979" t="s">
        <v>8582</v>
      </c>
      <c r="B979" t="s">
        <v>12304</v>
      </c>
      <c r="C979" t="s">
        <v>6770</v>
      </c>
      <c r="D979" t="s">
        <v>6771</v>
      </c>
      <c r="E979" s="2">
        <v>20600</v>
      </c>
      <c r="F979" s="2">
        <v>20600</v>
      </c>
      <c r="G979" s="3">
        <v>43305</v>
      </c>
      <c r="H979" s="4">
        <v>2.0833333333330002E-2</v>
      </c>
      <c r="I979" s="3">
        <v>43305</v>
      </c>
      <c r="J979" s="4">
        <v>0.76721064814814999</v>
      </c>
      <c r="K979" s="2">
        <v>0</v>
      </c>
      <c r="L979" t="s">
        <v>5856</v>
      </c>
      <c r="M979" t="s">
        <v>8543</v>
      </c>
      <c r="N979" s="3"/>
      <c r="O979" s="3">
        <v>43307</v>
      </c>
      <c r="P979" t="s">
        <v>6018</v>
      </c>
      <c r="Q979" t="s">
        <v>13351</v>
      </c>
      <c r="R979" t="s">
        <v>6036</v>
      </c>
      <c r="S979" s="3">
        <v>43307</v>
      </c>
      <c r="T979" t="s">
        <v>9938</v>
      </c>
      <c r="U979" t="s">
        <v>6675</v>
      </c>
      <c r="V979" t="s">
        <v>6760</v>
      </c>
      <c r="W979" t="s">
        <v>5857</v>
      </c>
      <c r="X979" s="2">
        <v>1150</v>
      </c>
      <c r="Y979" t="s">
        <v>5858</v>
      </c>
      <c r="Z979" t="s">
        <v>6037</v>
      </c>
      <c r="AA979" s="2">
        <v>20000</v>
      </c>
      <c r="AB979" t="s">
        <v>5859</v>
      </c>
      <c r="AC979" t="s">
        <v>9979</v>
      </c>
      <c r="AD979" s="32">
        <v>43272</v>
      </c>
      <c r="AJ979" t="s">
        <v>9958</v>
      </c>
      <c r="AL979" t="s">
        <v>11137</v>
      </c>
    </row>
    <row r="980" spans="1:38">
      <c r="A980" t="s">
        <v>8582</v>
      </c>
      <c r="B980" t="s">
        <v>12301</v>
      </c>
      <c r="C980" t="s">
        <v>6719</v>
      </c>
      <c r="D980" t="s">
        <v>6720</v>
      </c>
      <c r="E980" s="2">
        <v>5000</v>
      </c>
      <c r="F980" s="2">
        <v>5000</v>
      </c>
      <c r="G980" s="3">
        <v>43305</v>
      </c>
      <c r="H980" s="4">
        <v>0.78804398148148003</v>
      </c>
      <c r="I980" s="3">
        <v>43305</v>
      </c>
      <c r="J980" s="4">
        <v>0.96920138888888996</v>
      </c>
      <c r="K980" s="2">
        <v>20</v>
      </c>
      <c r="L980" t="s">
        <v>5856</v>
      </c>
      <c r="M980" t="s">
        <v>8548</v>
      </c>
      <c r="N980" s="3">
        <v>43307</v>
      </c>
      <c r="O980" s="3">
        <v>43307</v>
      </c>
      <c r="P980" t="s">
        <v>5990</v>
      </c>
      <c r="Q980" t="s">
        <v>8635</v>
      </c>
      <c r="R980" t="s">
        <v>6036</v>
      </c>
      <c r="S980" s="3">
        <v>43307</v>
      </c>
      <c r="T980" t="s">
        <v>9938</v>
      </c>
      <c r="U980" t="s">
        <v>5963</v>
      </c>
      <c r="V980" t="s">
        <v>6721</v>
      </c>
      <c r="W980" t="s">
        <v>5857</v>
      </c>
      <c r="X980" s="2">
        <v>1150</v>
      </c>
      <c r="Y980" t="s">
        <v>5858</v>
      </c>
      <c r="Z980" t="s">
        <v>6037</v>
      </c>
      <c r="AA980" s="2">
        <v>5000</v>
      </c>
      <c r="AB980" t="s">
        <v>5863</v>
      </c>
      <c r="AC980" t="s">
        <v>9978</v>
      </c>
      <c r="AD980" s="32">
        <v>43230</v>
      </c>
      <c r="AJ980" t="s">
        <v>9958</v>
      </c>
      <c r="AL980" t="s">
        <v>11134</v>
      </c>
    </row>
    <row r="981" spans="1:38">
      <c r="A981" t="s">
        <v>8582</v>
      </c>
      <c r="B981" t="s">
        <v>12302</v>
      </c>
      <c r="C981" t="s">
        <v>8636</v>
      </c>
      <c r="D981" t="s">
        <v>8637</v>
      </c>
      <c r="E981" s="2">
        <v>6000</v>
      </c>
      <c r="F981" s="2">
        <v>6000</v>
      </c>
      <c r="G981" s="3">
        <v>43305</v>
      </c>
      <c r="H981" s="4">
        <v>0.99003472222222</v>
      </c>
      <c r="I981" s="3">
        <v>43306</v>
      </c>
      <c r="J981" s="4">
        <v>0.20743055555556</v>
      </c>
      <c r="K981" s="2">
        <v>20</v>
      </c>
      <c r="L981" t="s">
        <v>5856</v>
      </c>
      <c r="M981" t="s">
        <v>8638</v>
      </c>
      <c r="N981" s="3">
        <v>43307</v>
      </c>
      <c r="O981" s="3">
        <v>43308</v>
      </c>
      <c r="P981" t="s">
        <v>5862</v>
      </c>
      <c r="Q981" t="s">
        <v>8639</v>
      </c>
      <c r="R981" t="s">
        <v>6036</v>
      </c>
      <c r="S981" s="3">
        <v>43307</v>
      </c>
      <c r="T981" t="s">
        <v>9938</v>
      </c>
      <c r="U981" t="s">
        <v>5963</v>
      </c>
      <c r="V981" t="s">
        <v>8640</v>
      </c>
      <c r="W981" t="s">
        <v>5857</v>
      </c>
      <c r="X981" s="2">
        <v>1150</v>
      </c>
      <c r="Y981" t="s">
        <v>5858</v>
      </c>
      <c r="Z981" t="s">
        <v>6037</v>
      </c>
      <c r="AA981" s="2">
        <v>6000</v>
      </c>
      <c r="AB981" t="s">
        <v>5863</v>
      </c>
      <c r="AC981" t="s">
        <v>9978</v>
      </c>
      <c r="AD981" s="32">
        <v>43256</v>
      </c>
      <c r="AJ981" t="s">
        <v>9958</v>
      </c>
      <c r="AL981" t="s">
        <v>11135</v>
      </c>
    </row>
    <row r="982" spans="1:38">
      <c r="A982" t="s">
        <v>8582</v>
      </c>
      <c r="B982" t="s">
        <v>12314</v>
      </c>
      <c r="C982" t="s">
        <v>8583</v>
      </c>
      <c r="D982" t="s">
        <v>8584</v>
      </c>
      <c r="E982" s="2">
        <v>10000</v>
      </c>
      <c r="F982" s="2">
        <v>10000</v>
      </c>
      <c r="G982" s="3">
        <v>43306</v>
      </c>
      <c r="H982" s="4">
        <v>0.24909722222222</v>
      </c>
      <c r="I982" s="3">
        <v>43306</v>
      </c>
      <c r="J982" s="4">
        <v>0.61141203703703995</v>
      </c>
      <c r="K982" s="2">
        <v>0</v>
      </c>
      <c r="L982" t="s">
        <v>5856</v>
      </c>
      <c r="M982" t="s">
        <v>8560</v>
      </c>
      <c r="N982" s="3">
        <v>43307</v>
      </c>
      <c r="O982" s="3">
        <v>43311</v>
      </c>
      <c r="P982" t="s">
        <v>8549</v>
      </c>
      <c r="Q982" t="s">
        <v>13348</v>
      </c>
      <c r="R982" t="s">
        <v>6036</v>
      </c>
      <c r="S982" s="3">
        <v>43301</v>
      </c>
      <c r="T982" t="s">
        <v>9938</v>
      </c>
      <c r="U982" t="s">
        <v>8551</v>
      </c>
      <c r="V982" t="s">
        <v>5962</v>
      </c>
      <c r="W982" t="s">
        <v>5857</v>
      </c>
      <c r="X982" s="2">
        <v>0</v>
      </c>
      <c r="Y982" t="s">
        <v>5858</v>
      </c>
      <c r="Z982" t="s">
        <v>6037</v>
      </c>
      <c r="AA982" s="2">
        <v>10000</v>
      </c>
      <c r="AB982" t="s">
        <v>5861</v>
      </c>
      <c r="AC982" t="s">
        <v>9988</v>
      </c>
      <c r="AD982" s="32"/>
      <c r="AJ982" t="s">
        <v>9958</v>
      </c>
      <c r="AL982" t="s">
        <v>11147</v>
      </c>
    </row>
    <row r="983" spans="1:38">
      <c r="A983" t="s">
        <v>8582</v>
      </c>
      <c r="B983" t="s">
        <v>12305</v>
      </c>
      <c r="C983" t="s">
        <v>6770</v>
      </c>
      <c r="D983" t="s">
        <v>6771</v>
      </c>
      <c r="E983" s="2">
        <v>20600</v>
      </c>
      <c r="F983" s="2">
        <v>20600</v>
      </c>
      <c r="G983" s="3">
        <v>43306</v>
      </c>
      <c r="H983" s="4">
        <v>0.63224537037036999</v>
      </c>
      <c r="I983" s="3">
        <v>43307</v>
      </c>
      <c r="J983" s="4">
        <v>0.37862268518518999</v>
      </c>
      <c r="K983" s="2">
        <v>0</v>
      </c>
      <c r="L983" t="s">
        <v>5856</v>
      </c>
      <c r="M983" t="s">
        <v>8543</v>
      </c>
      <c r="N983" s="3"/>
      <c r="O983" s="3">
        <v>43309</v>
      </c>
      <c r="P983" t="s">
        <v>6018</v>
      </c>
      <c r="Q983" t="s">
        <v>13219</v>
      </c>
      <c r="R983" t="s">
        <v>6036</v>
      </c>
      <c r="S983" s="3">
        <v>43307</v>
      </c>
      <c r="T983" t="s">
        <v>9938</v>
      </c>
      <c r="U983" t="s">
        <v>6675</v>
      </c>
      <c r="V983" t="s">
        <v>6760</v>
      </c>
      <c r="W983" t="s">
        <v>5857</v>
      </c>
      <c r="X983" s="2">
        <v>1150</v>
      </c>
      <c r="Y983" t="s">
        <v>5858</v>
      </c>
      <c r="Z983" t="s">
        <v>6037</v>
      </c>
      <c r="AA983" s="2">
        <v>20000</v>
      </c>
      <c r="AB983" t="s">
        <v>5859</v>
      </c>
      <c r="AC983" t="s">
        <v>9979</v>
      </c>
      <c r="AD983" s="32">
        <v>43272</v>
      </c>
      <c r="AJ983" t="s">
        <v>9958</v>
      </c>
      <c r="AL983" t="s">
        <v>11138</v>
      </c>
    </row>
    <row r="984" spans="1:38">
      <c r="A984" t="s">
        <v>8582</v>
      </c>
      <c r="B984" t="s">
        <v>12306</v>
      </c>
      <c r="C984" t="s">
        <v>7275</v>
      </c>
      <c r="D984" t="s">
        <v>7276</v>
      </c>
      <c r="E984" s="2">
        <v>10000</v>
      </c>
      <c r="F984" s="2">
        <v>10000</v>
      </c>
      <c r="G984" s="3">
        <v>43307</v>
      </c>
      <c r="H984" s="4">
        <v>0.39945601851851997</v>
      </c>
      <c r="I984" s="3">
        <v>43307</v>
      </c>
      <c r="J984" s="4">
        <v>0.76177083333332996</v>
      </c>
      <c r="K984" s="2">
        <v>20</v>
      </c>
      <c r="L984" t="s">
        <v>5856</v>
      </c>
      <c r="M984" t="s">
        <v>8560</v>
      </c>
      <c r="N984" s="3">
        <v>43307</v>
      </c>
      <c r="O984" s="3">
        <v>43309</v>
      </c>
      <c r="P984" t="s">
        <v>6018</v>
      </c>
      <c r="Q984" t="s">
        <v>8641</v>
      </c>
      <c r="R984" t="s">
        <v>6036</v>
      </c>
      <c r="S984" s="3">
        <v>43307</v>
      </c>
      <c r="T984" t="s">
        <v>9938</v>
      </c>
      <c r="U984" t="s">
        <v>5963</v>
      </c>
      <c r="V984" t="s">
        <v>6066</v>
      </c>
      <c r="W984" t="s">
        <v>5857</v>
      </c>
      <c r="X984" s="2">
        <v>1150</v>
      </c>
      <c r="Y984" t="s">
        <v>5858</v>
      </c>
      <c r="Z984" t="s">
        <v>6037</v>
      </c>
      <c r="AA984" s="2">
        <v>10000</v>
      </c>
      <c r="AB984" t="s">
        <v>5863</v>
      </c>
      <c r="AC984" t="s">
        <v>9978</v>
      </c>
      <c r="AD984" s="32">
        <v>43265</v>
      </c>
      <c r="AJ984" t="s">
        <v>9958</v>
      </c>
      <c r="AL984" t="s">
        <v>11139</v>
      </c>
    </row>
    <row r="985" spans="1:38">
      <c r="A985" t="s">
        <v>8582</v>
      </c>
      <c r="B985" t="s">
        <v>12307</v>
      </c>
      <c r="C985" t="s">
        <v>6099</v>
      </c>
      <c r="D985" t="s">
        <v>6019</v>
      </c>
      <c r="E985" s="2">
        <v>5000</v>
      </c>
      <c r="F985" s="2">
        <v>5000</v>
      </c>
      <c r="G985" s="3">
        <v>43307</v>
      </c>
      <c r="H985" s="4">
        <v>0.78260416666666999</v>
      </c>
      <c r="I985" s="3">
        <v>43307</v>
      </c>
      <c r="J985" s="4">
        <v>0.96376157407407004</v>
      </c>
      <c r="K985" s="2">
        <v>20</v>
      </c>
      <c r="L985" t="s">
        <v>5856</v>
      </c>
      <c r="M985" t="s">
        <v>8548</v>
      </c>
      <c r="N985" s="3">
        <v>43307</v>
      </c>
      <c r="O985" s="3">
        <v>43309</v>
      </c>
      <c r="P985" t="s">
        <v>5971</v>
      </c>
      <c r="Q985" t="s">
        <v>8642</v>
      </c>
      <c r="R985" t="s">
        <v>6036</v>
      </c>
      <c r="S985" s="3">
        <v>43307</v>
      </c>
      <c r="T985" t="s">
        <v>9938</v>
      </c>
      <c r="U985" t="s">
        <v>5935</v>
      </c>
      <c r="V985" t="s">
        <v>6041</v>
      </c>
      <c r="W985" t="s">
        <v>5857</v>
      </c>
      <c r="X985" s="2">
        <v>1150</v>
      </c>
      <c r="Y985" t="s">
        <v>5858</v>
      </c>
      <c r="Z985" t="s">
        <v>6037</v>
      </c>
      <c r="AA985" s="2">
        <v>5000</v>
      </c>
      <c r="AB985" t="s">
        <v>5863</v>
      </c>
      <c r="AC985" t="s">
        <v>9974</v>
      </c>
      <c r="AD985" s="32">
        <v>43242</v>
      </c>
      <c r="AJ985" t="s">
        <v>9959</v>
      </c>
      <c r="AL985" t="s">
        <v>11140</v>
      </c>
    </row>
    <row r="986" spans="1:38">
      <c r="A986" t="s">
        <v>8582</v>
      </c>
      <c r="B986" t="s">
        <v>12308</v>
      </c>
      <c r="C986" t="s">
        <v>6869</v>
      </c>
      <c r="D986" t="s">
        <v>6870</v>
      </c>
      <c r="E986" s="2">
        <v>20000</v>
      </c>
      <c r="F986" s="2">
        <v>20000</v>
      </c>
      <c r="G986" s="3">
        <v>43307</v>
      </c>
      <c r="H986" s="4">
        <v>0.98459490740740996</v>
      </c>
      <c r="I986" s="3">
        <v>43308</v>
      </c>
      <c r="J986" s="4">
        <v>0.70923611111110996</v>
      </c>
      <c r="K986" s="2">
        <v>20</v>
      </c>
      <c r="L986" t="s">
        <v>5856</v>
      </c>
      <c r="M986" t="s">
        <v>8545</v>
      </c>
      <c r="N986" s="3">
        <v>43307</v>
      </c>
      <c r="O986" s="3">
        <v>43310</v>
      </c>
      <c r="P986" t="s">
        <v>5971</v>
      </c>
      <c r="Q986" t="s">
        <v>8643</v>
      </c>
      <c r="R986" t="s">
        <v>6036</v>
      </c>
      <c r="S986" s="3">
        <v>43307</v>
      </c>
      <c r="T986" t="s">
        <v>9938</v>
      </c>
      <c r="U986" t="s">
        <v>6872</v>
      </c>
      <c r="V986" t="s">
        <v>6041</v>
      </c>
      <c r="W986" t="s">
        <v>5857</v>
      </c>
      <c r="X986" s="2">
        <v>1150</v>
      </c>
      <c r="Y986" t="s">
        <v>5858</v>
      </c>
      <c r="Z986" t="s">
        <v>6037</v>
      </c>
      <c r="AA986" s="2">
        <v>20000</v>
      </c>
      <c r="AB986" t="s">
        <v>5863</v>
      </c>
      <c r="AC986" t="s">
        <v>9974</v>
      </c>
      <c r="AD986" s="32">
        <v>43249</v>
      </c>
      <c r="AJ986" t="s">
        <v>9959</v>
      </c>
      <c r="AL986" t="s">
        <v>11141</v>
      </c>
    </row>
    <row r="987" spans="1:38">
      <c r="A987" t="s">
        <v>8582</v>
      </c>
      <c r="B987" t="s">
        <v>12309</v>
      </c>
      <c r="C987" t="s">
        <v>6719</v>
      </c>
      <c r="D987" t="s">
        <v>6720</v>
      </c>
      <c r="E987" s="2">
        <v>10000</v>
      </c>
      <c r="F987" s="2">
        <v>10000</v>
      </c>
      <c r="G987" s="3">
        <v>43308</v>
      </c>
      <c r="H987" s="4">
        <v>0.73006944444444</v>
      </c>
      <c r="I987" s="3">
        <v>43309</v>
      </c>
      <c r="J987" s="4">
        <v>9.2384259259259999E-2</v>
      </c>
      <c r="K987" s="2">
        <v>20</v>
      </c>
      <c r="L987" t="s">
        <v>5856</v>
      </c>
      <c r="M987" t="s">
        <v>8560</v>
      </c>
      <c r="N987" s="3">
        <v>43308</v>
      </c>
      <c r="O987" s="3">
        <v>43311</v>
      </c>
      <c r="P987" t="s">
        <v>5990</v>
      </c>
      <c r="Q987" t="s">
        <v>8644</v>
      </c>
      <c r="R987" t="s">
        <v>6036</v>
      </c>
      <c r="S987" s="3">
        <v>43308</v>
      </c>
      <c r="T987" t="s">
        <v>9938</v>
      </c>
      <c r="U987" t="s">
        <v>5963</v>
      </c>
      <c r="V987" t="s">
        <v>6721</v>
      </c>
      <c r="W987" t="s">
        <v>5857</v>
      </c>
      <c r="X987" s="2">
        <v>1150</v>
      </c>
      <c r="Y987" t="s">
        <v>5858</v>
      </c>
      <c r="Z987" t="s">
        <v>6037</v>
      </c>
      <c r="AA987" s="2">
        <v>10000</v>
      </c>
      <c r="AB987" t="s">
        <v>5863</v>
      </c>
      <c r="AC987" t="s">
        <v>9978</v>
      </c>
      <c r="AD987" s="32">
        <v>43209</v>
      </c>
      <c r="AJ987" t="s">
        <v>9958</v>
      </c>
      <c r="AL987" t="s">
        <v>11142</v>
      </c>
    </row>
    <row r="988" spans="1:38">
      <c r="A988" t="s">
        <v>8582</v>
      </c>
      <c r="B988" t="s">
        <v>12310</v>
      </c>
      <c r="C988" t="s">
        <v>7257</v>
      </c>
      <c r="D988" t="s">
        <v>7258</v>
      </c>
      <c r="E988" s="2">
        <v>20000</v>
      </c>
      <c r="F988" s="2">
        <v>20000</v>
      </c>
      <c r="G988" s="3">
        <v>43309</v>
      </c>
      <c r="H988" s="4">
        <v>0.11321759259259</v>
      </c>
      <c r="I988" s="3">
        <v>43309</v>
      </c>
      <c r="J988" s="4">
        <v>0.8378587962963</v>
      </c>
      <c r="K988" s="2">
        <v>20</v>
      </c>
      <c r="L988" t="s">
        <v>5856</v>
      </c>
      <c r="M988" t="s">
        <v>8545</v>
      </c>
      <c r="N988" s="3">
        <v>43314</v>
      </c>
      <c r="O988" s="3">
        <v>43311</v>
      </c>
      <c r="P988" t="s">
        <v>6018</v>
      </c>
      <c r="Q988" t="s">
        <v>8645</v>
      </c>
      <c r="R988" t="s">
        <v>6036</v>
      </c>
      <c r="S988" s="3">
        <v>43314</v>
      </c>
      <c r="T988" t="s">
        <v>9938</v>
      </c>
      <c r="U988" t="s">
        <v>5963</v>
      </c>
      <c r="V988" t="s">
        <v>7259</v>
      </c>
      <c r="W988" t="s">
        <v>5857</v>
      </c>
      <c r="X988" s="2">
        <v>1150</v>
      </c>
      <c r="Y988" t="s">
        <v>5858</v>
      </c>
      <c r="Z988" t="s">
        <v>6037</v>
      </c>
      <c r="AA988" s="2">
        <v>20000</v>
      </c>
      <c r="AB988" t="s">
        <v>5863</v>
      </c>
      <c r="AC988" t="s">
        <v>9978</v>
      </c>
      <c r="AD988" s="32">
        <v>43251</v>
      </c>
      <c r="AJ988" t="s">
        <v>9958</v>
      </c>
      <c r="AL988" t="s">
        <v>11143</v>
      </c>
    </row>
    <row r="989" spans="1:38">
      <c r="A989" t="s">
        <v>8582</v>
      </c>
      <c r="B989" t="s">
        <v>12311</v>
      </c>
      <c r="C989" t="s">
        <v>8646</v>
      </c>
      <c r="D989" t="s">
        <v>8647</v>
      </c>
      <c r="E989" s="2">
        <v>10000</v>
      </c>
      <c r="F989" s="2">
        <v>10000</v>
      </c>
      <c r="G989" s="3">
        <v>43309</v>
      </c>
      <c r="H989" s="4">
        <v>0.85869212962963004</v>
      </c>
      <c r="I989" s="3">
        <v>43310</v>
      </c>
      <c r="J989" s="4">
        <v>0.22100694444444</v>
      </c>
      <c r="K989" s="2">
        <v>20</v>
      </c>
      <c r="L989" t="s">
        <v>5856</v>
      </c>
      <c r="M989" t="s">
        <v>8560</v>
      </c>
      <c r="N989" s="3">
        <v>43311</v>
      </c>
      <c r="O989" s="3">
        <v>43312</v>
      </c>
      <c r="P989" t="s">
        <v>8549</v>
      </c>
      <c r="Q989" t="s">
        <v>8648</v>
      </c>
      <c r="R989" t="s">
        <v>6036</v>
      </c>
      <c r="S989" s="3">
        <v>43311</v>
      </c>
      <c r="T989" t="s">
        <v>9938</v>
      </c>
      <c r="U989" t="s">
        <v>8551</v>
      </c>
      <c r="V989" t="s">
        <v>8649</v>
      </c>
      <c r="W989" t="s">
        <v>5857</v>
      </c>
      <c r="X989" s="2">
        <v>1150</v>
      </c>
      <c r="Y989" t="s">
        <v>5858</v>
      </c>
      <c r="Z989" t="s">
        <v>6037</v>
      </c>
      <c r="AA989" s="2">
        <v>10000</v>
      </c>
      <c r="AB989" t="s">
        <v>5863</v>
      </c>
      <c r="AC989" t="s">
        <v>9987</v>
      </c>
      <c r="AD989" s="32">
        <v>43192</v>
      </c>
      <c r="AJ989" t="s">
        <v>9958</v>
      </c>
      <c r="AL989" t="s">
        <v>11144</v>
      </c>
    </row>
    <row r="990" spans="1:38">
      <c r="A990" t="s">
        <v>8582</v>
      </c>
      <c r="B990" t="s">
        <v>12312</v>
      </c>
      <c r="C990" t="s">
        <v>7257</v>
      </c>
      <c r="D990" t="s">
        <v>7258</v>
      </c>
      <c r="E990" s="2">
        <v>20000</v>
      </c>
      <c r="F990" s="2">
        <v>20000</v>
      </c>
      <c r="G990" s="3">
        <v>43310</v>
      </c>
      <c r="H990" s="4">
        <v>0.24184027777778</v>
      </c>
      <c r="I990" s="3">
        <v>43310</v>
      </c>
      <c r="J990" s="4">
        <v>0.96648148148148005</v>
      </c>
      <c r="K990" s="2">
        <v>20</v>
      </c>
      <c r="L990" t="s">
        <v>5856</v>
      </c>
      <c r="M990" t="s">
        <v>8545</v>
      </c>
      <c r="N990" s="3">
        <v>43311</v>
      </c>
      <c r="O990" s="3">
        <v>43312</v>
      </c>
      <c r="P990" t="s">
        <v>6018</v>
      </c>
      <c r="Q990" t="s">
        <v>8650</v>
      </c>
      <c r="R990" t="s">
        <v>6036</v>
      </c>
      <c r="S990" s="3">
        <v>43311</v>
      </c>
      <c r="T990" t="s">
        <v>9938</v>
      </c>
      <c r="U990" t="s">
        <v>5963</v>
      </c>
      <c r="V990" t="s">
        <v>7259</v>
      </c>
      <c r="W990" t="s">
        <v>5857</v>
      </c>
      <c r="X990" s="2">
        <v>1150</v>
      </c>
      <c r="Y990" t="s">
        <v>5858</v>
      </c>
      <c r="Z990" t="s">
        <v>6037</v>
      </c>
      <c r="AA990" s="2">
        <v>20000</v>
      </c>
      <c r="AB990" t="s">
        <v>5863</v>
      </c>
      <c r="AC990" t="s">
        <v>9978</v>
      </c>
      <c r="AD990" s="32">
        <v>43251</v>
      </c>
      <c r="AJ990" t="s">
        <v>9958</v>
      </c>
      <c r="AL990" t="s">
        <v>11145</v>
      </c>
    </row>
    <row r="991" spans="1:38">
      <c r="A991" t="s">
        <v>8582</v>
      </c>
      <c r="B991" t="s">
        <v>12313</v>
      </c>
      <c r="C991" t="s">
        <v>6869</v>
      </c>
      <c r="D991" t="s">
        <v>6870</v>
      </c>
      <c r="E991" s="2">
        <v>20000</v>
      </c>
      <c r="F991" s="2">
        <v>20000</v>
      </c>
      <c r="G991" s="3">
        <v>43310</v>
      </c>
      <c r="H991" s="4">
        <v>0.98731481481480998</v>
      </c>
      <c r="I991" s="3">
        <v>43311</v>
      </c>
      <c r="J991" s="4">
        <v>0.71195601851851997</v>
      </c>
      <c r="K991" s="2">
        <v>20</v>
      </c>
      <c r="L991" t="s">
        <v>5856</v>
      </c>
      <c r="M991" t="s">
        <v>8545</v>
      </c>
      <c r="N991" s="3">
        <v>43312</v>
      </c>
      <c r="O991" s="3">
        <v>43313</v>
      </c>
      <c r="P991" t="s">
        <v>5971</v>
      </c>
      <c r="Q991" t="s">
        <v>8651</v>
      </c>
      <c r="R991" t="s">
        <v>6036</v>
      </c>
      <c r="S991" s="3">
        <v>43312</v>
      </c>
      <c r="T991" t="s">
        <v>9938</v>
      </c>
      <c r="U991" t="s">
        <v>6872</v>
      </c>
      <c r="V991" t="s">
        <v>6041</v>
      </c>
      <c r="W991" t="s">
        <v>5857</v>
      </c>
      <c r="X991" s="2">
        <v>1150</v>
      </c>
      <c r="Y991" t="s">
        <v>5858</v>
      </c>
      <c r="Z991" t="s">
        <v>6037</v>
      </c>
      <c r="AA991" s="2">
        <v>20000</v>
      </c>
      <c r="AB991" t="s">
        <v>5863</v>
      </c>
      <c r="AC991" t="s">
        <v>9974</v>
      </c>
      <c r="AD991" s="32">
        <v>43249</v>
      </c>
      <c r="AJ991" t="s">
        <v>9959</v>
      </c>
      <c r="AL991" t="s">
        <v>11146</v>
      </c>
    </row>
    <row r="992" spans="1:38">
      <c r="A992" t="s">
        <v>8582</v>
      </c>
      <c r="B992" t="s">
        <v>13352</v>
      </c>
      <c r="C992" t="s">
        <v>8583</v>
      </c>
      <c r="D992" t="s">
        <v>8584</v>
      </c>
      <c r="E992" s="2">
        <v>20600</v>
      </c>
      <c r="F992" s="2">
        <v>20600</v>
      </c>
      <c r="G992" s="3">
        <v>43311</v>
      </c>
      <c r="H992" s="4">
        <v>0.73278935185185001</v>
      </c>
      <c r="I992" s="3">
        <v>43312</v>
      </c>
      <c r="J992" s="4">
        <v>0.47916666666667002</v>
      </c>
      <c r="K992" s="2">
        <v>0</v>
      </c>
      <c r="L992" t="s">
        <v>5856</v>
      </c>
      <c r="M992" t="s">
        <v>8543</v>
      </c>
      <c r="N992" s="3">
        <v>43313</v>
      </c>
      <c r="O992" s="3">
        <v>43314</v>
      </c>
      <c r="P992" t="s">
        <v>8549</v>
      </c>
      <c r="Q992" t="s">
        <v>6038</v>
      </c>
      <c r="R992" t="s">
        <v>6040</v>
      </c>
      <c r="S992" s="3">
        <v>43313</v>
      </c>
      <c r="T992" t="s">
        <v>9938</v>
      </c>
      <c r="U992" t="s">
        <v>8551</v>
      </c>
      <c r="V992" t="s">
        <v>5962</v>
      </c>
      <c r="W992" t="s">
        <v>5857</v>
      </c>
      <c r="X992" s="2">
        <v>0</v>
      </c>
      <c r="Y992" t="s">
        <v>5858</v>
      </c>
      <c r="Z992" t="s">
        <v>6037</v>
      </c>
      <c r="AA992" s="2">
        <v>20000</v>
      </c>
      <c r="AB992" t="s">
        <v>5861</v>
      </c>
      <c r="AC992" t="s">
        <v>9988</v>
      </c>
      <c r="AD992" s="32"/>
      <c r="AJ992" t="s">
        <v>9958</v>
      </c>
      <c r="AL992" t="s">
        <v>14104</v>
      </c>
    </row>
    <row r="993" spans="1:38">
      <c r="A993" t="s">
        <v>8582</v>
      </c>
      <c r="B993" t="s">
        <v>12316</v>
      </c>
      <c r="C993" t="s">
        <v>6099</v>
      </c>
      <c r="D993" t="s">
        <v>6019</v>
      </c>
      <c r="E993" s="2">
        <v>12000</v>
      </c>
      <c r="F993" s="2">
        <v>12000</v>
      </c>
      <c r="G993" s="3">
        <v>43312</v>
      </c>
      <c r="H993" s="4">
        <v>0.5</v>
      </c>
      <c r="I993" s="3">
        <v>43312</v>
      </c>
      <c r="J993" s="4">
        <v>0.93478009259258998</v>
      </c>
      <c r="K993" s="2">
        <v>0</v>
      </c>
      <c r="L993" t="s">
        <v>5856</v>
      </c>
      <c r="M993" t="s">
        <v>8631</v>
      </c>
      <c r="N993" s="3">
        <v>43314</v>
      </c>
      <c r="O993" s="3">
        <v>43314</v>
      </c>
      <c r="P993" t="s">
        <v>5971</v>
      </c>
      <c r="Q993" t="s">
        <v>8652</v>
      </c>
      <c r="R993" t="s">
        <v>6036</v>
      </c>
      <c r="S993" s="3">
        <v>43314</v>
      </c>
      <c r="T993" t="s">
        <v>9938</v>
      </c>
      <c r="U993" t="s">
        <v>5935</v>
      </c>
      <c r="V993" t="s">
        <v>6041</v>
      </c>
      <c r="W993" t="s">
        <v>5857</v>
      </c>
      <c r="X993" s="2">
        <v>1150</v>
      </c>
      <c r="Y993" t="s">
        <v>5858</v>
      </c>
      <c r="Z993" t="s">
        <v>6037</v>
      </c>
      <c r="AA993" s="2">
        <v>12000</v>
      </c>
      <c r="AB993" t="s">
        <v>5863</v>
      </c>
      <c r="AC993" t="s">
        <v>9974</v>
      </c>
      <c r="AD993" s="32">
        <v>43272</v>
      </c>
      <c r="AJ993" t="s">
        <v>9959</v>
      </c>
      <c r="AL993" t="s">
        <v>11149</v>
      </c>
    </row>
    <row r="994" spans="1:38">
      <c r="A994" t="s">
        <v>8582</v>
      </c>
      <c r="B994" t="s">
        <v>12317</v>
      </c>
      <c r="C994" t="s">
        <v>6869</v>
      </c>
      <c r="D994" t="s">
        <v>6870</v>
      </c>
      <c r="E994" s="2">
        <v>20000</v>
      </c>
      <c r="F994" s="2">
        <v>20000</v>
      </c>
      <c r="G994" s="3">
        <v>43312</v>
      </c>
      <c r="H994" s="4">
        <v>0.95561342592593002</v>
      </c>
      <c r="I994" s="3">
        <v>43313</v>
      </c>
      <c r="J994" s="4">
        <v>0.68025462962963001</v>
      </c>
      <c r="K994" s="2">
        <v>20</v>
      </c>
      <c r="L994" t="s">
        <v>5856</v>
      </c>
      <c r="M994" t="s">
        <v>8545</v>
      </c>
      <c r="N994" s="3">
        <v>43314</v>
      </c>
      <c r="O994" s="3">
        <v>43315</v>
      </c>
      <c r="P994" t="s">
        <v>5971</v>
      </c>
      <c r="Q994" t="s">
        <v>8653</v>
      </c>
      <c r="R994" t="s">
        <v>6036</v>
      </c>
      <c r="S994" s="3">
        <v>43314</v>
      </c>
      <c r="T994" t="s">
        <v>9938</v>
      </c>
      <c r="U994" t="s">
        <v>6872</v>
      </c>
      <c r="V994" t="s">
        <v>6041</v>
      </c>
      <c r="W994" t="s">
        <v>5857</v>
      </c>
      <c r="X994" s="2">
        <v>1150</v>
      </c>
      <c r="Y994" t="s">
        <v>5858</v>
      </c>
      <c r="Z994" t="s">
        <v>6037</v>
      </c>
      <c r="AA994" s="2">
        <v>20000</v>
      </c>
      <c r="AB994" t="s">
        <v>5863</v>
      </c>
      <c r="AC994" t="s">
        <v>9974</v>
      </c>
      <c r="AD994" s="32">
        <v>43249</v>
      </c>
      <c r="AJ994" t="s">
        <v>9959</v>
      </c>
      <c r="AL994" t="s">
        <v>11150</v>
      </c>
    </row>
    <row r="995" spans="1:38">
      <c r="A995" t="s">
        <v>8582</v>
      </c>
      <c r="B995" t="s">
        <v>12318</v>
      </c>
      <c r="C995" t="s">
        <v>6869</v>
      </c>
      <c r="D995" t="s">
        <v>6870</v>
      </c>
      <c r="E995" s="2">
        <v>8240</v>
      </c>
      <c r="F995" s="2">
        <v>8240</v>
      </c>
      <c r="G995" s="3">
        <v>43313</v>
      </c>
      <c r="H995" s="4">
        <v>0.70108796296296005</v>
      </c>
      <c r="I995" s="3">
        <v>43313</v>
      </c>
      <c r="J995" s="4">
        <v>0.99964120370370002</v>
      </c>
      <c r="K995" s="2">
        <v>0</v>
      </c>
      <c r="L995" t="s">
        <v>5856</v>
      </c>
      <c r="M995" t="s">
        <v>8654</v>
      </c>
      <c r="N995" s="3">
        <v>43315</v>
      </c>
      <c r="O995" s="3">
        <v>43315</v>
      </c>
      <c r="P995" t="s">
        <v>5971</v>
      </c>
      <c r="Q995" t="s">
        <v>8655</v>
      </c>
      <c r="R995" t="s">
        <v>6036</v>
      </c>
      <c r="S995" s="3">
        <v>43315</v>
      </c>
      <c r="T995" t="s">
        <v>9938</v>
      </c>
      <c r="U995" t="s">
        <v>6872</v>
      </c>
      <c r="V995" t="s">
        <v>6041</v>
      </c>
      <c r="W995" t="s">
        <v>5857</v>
      </c>
      <c r="X995" s="2">
        <v>1150</v>
      </c>
      <c r="Y995" t="s">
        <v>5858</v>
      </c>
      <c r="Z995" t="s">
        <v>6037</v>
      </c>
      <c r="AA995" s="2">
        <v>8000</v>
      </c>
      <c r="AB995" t="s">
        <v>5863</v>
      </c>
      <c r="AC995" t="s">
        <v>9974</v>
      </c>
      <c r="AD995" s="32">
        <v>43276</v>
      </c>
      <c r="AJ995" t="s">
        <v>9959</v>
      </c>
      <c r="AL995" t="s">
        <v>11151</v>
      </c>
    </row>
    <row r="996" spans="1:38">
      <c r="A996" t="s">
        <v>8582</v>
      </c>
      <c r="B996" t="s">
        <v>13353</v>
      </c>
      <c r="C996" t="s">
        <v>6711</v>
      </c>
      <c r="D996" t="s">
        <v>6712</v>
      </c>
      <c r="E996" s="2">
        <v>10300</v>
      </c>
      <c r="F996" s="2">
        <v>10300</v>
      </c>
      <c r="G996" s="3">
        <v>43314</v>
      </c>
      <c r="H996" s="4">
        <v>2.0474537037040001E-2</v>
      </c>
      <c r="I996" s="3">
        <v>43314</v>
      </c>
      <c r="J996" s="4">
        <v>0.39365740740741001</v>
      </c>
      <c r="K996" s="2">
        <v>0</v>
      </c>
      <c r="L996" t="s">
        <v>5856</v>
      </c>
      <c r="M996" t="s">
        <v>8586</v>
      </c>
      <c r="N996" s="3">
        <v>43315</v>
      </c>
      <c r="O996" s="3">
        <v>43316</v>
      </c>
      <c r="P996" t="s">
        <v>6018</v>
      </c>
      <c r="Q996" t="s">
        <v>6038</v>
      </c>
      <c r="R996" t="s">
        <v>6040</v>
      </c>
      <c r="S996" s="3">
        <v>43313</v>
      </c>
      <c r="T996" t="s">
        <v>9938</v>
      </c>
      <c r="U996" t="s">
        <v>6714</v>
      </c>
      <c r="V996" t="s">
        <v>5973</v>
      </c>
      <c r="W996" t="s">
        <v>5857</v>
      </c>
      <c r="X996" s="2">
        <v>0</v>
      </c>
      <c r="Y996" t="s">
        <v>5858</v>
      </c>
      <c r="Z996" t="s">
        <v>6037</v>
      </c>
      <c r="AA996" s="2">
        <v>10000</v>
      </c>
      <c r="AB996" t="s">
        <v>5861</v>
      </c>
      <c r="AC996" t="s">
        <v>9979</v>
      </c>
      <c r="AD996" s="32"/>
      <c r="AJ996" t="s">
        <v>9958</v>
      </c>
      <c r="AL996" t="s">
        <v>14105</v>
      </c>
    </row>
    <row r="997" spans="1:38">
      <c r="A997" t="s">
        <v>8582</v>
      </c>
      <c r="B997" t="s">
        <v>13354</v>
      </c>
      <c r="C997" t="s">
        <v>9045</v>
      </c>
      <c r="D997" t="s">
        <v>9046</v>
      </c>
      <c r="E997" s="2">
        <v>22660</v>
      </c>
      <c r="F997" s="2">
        <v>22660</v>
      </c>
      <c r="G997" s="3">
        <v>43314</v>
      </c>
      <c r="H997" s="4">
        <v>0.41449074074073999</v>
      </c>
      <c r="I997" s="3">
        <v>43315</v>
      </c>
      <c r="J997" s="4">
        <v>0.23550925925926</v>
      </c>
      <c r="K997" s="2">
        <v>0</v>
      </c>
      <c r="L997" t="s">
        <v>5856</v>
      </c>
      <c r="M997" t="s">
        <v>13355</v>
      </c>
      <c r="N997" s="3">
        <v>43316</v>
      </c>
      <c r="O997" s="3">
        <v>43317</v>
      </c>
      <c r="P997" t="s">
        <v>6018</v>
      </c>
      <c r="Q997" t="s">
        <v>6038</v>
      </c>
      <c r="R997" t="s">
        <v>6040</v>
      </c>
      <c r="S997" s="3">
        <v>43313</v>
      </c>
      <c r="T997" t="s">
        <v>9938</v>
      </c>
      <c r="U997" t="s">
        <v>5963</v>
      </c>
      <c r="V997" t="s">
        <v>6760</v>
      </c>
      <c r="W997" t="s">
        <v>5857</v>
      </c>
      <c r="X997" s="2">
        <v>0</v>
      </c>
      <c r="Y997" t="s">
        <v>5858</v>
      </c>
      <c r="Z997" t="s">
        <v>6037</v>
      </c>
      <c r="AA997" s="2">
        <v>22000</v>
      </c>
      <c r="AB997" t="s">
        <v>5861</v>
      </c>
      <c r="AC997" t="s">
        <v>13767</v>
      </c>
      <c r="AD997" s="32"/>
      <c r="AJ997" t="s">
        <v>9958</v>
      </c>
      <c r="AL997" t="s">
        <v>14106</v>
      </c>
    </row>
    <row r="998" spans="1:38">
      <c r="A998" t="s">
        <v>8582</v>
      </c>
      <c r="B998" t="s">
        <v>13356</v>
      </c>
      <c r="C998" t="s">
        <v>8583</v>
      </c>
      <c r="D998" t="s">
        <v>8584</v>
      </c>
      <c r="E998" s="2">
        <v>20600</v>
      </c>
      <c r="F998" s="2">
        <v>20600</v>
      </c>
      <c r="G998" s="3">
        <v>43315</v>
      </c>
      <c r="H998" s="4">
        <v>0.25634259259259001</v>
      </c>
      <c r="I998" s="3">
        <v>43316</v>
      </c>
      <c r="J998" s="4">
        <v>2.71990740741E-3</v>
      </c>
      <c r="K998" s="2">
        <v>0</v>
      </c>
      <c r="L998" t="s">
        <v>5856</v>
      </c>
      <c r="M998" t="s">
        <v>8543</v>
      </c>
      <c r="N998" s="3">
        <v>43317</v>
      </c>
      <c r="O998" s="3">
        <v>43320</v>
      </c>
      <c r="P998" t="s">
        <v>8549</v>
      </c>
      <c r="Q998" t="s">
        <v>6038</v>
      </c>
      <c r="R998" t="s">
        <v>6040</v>
      </c>
      <c r="S998" s="3">
        <v>43313</v>
      </c>
      <c r="T998" t="s">
        <v>9938</v>
      </c>
      <c r="U998" t="s">
        <v>8551</v>
      </c>
      <c r="V998" t="s">
        <v>5962</v>
      </c>
      <c r="W998" t="s">
        <v>5857</v>
      </c>
      <c r="X998" s="2">
        <v>0</v>
      </c>
      <c r="Y998" t="s">
        <v>5858</v>
      </c>
      <c r="Z998" t="s">
        <v>6037</v>
      </c>
      <c r="AA998" s="2">
        <v>20000</v>
      </c>
      <c r="AB998" t="s">
        <v>5861</v>
      </c>
      <c r="AC998" t="s">
        <v>9988</v>
      </c>
      <c r="AD998" s="32"/>
      <c r="AJ998" t="s">
        <v>9958</v>
      </c>
      <c r="AL998" t="s">
        <v>14107</v>
      </c>
    </row>
    <row r="999" spans="1:38">
      <c r="A999" t="s">
        <v>8582</v>
      </c>
      <c r="B999" t="s">
        <v>12319</v>
      </c>
      <c r="C999" t="s">
        <v>6715</v>
      </c>
      <c r="D999" t="s">
        <v>6716</v>
      </c>
      <c r="E999" s="2">
        <v>16000</v>
      </c>
      <c r="F999" s="2">
        <v>16000</v>
      </c>
      <c r="G999" s="3">
        <v>43316</v>
      </c>
      <c r="H999" s="4">
        <v>2.355324074074E-2</v>
      </c>
      <c r="I999" s="3">
        <v>43316</v>
      </c>
      <c r="J999" s="4">
        <v>0.60326388888889004</v>
      </c>
      <c r="K999" s="2">
        <v>20</v>
      </c>
      <c r="L999" t="s">
        <v>5856</v>
      </c>
      <c r="M999" t="s">
        <v>8656</v>
      </c>
      <c r="N999" s="3">
        <v>43321</v>
      </c>
      <c r="O999" s="3">
        <v>43318</v>
      </c>
      <c r="P999" t="s">
        <v>6018</v>
      </c>
      <c r="Q999" t="s">
        <v>8657</v>
      </c>
      <c r="R999" t="s">
        <v>6036</v>
      </c>
      <c r="S999" s="3">
        <v>43321</v>
      </c>
      <c r="T999" t="s">
        <v>9938</v>
      </c>
      <c r="U999" t="s">
        <v>6714</v>
      </c>
      <c r="V999" t="s">
        <v>6717</v>
      </c>
      <c r="W999" t="s">
        <v>5857</v>
      </c>
      <c r="X999" s="2">
        <v>1150</v>
      </c>
      <c r="Y999" t="s">
        <v>5858</v>
      </c>
      <c r="Z999" t="s">
        <v>6037</v>
      </c>
      <c r="AA999" s="2">
        <v>16000</v>
      </c>
      <c r="AB999" t="s">
        <v>5863</v>
      </c>
      <c r="AC999" t="s">
        <v>9978</v>
      </c>
      <c r="AD999" s="32">
        <v>43178</v>
      </c>
      <c r="AJ999" t="s">
        <v>9958</v>
      </c>
      <c r="AL999" t="s">
        <v>11152</v>
      </c>
    </row>
    <row r="1000" spans="1:38">
      <c r="A1000" t="s">
        <v>8582</v>
      </c>
      <c r="B1000" t="s">
        <v>12320</v>
      </c>
      <c r="C1000" t="s">
        <v>8611</v>
      </c>
      <c r="D1000" t="s">
        <v>8612</v>
      </c>
      <c r="E1000" s="2">
        <v>10000</v>
      </c>
      <c r="F1000" s="2">
        <v>10000</v>
      </c>
      <c r="G1000" s="3">
        <v>43316</v>
      </c>
      <c r="H1000" s="4">
        <v>0.62409722222221997</v>
      </c>
      <c r="I1000" s="3">
        <v>43316</v>
      </c>
      <c r="J1000" s="4">
        <v>0.98641203703703995</v>
      </c>
      <c r="K1000" s="2">
        <v>20</v>
      </c>
      <c r="L1000" t="s">
        <v>5856</v>
      </c>
      <c r="M1000" t="s">
        <v>8560</v>
      </c>
      <c r="N1000" s="3">
        <v>43319</v>
      </c>
      <c r="O1000" s="3">
        <v>43318</v>
      </c>
      <c r="P1000" t="s">
        <v>8549</v>
      </c>
      <c r="Q1000" t="s">
        <v>8658</v>
      </c>
      <c r="R1000" t="s">
        <v>6036</v>
      </c>
      <c r="S1000" s="3">
        <v>43319</v>
      </c>
      <c r="T1000" t="s">
        <v>9938</v>
      </c>
      <c r="U1000" t="s">
        <v>8551</v>
      </c>
      <c r="V1000" t="s">
        <v>8614</v>
      </c>
      <c r="W1000" t="s">
        <v>5857</v>
      </c>
      <c r="X1000" s="2">
        <v>1150</v>
      </c>
      <c r="Y1000" t="s">
        <v>5858</v>
      </c>
      <c r="Z1000" t="s">
        <v>6037</v>
      </c>
      <c r="AA1000" s="2">
        <v>10000</v>
      </c>
      <c r="AB1000" t="s">
        <v>5863</v>
      </c>
      <c r="AC1000" t="s">
        <v>9987</v>
      </c>
      <c r="AD1000" s="32">
        <v>43264</v>
      </c>
      <c r="AJ1000" t="s">
        <v>9958</v>
      </c>
      <c r="AL1000" t="s">
        <v>11153</v>
      </c>
    </row>
    <row r="1001" spans="1:38">
      <c r="A1001" t="s">
        <v>8582</v>
      </c>
      <c r="B1001" t="s">
        <v>12321</v>
      </c>
      <c r="C1001" t="s">
        <v>8626</v>
      </c>
      <c r="D1001" t="s">
        <v>8627</v>
      </c>
      <c r="E1001" s="2">
        <v>10000</v>
      </c>
      <c r="F1001" s="2">
        <v>10000</v>
      </c>
      <c r="G1001" s="3">
        <v>43317</v>
      </c>
      <c r="H1001" s="4">
        <v>7.2453703703700004E-3</v>
      </c>
      <c r="I1001" s="3">
        <v>43317</v>
      </c>
      <c r="J1001" s="4">
        <v>0.36956018518519002</v>
      </c>
      <c r="K1001" s="2">
        <v>20</v>
      </c>
      <c r="L1001" t="s">
        <v>5856</v>
      </c>
      <c r="M1001" t="s">
        <v>8560</v>
      </c>
      <c r="N1001" s="3">
        <v>43319</v>
      </c>
      <c r="O1001" s="3">
        <v>43319</v>
      </c>
      <c r="P1001" t="s">
        <v>6018</v>
      </c>
      <c r="Q1001" t="s">
        <v>8659</v>
      </c>
      <c r="R1001" t="s">
        <v>6036</v>
      </c>
      <c r="S1001" s="3">
        <v>43319</v>
      </c>
      <c r="T1001" t="s">
        <v>9938</v>
      </c>
      <c r="U1001" t="s">
        <v>5963</v>
      </c>
      <c r="V1001" t="s">
        <v>6066</v>
      </c>
      <c r="W1001" t="s">
        <v>6478</v>
      </c>
      <c r="X1001" s="2">
        <v>1150</v>
      </c>
      <c r="Y1001" t="s">
        <v>5858</v>
      </c>
      <c r="Z1001" t="s">
        <v>6037</v>
      </c>
      <c r="AA1001" s="2">
        <v>10000</v>
      </c>
      <c r="AB1001" t="s">
        <v>5863</v>
      </c>
      <c r="AC1001" t="s">
        <v>9978</v>
      </c>
      <c r="AD1001" s="32">
        <v>43259</v>
      </c>
      <c r="AJ1001" t="s">
        <v>9958</v>
      </c>
      <c r="AL1001" t="s">
        <v>11154</v>
      </c>
    </row>
    <row r="1002" spans="1:38">
      <c r="A1002" t="s">
        <v>8582</v>
      </c>
      <c r="B1002" t="s">
        <v>12322</v>
      </c>
      <c r="C1002" t="s">
        <v>6869</v>
      </c>
      <c r="D1002" t="s">
        <v>6870</v>
      </c>
      <c r="E1002" s="2">
        <v>20000</v>
      </c>
      <c r="F1002" s="2">
        <v>20000</v>
      </c>
      <c r="G1002" s="3">
        <v>43317</v>
      </c>
      <c r="H1002" s="4">
        <v>0.39039351851852</v>
      </c>
      <c r="I1002" s="3">
        <v>43318</v>
      </c>
      <c r="J1002" s="4">
        <v>0.11503472222222</v>
      </c>
      <c r="K1002" s="2">
        <v>20</v>
      </c>
      <c r="L1002" t="s">
        <v>5856</v>
      </c>
      <c r="M1002" t="s">
        <v>8545</v>
      </c>
      <c r="N1002" s="3">
        <v>43320</v>
      </c>
      <c r="O1002" s="3">
        <v>43320</v>
      </c>
      <c r="P1002" t="s">
        <v>5971</v>
      </c>
      <c r="Q1002" t="s">
        <v>8660</v>
      </c>
      <c r="R1002" t="s">
        <v>6036</v>
      </c>
      <c r="S1002" s="3">
        <v>43320</v>
      </c>
      <c r="T1002" t="s">
        <v>9938</v>
      </c>
      <c r="U1002" t="s">
        <v>6872</v>
      </c>
      <c r="V1002" t="s">
        <v>6041</v>
      </c>
      <c r="W1002" t="s">
        <v>5857</v>
      </c>
      <c r="X1002" s="2">
        <v>1150</v>
      </c>
      <c r="Y1002" t="s">
        <v>5858</v>
      </c>
      <c r="Z1002" t="s">
        <v>6037</v>
      </c>
      <c r="AA1002" s="2">
        <v>20000</v>
      </c>
      <c r="AB1002" t="s">
        <v>5863</v>
      </c>
      <c r="AC1002" t="s">
        <v>9974</v>
      </c>
      <c r="AD1002" s="32">
        <v>43249</v>
      </c>
      <c r="AJ1002" t="s">
        <v>9959</v>
      </c>
      <c r="AL1002" t="s">
        <v>11155</v>
      </c>
    </row>
    <row r="1003" spans="1:38">
      <c r="A1003" t="s">
        <v>8582</v>
      </c>
      <c r="B1003" t="s">
        <v>12323</v>
      </c>
      <c r="C1003" t="s">
        <v>7257</v>
      </c>
      <c r="D1003" t="s">
        <v>7258</v>
      </c>
      <c r="E1003" s="2">
        <v>20000</v>
      </c>
      <c r="F1003" s="2">
        <v>20000</v>
      </c>
      <c r="G1003" s="3">
        <v>43318</v>
      </c>
      <c r="H1003" s="4">
        <v>0.2753587962963</v>
      </c>
      <c r="I1003" s="3">
        <v>43319</v>
      </c>
      <c r="J1003" s="4">
        <v>0</v>
      </c>
      <c r="K1003" s="2">
        <v>20</v>
      </c>
      <c r="L1003" t="s">
        <v>5856</v>
      </c>
      <c r="M1003" t="s">
        <v>8545</v>
      </c>
      <c r="N1003" s="3">
        <v>43321</v>
      </c>
      <c r="O1003" s="3">
        <v>43320</v>
      </c>
      <c r="P1003" t="s">
        <v>6018</v>
      </c>
      <c r="Q1003" t="s">
        <v>8661</v>
      </c>
      <c r="R1003" t="s">
        <v>6036</v>
      </c>
      <c r="S1003" s="3">
        <v>43321</v>
      </c>
      <c r="T1003" t="s">
        <v>9938</v>
      </c>
      <c r="U1003" t="s">
        <v>5963</v>
      </c>
      <c r="V1003" t="s">
        <v>7259</v>
      </c>
      <c r="W1003" t="s">
        <v>5857</v>
      </c>
      <c r="X1003" s="2">
        <v>1150</v>
      </c>
      <c r="Y1003" t="s">
        <v>5858</v>
      </c>
      <c r="Z1003" t="s">
        <v>6037</v>
      </c>
      <c r="AA1003" s="2">
        <v>20000</v>
      </c>
      <c r="AB1003" t="s">
        <v>5863</v>
      </c>
      <c r="AC1003" t="s">
        <v>9978</v>
      </c>
      <c r="AD1003" s="32">
        <v>43251</v>
      </c>
      <c r="AJ1003" t="s">
        <v>9958</v>
      </c>
      <c r="AL1003" t="s">
        <v>11156</v>
      </c>
    </row>
    <row r="1004" spans="1:38">
      <c r="A1004" t="s">
        <v>8582</v>
      </c>
      <c r="B1004" t="s">
        <v>12324</v>
      </c>
      <c r="C1004" t="s">
        <v>8607</v>
      </c>
      <c r="D1004" t="s">
        <v>8608</v>
      </c>
      <c r="E1004" s="2">
        <v>5000</v>
      </c>
      <c r="F1004" s="2">
        <v>5000</v>
      </c>
      <c r="G1004" s="3">
        <v>43319</v>
      </c>
      <c r="H1004" s="4">
        <v>7.3368055555560002E-2</v>
      </c>
      <c r="I1004" s="3">
        <v>43319</v>
      </c>
      <c r="J1004" s="4">
        <v>0.25452546296296003</v>
      </c>
      <c r="K1004" s="2">
        <v>20</v>
      </c>
      <c r="L1004" t="s">
        <v>5856</v>
      </c>
      <c r="M1004" t="s">
        <v>8548</v>
      </c>
      <c r="N1004" s="3">
        <v>43322</v>
      </c>
      <c r="O1004" s="3">
        <v>43321</v>
      </c>
      <c r="P1004" t="s">
        <v>6018</v>
      </c>
      <c r="Q1004" t="s">
        <v>8662</v>
      </c>
      <c r="R1004" t="s">
        <v>6036</v>
      </c>
      <c r="S1004" s="3">
        <v>43322</v>
      </c>
      <c r="T1004" t="s">
        <v>9938</v>
      </c>
      <c r="U1004" t="s">
        <v>7228</v>
      </c>
      <c r="V1004" t="s">
        <v>8610</v>
      </c>
      <c r="W1004" t="s">
        <v>5857</v>
      </c>
      <c r="X1004" s="2">
        <v>1150</v>
      </c>
      <c r="Y1004" t="s">
        <v>5858</v>
      </c>
      <c r="Z1004" t="s">
        <v>6037</v>
      </c>
      <c r="AA1004" s="2">
        <v>5000</v>
      </c>
      <c r="AB1004" t="s">
        <v>5863</v>
      </c>
      <c r="AC1004" t="s">
        <v>9978</v>
      </c>
      <c r="AD1004" s="32">
        <v>43270</v>
      </c>
      <c r="AI1004" t="s">
        <v>9955</v>
      </c>
      <c r="AJ1004" t="s">
        <v>9958</v>
      </c>
      <c r="AL1004" t="s">
        <v>11157</v>
      </c>
    </row>
    <row r="1005" spans="1:38">
      <c r="A1005" t="s">
        <v>8582</v>
      </c>
      <c r="B1005" t="s">
        <v>12325</v>
      </c>
      <c r="C1005" t="s">
        <v>6869</v>
      </c>
      <c r="D1005" t="s">
        <v>6870</v>
      </c>
      <c r="E1005" s="2">
        <v>20000</v>
      </c>
      <c r="F1005" s="2">
        <v>20000</v>
      </c>
      <c r="G1005" s="3">
        <v>43319</v>
      </c>
      <c r="H1005" s="4">
        <v>0.2753587962963</v>
      </c>
      <c r="I1005" s="3">
        <v>43320</v>
      </c>
      <c r="J1005" s="4">
        <v>0</v>
      </c>
      <c r="K1005" s="2">
        <v>20</v>
      </c>
      <c r="L1005" t="s">
        <v>5856</v>
      </c>
      <c r="M1005" t="s">
        <v>8545</v>
      </c>
      <c r="N1005" s="3">
        <v>43322</v>
      </c>
      <c r="O1005" s="3">
        <v>43321</v>
      </c>
      <c r="P1005" t="s">
        <v>5971</v>
      </c>
      <c r="Q1005" t="s">
        <v>8663</v>
      </c>
      <c r="R1005" t="s">
        <v>6036</v>
      </c>
      <c r="S1005" s="3">
        <v>43322</v>
      </c>
      <c r="T1005" t="s">
        <v>9938</v>
      </c>
      <c r="U1005" t="s">
        <v>6872</v>
      </c>
      <c r="V1005" t="s">
        <v>6041</v>
      </c>
      <c r="W1005" t="s">
        <v>5857</v>
      </c>
      <c r="X1005" s="2">
        <v>1150</v>
      </c>
      <c r="Y1005" t="s">
        <v>5858</v>
      </c>
      <c r="Z1005" t="s">
        <v>6037</v>
      </c>
      <c r="AA1005" s="2">
        <v>20000</v>
      </c>
      <c r="AB1005" t="s">
        <v>5863</v>
      </c>
      <c r="AC1005" t="s">
        <v>9974</v>
      </c>
      <c r="AD1005" s="32">
        <v>43249</v>
      </c>
      <c r="AJ1005" t="s">
        <v>9959</v>
      </c>
      <c r="AL1005" t="s">
        <v>11158</v>
      </c>
    </row>
    <row r="1006" spans="1:38">
      <c r="A1006" t="s">
        <v>8582</v>
      </c>
      <c r="B1006" t="s">
        <v>12326</v>
      </c>
      <c r="C1006" t="s">
        <v>8664</v>
      </c>
      <c r="D1006" t="s">
        <v>8665</v>
      </c>
      <c r="E1006" s="2">
        <v>10000</v>
      </c>
      <c r="F1006" s="2">
        <v>10000</v>
      </c>
      <c r="G1006" s="3">
        <v>43322</v>
      </c>
      <c r="H1006" s="4">
        <v>0.14672453703704</v>
      </c>
      <c r="I1006" s="3">
        <v>43322</v>
      </c>
      <c r="J1006" s="4">
        <v>0.50903935185185001</v>
      </c>
      <c r="K1006" s="2">
        <v>20</v>
      </c>
      <c r="L1006" t="s">
        <v>5856</v>
      </c>
      <c r="M1006" t="s">
        <v>8560</v>
      </c>
      <c r="N1006" s="3">
        <v>43326</v>
      </c>
      <c r="O1006" s="3">
        <v>43324</v>
      </c>
      <c r="P1006" t="s">
        <v>5862</v>
      </c>
      <c r="Q1006" t="s">
        <v>8666</v>
      </c>
      <c r="R1006" t="s">
        <v>6036</v>
      </c>
      <c r="S1006" s="3">
        <v>43326</v>
      </c>
      <c r="T1006" t="s">
        <v>9938</v>
      </c>
      <c r="U1006" t="s">
        <v>8551</v>
      </c>
      <c r="V1006" t="s">
        <v>8667</v>
      </c>
      <c r="W1006" t="s">
        <v>6038</v>
      </c>
      <c r="X1006" s="2">
        <v>1150</v>
      </c>
      <c r="Y1006" t="s">
        <v>5858</v>
      </c>
      <c r="Z1006" t="s">
        <v>6037</v>
      </c>
      <c r="AA1006" s="2">
        <v>10000</v>
      </c>
      <c r="AB1006" t="s">
        <v>5863</v>
      </c>
      <c r="AD1006" s="32"/>
      <c r="AJ1006" t="s">
        <v>9958</v>
      </c>
      <c r="AL1006" t="s">
        <v>11159</v>
      </c>
    </row>
    <row r="1007" spans="1:38">
      <c r="A1007" t="s">
        <v>8582</v>
      </c>
      <c r="B1007" t="s">
        <v>12327</v>
      </c>
      <c r="C1007" t="s">
        <v>8668</v>
      </c>
      <c r="D1007" t="s">
        <v>8669</v>
      </c>
      <c r="E1007" s="2">
        <v>20000</v>
      </c>
      <c r="F1007" s="2">
        <v>20000</v>
      </c>
      <c r="G1007" s="3">
        <v>43322</v>
      </c>
      <c r="H1007" s="4">
        <v>0.2753587962963</v>
      </c>
      <c r="I1007" s="3">
        <v>43323</v>
      </c>
      <c r="J1007" s="4">
        <v>0</v>
      </c>
      <c r="K1007" s="2">
        <v>20</v>
      </c>
      <c r="L1007" t="s">
        <v>5856</v>
      </c>
      <c r="M1007" t="s">
        <v>8545</v>
      </c>
      <c r="N1007" s="3">
        <v>43326</v>
      </c>
      <c r="O1007" s="3">
        <v>43324</v>
      </c>
      <c r="P1007" t="s">
        <v>8549</v>
      </c>
      <c r="Q1007" t="s">
        <v>8670</v>
      </c>
      <c r="R1007" t="s">
        <v>6036</v>
      </c>
      <c r="S1007" s="3">
        <v>43326</v>
      </c>
      <c r="T1007" t="s">
        <v>9938</v>
      </c>
      <c r="U1007" t="s">
        <v>8551</v>
      </c>
      <c r="V1007" t="s">
        <v>8671</v>
      </c>
      <c r="W1007" t="s">
        <v>5857</v>
      </c>
      <c r="X1007" s="2">
        <v>1150</v>
      </c>
      <c r="Y1007" t="s">
        <v>5858</v>
      </c>
      <c r="Z1007" t="s">
        <v>6037</v>
      </c>
      <c r="AA1007" s="2">
        <v>20000</v>
      </c>
      <c r="AB1007" t="s">
        <v>5863</v>
      </c>
      <c r="AC1007" t="s">
        <v>9987</v>
      </c>
      <c r="AD1007" s="32"/>
      <c r="AJ1007" t="s">
        <v>9958</v>
      </c>
      <c r="AL1007" t="s">
        <v>11160</v>
      </c>
    </row>
    <row r="1008" spans="1:38">
      <c r="A1008" t="s">
        <v>8582</v>
      </c>
      <c r="B1008" t="s">
        <v>12328</v>
      </c>
      <c r="C1008" t="s">
        <v>7257</v>
      </c>
      <c r="D1008" t="s">
        <v>7258</v>
      </c>
      <c r="E1008" s="2">
        <v>20000</v>
      </c>
      <c r="F1008" s="2">
        <v>20000</v>
      </c>
      <c r="G1008" s="3">
        <v>43322</v>
      </c>
      <c r="H1008" s="4">
        <v>0.52987268518519004</v>
      </c>
      <c r="I1008" s="3">
        <v>43323</v>
      </c>
      <c r="J1008" s="4">
        <v>0.25451388888888998</v>
      </c>
      <c r="K1008" s="2">
        <v>20</v>
      </c>
      <c r="L1008" t="s">
        <v>5856</v>
      </c>
      <c r="M1008" t="s">
        <v>8545</v>
      </c>
      <c r="N1008" s="3">
        <v>43326</v>
      </c>
      <c r="O1008" s="3">
        <v>43325</v>
      </c>
      <c r="P1008" t="s">
        <v>6018</v>
      </c>
      <c r="Q1008" t="s">
        <v>8672</v>
      </c>
      <c r="R1008" t="s">
        <v>6036</v>
      </c>
      <c r="S1008" s="3">
        <v>43326</v>
      </c>
      <c r="T1008" t="s">
        <v>9938</v>
      </c>
      <c r="U1008" t="s">
        <v>5963</v>
      </c>
      <c r="V1008" t="s">
        <v>7259</v>
      </c>
      <c r="W1008" t="s">
        <v>5857</v>
      </c>
      <c r="X1008" s="2">
        <v>1150</v>
      </c>
      <c r="Y1008" t="s">
        <v>5858</v>
      </c>
      <c r="Z1008" t="s">
        <v>6037</v>
      </c>
      <c r="AA1008" s="2">
        <v>20000</v>
      </c>
      <c r="AB1008" t="s">
        <v>5863</v>
      </c>
      <c r="AC1008" t="s">
        <v>9978</v>
      </c>
      <c r="AD1008" s="32"/>
      <c r="AJ1008" t="s">
        <v>9958</v>
      </c>
      <c r="AL1008" t="s">
        <v>11161</v>
      </c>
    </row>
    <row r="1009" spans="1:38">
      <c r="A1009" t="s">
        <v>8582</v>
      </c>
      <c r="B1009" t="s">
        <v>12329</v>
      </c>
      <c r="C1009" t="s">
        <v>6711</v>
      </c>
      <c r="D1009" t="s">
        <v>6712</v>
      </c>
      <c r="E1009" s="2">
        <v>20000</v>
      </c>
      <c r="F1009" s="2">
        <v>20000</v>
      </c>
      <c r="G1009" s="3">
        <v>43323</v>
      </c>
      <c r="H1009" s="4">
        <v>0.27534722222222002</v>
      </c>
      <c r="I1009" s="3">
        <v>43323</v>
      </c>
      <c r="J1009" s="4">
        <v>0.99998842592592996</v>
      </c>
      <c r="K1009" s="2">
        <v>0</v>
      </c>
      <c r="L1009" t="s">
        <v>5856</v>
      </c>
      <c r="M1009" t="s">
        <v>8545</v>
      </c>
      <c r="N1009" s="3">
        <v>43325</v>
      </c>
      <c r="O1009" s="3">
        <v>43325</v>
      </c>
      <c r="P1009" t="s">
        <v>6018</v>
      </c>
      <c r="Q1009" t="s">
        <v>13357</v>
      </c>
      <c r="R1009" t="s">
        <v>6036</v>
      </c>
      <c r="S1009" s="3">
        <v>43328</v>
      </c>
      <c r="T1009" t="s">
        <v>9938</v>
      </c>
      <c r="U1009" t="s">
        <v>6714</v>
      </c>
      <c r="V1009" t="s">
        <v>5973</v>
      </c>
      <c r="W1009" t="s">
        <v>5857</v>
      </c>
      <c r="X1009" s="2">
        <v>0</v>
      </c>
      <c r="Y1009" t="s">
        <v>5858</v>
      </c>
      <c r="Z1009" t="s">
        <v>6037</v>
      </c>
      <c r="AA1009" s="2">
        <v>20000</v>
      </c>
      <c r="AB1009" t="s">
        <v>5861</v>
      </c>
      <c r="AC1009" t="s">
        <v>9979</v>
      </c>
      <c r="AD1009" s="32"/>
      <c r="AJ1009" t="s">
        <v>9958</v>
      </c>
      <c r="AL1009" t="s">
        <v>11162</v>
      </c>
    </row>
    <row r="1010" spans="1:38">
      <c r="A1010" t="s">
        <v>8582</v>
      </c>
      <c r="B1010" t="s">
        <v>13358</v>
      </c>
      <c r="C1010" t="s">
        <v>7257</v>
      </c>
      <c r="D1010" t="s">
        <v>7258</v>
      </c>
      <c r="E1010" s="2">
        <v>20600</v>
      </c>
      <c r="F1010" s="2">
        <v>20600</v>
      </c>
      <c r="G1010" s="3">
        <v>43324</v>
      </c>
      <c r="H1010" s="4">
        <v>0.50814814814815001</v>
      </c>
      <c r="I1010" s="3">
        <v>43325</v>
      </c>
      <c r="J1010" s="4">
        <v>0.25452546296296003</v>
      </c>
      <c r="K1010" s="2">
        <v>20</v>
      </c>
      <c r="L1010" t="s">
        <v>5856</v>
      </c>
      <c r="M1010" t="s">
        <v>8543</v>
      </c>
      <c r="N1010" s="3">
        <v>43329</v>
      </c>
      <c r="O1010" s="3">
        <v>43327</v>
      </c>
      <c r="P1010" t="s">
        <v>6018</v>
      </c>
      <c r="Q1010" t="s">
        <v>13359</v>
      </c>
      <c r="R1010" t="s">
        <v>6036</v>
      </c>
      <c r="S1010" s="3">
        <v>43329</v>
      </c>
      <c r="T1010" t="s">
        <v>9938</v>
      </c>
      <c r="U1010" t="s">
        <v>5963</v>
      </c>
      <c r="V1010" t="s">
        <v>7259</v>
      </c>
      <c r="W1010" t="s">
        <v>5857</v>
      </c>
      <c r="X1010" s="2">
        <v>1150</v>
      </c>
      <c r="Y1010" t="s">
        <v>5858</v>
      </c>
      <c r="Z1010" t="s">
        <v>6037</v>
      </c>
      <c r="AA1010" s="2">
        <v>20000</v>
      </c>
      <c r="AB1010" t="s">
        <v>5863</v>
      </c>
      <c r="AC1010" t="s">
        <v>9978</v>
      </c>
      <c r="AD1010" s="32"/>
      <c r="AJ1010" t="s">
        <v>9958</v>
      </c>
      <c r="AL1010" t="s">
        <v>14108</v>
      </c>
    </row>
    <row r="1011" spans="1:38">
      <c r="A1011" t="s">
        <v>8582</v>
      </c>
      <c r="B1011" t="s">
        <v>12330</v>
      </c>
      <c r="C1011" t="s">
        <v>6869</v>
      </c>
      <c r="D1011" t="s">
        <v>6870</v>
      </c>
      <c r="E1011" s="2">
        <v>20000</v>
      </c>
      <c r="F1011" s="2">
        <v>20000</v>
      </c>
      <c r="G1011" s="3">
        <v>43325</v>
      </c>
      <c r="H1011" s="4">
        <v>0.2753587962963</v>
      </c>
      <c r="I1011" s="3">
        <v>43326</v>
      </c>
      <c r="J1011" s="4">
        <v>0</v>
      </c>
      <c r="K1011" s="2">
        <v>20</v>
      </c>
      <c r="L1011" t="s">
        <v>5856</v>
      </c>
      <c r="M1011" t="s">
        <v>8545</v>
      </c>
      <c r="N1011" s="3">
        <v>43328</v>
      </c>
      <c r="O1011" s="3">
        <v>43327</v>
      </c>
      <c r="P1011" t="s">
        <v>5971</v>
      </c>
      <c r="Q1011" t="s">
        <v>8673</v>
      </c>
      <c r="R1011" t="s">
        <v>6036</v>
      </c>
      <c r="S1011" s="3">
        <v>43328</v>
      </c>
      <c r="T1011" t="s">
        <v>9938</v>
      </c>
      <c r="U1011" t="s">
        <v>6872</v>
      </c>
      <c r="V1011" t="s">
        <v>6041</v>
      </c>
      <c r="W1011" t="s">
        <v>5857</v>
      </c>
      <c r="X1011" s="2">
        <v>1150</v>
      </c>
      <c r="Y1011" t="s">
        <v>5858</v>
      </c>
      <c r="Z1011" t="s">
        <v>6037</v>
      </c>
      <c r="AA1011" s="2">
        <v>20000</v>
      </c>
      <c r="AB1011" t="s">
        <v>5863</v>
      </c>
      <c r="AC1011" t="s">
        <v>9974</v>
      </c>
      <c r="AD1011" s="32"/>
      <c r="AJ1011" t="s">
        <v>9959</v>
      </c>
      <c r="AL1011" t="s">
        <v>11163</v>
      </c>
    </row>
    <row r="1012" spans="1:38">
      <c r="A1012" t="s">
        <v>8582</v>
      </c>
      <c r="B1012" t="s">
        <v>12331</v>
      </c>
      <c r="C1012" t="s">
        <v>6869</v>
      </c>
      <c r="D1012" t="s">
        <v>6870</v>
      </c>
      <c r="E1012" s="2">
        <v>8240</v>
      </c>
      <c r="F1012" s="2">
        <v>8240</v>
      </c>
      <c r="G1012" s="3">
        <v>43326</v>
      </c>
      <c r="H1012" s="4">
        <v>0.70144675925926003</v>
      </c>
      <c r="I1012" s="3">
        <v>43327</v>
      </c>
      <c r="J1012" s="4">
        <v>0</v>
      </c>
      <c r="K1012" s="2">
        <v>0</v>
      </c>
      <c r="L1012" t="s">
        <v>5856</v>
      </c>
      <c r="M1012" t="s">
        <v>8654</v>
      </c>
      <c r="N1012" s="3">
        <v>43329</v>
      </c>
      <c r="O1012" s="3">
        <v>43328</v>
      </c>
      <c r="P1012" t="s">
        <v>5971</v>
      </c>
      <c r="Q1012" t="s">
        <v>8674</v>
      </c>
      <c r="R1012" t="s">
        <v>6036</v>
      </c>
      <c r="S1012" s="3">
        <v>43329</v>
      </c>
      <c r="T1012" t="s">
        <v>9938</v>
      </c>
      <c r="U1012" t="s">
        <v>6872</v>
      </c>
      <c r="V1012" t="s">
        <v>6041</v>
      </c>
      <c r="W1012" t="s">
        <v>5857</v>
      </c>
      <c r="X1012" s="2">
        <v>1150</v>
      </c>
      <c r="Y1012" t="s">
        <v>5858</v>
      </c>
      <c r="Z1012" t="s">
        <v>6037</v>
      </c>
      <c r="AA1012" s="2">
        <v>8000</v>
      </c>
      <c r="AB1012" t="s">
        <v>5863</v>
      </c>
      <c r="AC1012" t="s">
        <v>9974</v>
      </c>
      <c r="AD1012" s="32"/>
      <c r="AJ1012" t="s">
        <v>9959</v>
      </c>
      <c r="AL1012" t="s">
        <v>11164</v>
      </c>
    </row>
    <row r="1013" spans="1:38">
      <c r="A1013" t="s">
        <v>8582</v>
      </c>
      <c r="B1013" t="s">
        <v>12332</v>
      </c>
      <c r="C1013" t="s">
        <v>8675</v>
      </c>
      <c r="D1013" t="s">
        <v>8676</v>
      </c>
      <c r="E1013" s="2">
        <v>13000</v>
      </c>
      <c r="F1013" s="2">
        <v>13000</v>
      </c>
      <c r="G1013" s="3">
        <v>43330</v>
      </c>
      <c r="H1013" s="4">
        <v>0.56521990740741002</v>
      </c>
      <c r="I1013" s="3">
        <v>43331</v>
      </c>
      <c r="J1013" s="4">
        <v>3.6238425925929997E-2</v>
      </c>
      <c r="K1013" s="2">
        <v>20</v>
      </c>
      <c r="L1013" t="s">
        <v>5856</v>
      </c>
      <c r="M1013" t="s">
        <v>8677</v>
      </c>
      <c r="N1013" s="3">
        <v>43333</v>
      </c>
      <c r="O1013" s="3">
        <v>43333</v>
      </c>
      <c r="P1013" t="s">
        <v>6018</v>
      </c>
      <c r="Q1013" t="s">
        <v>8678</v>
      </c>
      <c r="R1013" t="s">
        <v>6036</v>
      </c>
      <c r="S1013" s="3">
        <v>43333</v>
      </c>
      <c r="T1013" t="s">
        <v>9938</v>
      </c>
      <c r="U1013" t="s">
        <v>7228</v>
      </c>
      <c r="V1013" t="s">
        <v>8679</v>
      </c>
      <c r="W1013" t="s">
        <v>5857</v>
      </c>
      <c r="X1013" s="2">
        <v>1150</v>
      </c>
      <c r="Y1013" t="s">
        <v>5858</v>
      </c>
      <c r="Z1013" t="s">
        <v>6037</v>
      </c>
      <c r="AA1013" s="2">
        <v>13000</v>
      </c>
      <c r="AB1013" t="s">
        <v>5863</v>
      </c>
      <c r="AD1013" s="32"/>
      <c r="AI1013" t="s">
        <v>9950</v>
      </c>
      <c r="AJ1013" t="s">
        <v>9958</v>
      </c>
      <c r="AL1013" t="s">
        <v>11165</v>
      </c>
    </row>
    <row r="1014" spans="1:38">
      <c r="A1014" t="s">
        <v>8582</v>
      </c>
      <c r="B1014" t="s">
        <v>12333</v>
      </c>
      <c r="C1014" t="s">
        <v>6869</v>
      </c>
      <c r="D1014" t="s">
        <v>6870</v>
      </c>
      <c r="E1014" s="2">
        <v>10000</v>
      </c>
      <c r="F1014" s="2">
        <v>10000</v>
      </c>
      <c r="G1014" s="3">
        <v>43331</v>
      </c>
      <c r="H1014" s="4">
        <v>0.67292824074073998</v>
      </c>
      <c r="I1014" s="3">
        <v>43332</v>
      </c>
      <c r="J1014" s="4">
        <v>3.5243055555560003E-2</v>
      </c>
      <c r="K1014" s="2">
        <v>20</v>
      </c>
      <c r="L1014" t="s">
        <v>5856</v>
      </c>
      <c r="M1014" t="s">
        <v>8560</v>
      </c>
      <c r="N1014" s="3">
        <v>43336</v>
      </c>
      <c r="O1014" s="3">
        <v>43334</v>
      </c>
      <c r="P1014" t="s">
        <v>5971</v>
      </c>
      <c r="Q1014" t="s">
        <v>8680</v>
      </c>
      <c r="R1014" t="s">
        <v>6036</v>
      </c>
      <c r="S1014" s="3">
        <v>43336</v>
      </c>
      <c r="T1014" t="s">
        <v>9938</v>
      </c>
      <c r="U1014" t="s">
        <v>6872</v>
      </c>
      <c r="V1014" t="s">
        <v>6041</v>
      </c>
      <c r="W1014" t="s">
        <v>5857</v>
      </c>
      <c r="X1014" s="2">
        <v>1150</v>
      </c>
      <c r="Y1014" t="s">
        <v>5858</v>
      </c>
      <c r="Z1014" t="s">
        <v>6037</v>
      </c>
      <c r="AA1014" s="2">
        <v>10000</v>
      </c>
      <c r="AB1014" t="s">
        <v>5863</v>
      </c>
      <c r="AC1014" t="s">
        <v>9974</v>
      </c>
      <c r="AD1014" s="32"/>
      <c r="AJ1014" t="s">
        <v>9959</v>
      </c>
      <c r="AL1014" t="s">
        <v>11166</v>
      </c>
    </row>
    <row r="1015" spans="1:38">
      <c r="A1015" t="s">
        <v>8582</v>
      </c>
      <c r="B1015" t="s">
        <v>12334</v>
      </c>
      <c r="C1015" t="s">
        <v>6869</v>
      </c>
      <c r="D1015" t="s">
        <v>6870</v>
      </c>
      <c r="E1015" s="2">
        <v>6180</v>
      </c>
      <c r="F1015" s="2">
        <v>6180</v>
      </c>
      <c r="G1015" s="3">
        <v>43333</v>
      </c>
      <c r="H1015" s="4">
        <v>0.77608796296296001</v>
      </c>
      <c r="I1015" s="3">
        <v>43334</v>
      </c>
      <c r="J1015" s="4">
        <v>0</v>
      </c>
      <c r="K1015" s="2">
        <v>0</v>
      </c>
      <c r="L1015" t="s">
        <v>5856</v>
      </c>
      <c r="M1015" t="s">
        <v>8681</v>
      </c>
      <c r="N1015" s="3">
        <v>43336</v>
      </c>
      <c r="O1015" s="3">
        <v>43335</v>
      </c>
      <c r="P1015" t="s">
        <v>5971</v>
      </c>
      <c r="Q1015" t="s">
        <v>8682</v>
      </c>
      <c r="R1015" t="s">
        <v>6036</v>
      </c>
      <c r="S1015" s="3">
        <v>43336</v>
      </c>
      <c r="T1015" t="s">
        <v>9938</v>
      </c>
      <c r="U1015" t="s">
        <v>6872</v>
      </c>
      <c r="V1015" t="s">
        <v>6041</v>
      </c>
      <c r="W1015" t="s">
        <v>5857</v>
      </c>
      <c r="X1015" s="2">
        <v>1150</v>
      </c>
      <c r="Y1015" t="s">
        <v>5858</v>
      </c>
      <c r="Z1015" t="s">
        <v>6037</v>
      </c>
      <c r="AA1015" s="2">
        <v>6000</v>
      </c>
      <c r="AB1015" t="s">
        <v>5863</v>
      </c>
      <c r="AC1015" t="s">
        <v>9974</v>
      </c>
      <c r="AD1015" s="32"/>
      <c r="AJ1015" t="s">
        <v>9959</v>
      </c>
      <c r="AL1015" t="s">
        <v>11167</v>
      </c>
    </row>
    <row r="1016" spans="1:38">
      <c r="A1016" t="s">
        <v>8582</v>
      </c>
      <c r="B1016" t="s">
        <v>13360</v>
      </c>
      <c r="C1016" t="s">
        <v>7257</v>
      </c>
      <c r="D1016" t="s">
        <v>7258</v>
      </c>
      <c r="E1016" s="2">
        <v>20600</v>
      </c>
      <c r="F1016" s="2">
        <v>20600</v>
      </c>
      <c r="G1016" s="3">
        <v>43334</v>
      </c>
      <c r="H1016" s="4">
        <v>0.60687500000000005</v>
      </c>
      <c r="I1016" s="3">
        <v>43335</v>
      </c>
      <c r="J1016" s="4">
        <v>0.35325231481481001</v>
      </c>
      <c r="K1016" s="2">
        <v>20</v>
      </c>
      <c r="L1016" t="s">
        <v>5856</v>
      </c>
      <c r="M1016" t="s">
        <v>8543</v>
      </c>
      <c r="N1016" s="3">
        <v>43340</v>
      </c>
      <c r="O1016" s="3">
        <v>43337</v>
      </c>
      <c r="P1016" t="s">
        <v>6018</v>
      </c>
      <c r="Q1016" t="s">
        <v>13361</v>
      </c>
      <c r="R1016" t="s">
        <v>6036</v>
      </c>
      <c r="S1016" s="3">
        <v>43340</v>
      </c>
      <c r="T1016" t="s">
        <v>9938</v>
      </c>
      <c r="U1016" t="s">
        <v>5963</v>
      </c>
      <c r="V1016" t="s">
        <v>7259</v>
      </c>
      <c r="W1016" t="s">
        <v>5857</v>
      </c>
      <c r="X1016" s="2">
        <v>1150</v>
      </c>
      <c r="Y1016" t="s">
        <v>5858</v>
      </c>
      <c r="Z1016" t="s">
        <v>6037</v>
      </c>
      <c r="AA1016" s="2">
        <v>20000</v>
      </c>
      <c r="AB1016" t="s">
        <v>5863</v>
      </c>
      <c r="AC1016" t="s">
        <v>9978</v>
      </c>
      <c r="AD1016" s="32"/>
      <c r="AJ1016" t="s">
        <v>9958</v>
      </c>
      <c r="AL1016" t="s">
        <v>14109</v>
      </c>
    </row>
    <row r="1017" spans="1:38">
      <c r="A1017" t="s">
        <v>8582</v>
      </c>
      <c r="B1017" t="s">
        <v>13362</v>
      </c>
      <c r="C1017" t="s">
        <v>6805</v>
      </c>
      <c r="D1017" t="s">
        <v>6806</v>
      </c>
      <c r="E1017" s="2">
        <v>20600</v>
      </c>
      <c r="F1017" s="2">
        <v>20600</v>
      </c>
      <c r="G1017" s="3">
        <v>43335</v>
      </c>
      <c r="H1017" s="4">
        <v>0.37408564814814999</v>
      </c>
      <c r="I1017" s="3">
        <v>43336</v>
      </c>
      <c r="J1017" s="4">
        <v>0.12046296296296</v>
      </c>
      <c r="K1017" s="2">
        <v>20</v>
      </c>
      <c r="L1017" t="s">
        <v>5856</v>
      </c>
      <c r="M1017" t="s">
        <v>8543</v>
      </c>
      <c r="N1017" s="3">
        <v>43339</v>
      </c>
      <c r="O1017" s="3">
        <v>43338</v>
      </c>
      <c r="P1017" t="s">
        <v>6018</v>
      </c>
      <c r="Q1017" t="s">
        <v>13363</v>
      </c>
      <c r="R1017" t="s">
        <v>6036</v>
      </c>
      <c r="S1017" s="3">
        <v>43339</v>
      </c>
      <c r="T1017" t="s">
        <v>9938</v>
      </c>
      <c r="U1017" t="s">
        <v>5963</v>
      </c>
      <c r="V1017" t="s">
        <v>6041</v>
      </c>
      <c r="W1017" t="s">
        <v>5868</v>
      </c>
      <c r="X1017" s="2">
        <v>1150</v>
      </c>
      <c r="Y1017" t="s">
        <v>5858</v>
      </c>
      <c r="Z1017" t="s">
        <v>6037</v>
      </c>
      <c r="AA1017" s="2">
        <v>20000</v>
      </c>
      <c r="AB1017" t="s">
        <v>5863</v>
      </c>
      <c r="AC1017" t="s">
        <v>9978</v>
      </c>
      <c r="AD1017" s="32"/>
      <c r="AJ1017" t="s">
        <v>9958</v>
      </c>
      <c r="AL1017" t="s">
        <v>14110</v>
      </c>
    </row>
    <row r="1018" spans="1:38">
      <c r="A1018" t="s">
        <v>8582</v>
      </c>
      <c r="B1018" t="s">
        <v>13364</v>
      </c>
      <c r="C1018" t="s">
        <v>13365</v>
      </c>
      <c r="D1018" t="s">
        <v>13366</v>
      </c>
      <c r="E1018" s="2">
        <v>5150</v>
      </c>
      <c r="F1018" s="2">
        <v>5150</v>
      </c>
      <c r="G1018" s="3">
        <v>43336</v>
      </c>
      <c r="H1018" s="4">
        <v>0.1412962962963</v>
      </c>
      <c r="I1018" s="3">
        <v>43336</v>
      </c>
      <c r="J1018" s="4">
        <v>0.32789351851852</v>
      </c>
      <c r="K1018" s="2">
        <v>0</v>
      </c>
      <c r="L1018" t="s">
        <v>5856</v>
      </c>
      <c r="M1018" t="s">
        <v>8579</v>
      </c>
      <c r="N1018" s="3">
        <v>43339</v>
      </c>
      <c r="O1018" s="3">
        <v>43338</v>
      </c>
      <c r="P1018" t="s">
        <v>6018</v>
      </c>
      <c r="Q1018" t="s">
        <v>13367</v>
      </c>
      <c r="R1018" t="s">
        <v>6036</v>
      </c>
      <c r="S1018" s="3">
        <v>43338</v>
      </c>
      <c r="T1018" t="s">
        <v>9938</v>
      </c>
      <c r="U1018" t="s">
        <v>7228</v>
      </c>
      <c r="V1018" t="s">
        <v>13368</v>
      </c>
      <c r="W1018" t="s">
        <v>5857</v>
      </c>
      <c r="X1018" s="2">
        <v>1150</v>
      </c>
      <c r="Y1018" t="s">
        <v>5858</v>
      </c>
      <c r="Z1018" t="s">
        <v>6037</v>
      </c>
      <c r="AA1018" s="2">
        <v>5000</v>
      </c>
      <c r="AB1018" t="s">
        <v>5863</v>
      </c>
      <c r="AD1018" s="32"/>
      <c r="AI1018" t="s">
        <v>9950</v>
      </c>
      <c r="AJ1018" t="s">
        <v>9958</v>
      </c>
      <c r="AL1018" t="s">
        <v>14111</v>
      </c>
    </row>
    <row r="1019" spans="1:38">
      <c r="A1019" t="s">
        <v>8582</v>
      </c>
      <c r="B1019" t="s">
        <v>12335</v>
      </c>
      <c r="C1019" t="s">
        <v>8675</v>
      </c>
      <c r="D1019" t="s">
        <v>8676</v>
      </c>
      <c r="E1019" s="2">
        <v>10000</v>
      </c>
      <c r="F1019" s="2">
        <v>10000</v>
      </c>
      <c r="G1019" s="3">
        <v>43336</v>
      </c>
      <c r="H1019" s="4">
        <v>0.34872685185184998</v>
      </c>
      <c r="I1019" s="3">
        <v>43336</v>
      </c>
      <c r="J1019" s="4">
        <v>0.71104166666667001</v>
      </c>
      <c r="K1019" s="2">
        <v>20</v>
      </c>
      <c r="L1019" t="s">
        <v>5856</v>
      </c>
      <c r="M1019" t="s">
        <v>8560</v>
      </c>
      <c r="N1019" s="3"/>
      <c r="O1019" s="3">
        <v>43338</v>
      </c>
      <c r="P1019" t="s">
        <v>6018</v>
      </c>
      <c r="Q1019" t="s">
        <v>8683</v>
      </c>
      <c r="R1019" t="s">
        <v>6036</v>
      </c>
      <c r="S1019" s="3">
        <v>43340</v>
      </c>
      <c r="T1019" t="s">
        <v>9938</v>
      </c>
      <c r="U1019" t="s">
        <v>7228</v>
      </c>
      <c r="V1019" t="s">
        <v>8679</v>
      </c>
      <c r="W1019" t="s">
        <v>5857</v>
      </c>
      <c r="X1019" s="2">
        <v>1150</v>
      </c>
      <c r="Y1019" t="s">
        <v>5858</v>
      </c>
      <c r="Z1019" t="s">
        <v>6037</v>
      </c>
      <c r="AA1019" s="2">
        <v>10000</v>
      </c>
      <c r="AB1019" t="s">
        <v>5863</v>
      </c>
      <c r="AD1019" s="32"/>
      <c r="AI1019" t="s">
        <v>9950</v>
      </c>
      <c r="AJ1019" t="s">
        <v>9958</v>
      </c>
      <c r="AL1019" t="s">
        <v>11168</v>
      </c>
    </row>
    <row r="1020" spans="1:38">
      <c r="A1020" t="s">
        <v>8582</v>
      </c>
      <c r="B1020" t="s">
        <v>12336</v>
      </c>
      <c r="C1020" t="s">
        <v>6719</v>
      </c>
      <c r="D1020" t="s">
        <v>6720</v>
      </c>
      <c r="E1020" s="2">
        <v>5000</v>
      </c>
      <c r="F1020" s="2">
        <v>5000</v>
      </c>
      <c r="G1020" s="3">
        <v>43336</v>
      </c>
      <c r="H1020" s="4">
        <v>0.73187500000000005</v>
      </c>
      <c r="I1020" s="3">
        <v>43336</v>
      </c>
      <c r="J1020" s="4">
        <v>0.91303240740740998</v>
      </c>
      <c r="K1020" s="2">
        <v>20</v>
      </c>
      <c r="L1020" t="s">
        <v>5856</v>
      </c>
      <c r="M1020" t="s">
        <v>8548</v>
      </c>
      <c r="N1020" s="3">
        <v>43339</v>
      </c>
      <c r="O1020" s="3">
        <v>43338</v>
      </c>
      <c r="P1020" t="s">
        <v>5990</v>
      </c>
      <c r="Q1020" t="s">
        <v>8684</v>
      </c>
      <c r="R1020" t="s">
        <v>6036</v>
      </c>
      <c r="S1020" s="3">
        <v>43339</v>
      </c>
      <c r="T1020" t="s">
        <v>9938</v>
      </c>
      <c r="U1020" t="s">
        <v>5963</v>
      </c>
      <c r="V1020" t="s">
        <v>6721</v>
      </c>
      <c r="W1020" t="s">
        <v>5857</v>
      </c>
      <c r="X1020" s="2">
        <v>1150</v>
      </c>
      <c r="Y1020" t="s">
        <v>5858</v>
      </c>
      <c r="Z1020" t="s">
        <v>6037</v>
      </c>
      <c r="AA1020" s="2">
        <v>5000</v>
      </c>
      <c r="AB1020" t="s">
        <v>5863</v>
      </c>
      <c r="AC1020" t="s">
        <v>9978</v>
      </c>
      <c r="AD1020" s="32"/>
      <c r="AJ1020" t="s">
        <v>9958</v>
      </c>
      <c r="AL1020" t="s">
        <v>11169</v>
      </c>
    </row>
    <row r="1021" spans="1:38">
      <c r="A1021" t="s">
        <v>8582</v>
      </c>
      <c r="B1021" t="s">
        <v>12338</v>
      </c>
      <c r="C1021" t="s">
        <v>6869</v>
      </c>
      <c r="D1021" t="s">
        <v>6870</v>
      </c>
      <c r="E1021" s="2">
        <v>10000</v>
      </c>
      <c r="F1021" s="2">
        <v>10000</v>
      </c>
      <c r="G1021" s="3">
        <v>43337</v>
      </c>
      <c r="H1021" s="4">
        <v>0.63768518518519002</v>
      </c>
      <c r="I1021" s="3">
        <v>43338</v>
      </c>
      <c r="J1021" s="4">
        <v>0</v>
      </c>
      <c r="K1021" s="2">
        <v>20</v>
      </c>
      <c r="L1021" t="s">
        <v>5856</v>
      </c>
      <c r="M1021" t="s">
        <v>8560</v>
      </c>
      <c r="N1021" s="3">
        <v>43342</v>
      </c>
      <c r="O1021" s="3">
        <v>43339</v>
      </c>
      <c r="P1021" t="s">
        <v>5971</v>
      </c>
      <c r="Q1021" t="s">
        <v>8689</v>
      </c>
      <c r="R1021" t="s">
        <v>6036</v>
      </c>
      <c r="S1021" s="3">
        <v>43342</v>
      </c>
      <c r="T1021" t="s">
        <v>9938</v>
      </c>
      <c r="U1021" t="s">
        <v>6872</v>
      </c>
      <c r="V1021" t="s">
        <v>6041</v>
      </c>
      <c r="W1021" t="s">
        <v>5857</v>
      </c>
      <c r="X1021" s="2">
        <v>1150</v>
      </c>
      <c r="Y1021" t="s">
        <v>5858</v>
      </c>
      <c r="Z1021" t="s">
        <v>6037</v>
      </c>
      <c r="AA1021" s="2">
        <v>10000</v>
      </c>
      <c r="AB1021" t="s">
        <v>5863</v>
      </c>
      <c r="AC1021" t="s">
        <v>9974</v>
      </c>
      <c r="AD1021" s="32"/>
      <c r="AJ1021" t="s">
        <v>9959</v>
      </c>
      <c r="AL1021" t="s">
        <v>11171</v>
      </c>
    </row>
    <row r="1022" spans="1:38">
      <c r="A1022" t="s">
        <v>8582</v>
      </c>
      <c r="B1022" t="s">
        <v>12339</v>
      </c>
      <c r="C1022" t="s">
        <v>6099</v>
      </c>
      <c r="D1022" t="s">
        <v>6019</v>
      </c>
      <c r="E1022" s="2">
        <v>5000</v>
      </c>
      <c r="F1022" s="2">
        <v>5000</v>
      </c>
      <c r="G1022" s="3">
        <v>43337</v>
      </c>
      <c r="H1022" s="4">
        <v>0.81884259259258996</v>
      </c>
      <c r="I1022" s="3">
        <v>43338</v>
      </c>
      <c r="J1022" s="4">
        <v>0</v>
      </c>
      <c r="K1022" s="2">
        <v>20</v>
      </c>
      <c r="L1022" t="s">
        <v>5856</v>
      </c>
      <c r="M1022" t="s">
        <v>8548</v>
      </c>
      <c r="N1022" s="3">
        <v>43340</v>
      </c>
      <c r="O1022" s="3">
        <v>43339</v>
      </c>
      <c r="P1022" t="s">
        <v>5971</v>
      </c>
      <c r="Q1022" t="s">
        <v>8690</v>
      </c>
      <c r="R1022" t="s">
        <v>6036</v>
      </c>
      <c r="S1022" s="3">
        <v>43340</v>
      </c>
      <c r="T1022" t="s">
        <v>9938</v>
      </c>
      <c r="U1022" t="s">
        <v>5935</v>
      </c>
      <c r="V1022" t="s">
        <v>6041</v>
      </c>
      <c r="W1022" t="s">
        <v>5857</v>
      </c>
      <c r="X1022" s="2">
        <v>1150</v>
      </c>
      <c r="Y1022" t="s">
        <v>5858</v>
      </c>
      <c r="Z1022" t="s">
        <v>6037</v>
      </c>
      <c r="AA1022" s="2">
        <v>5000</v>
      </c>
      <c r="AB1022" t="s">
        <v>5863</v>
      </c>
      <c r="AC1022" t="s">
        <v>9974</v>
      </c>
      <c r="AD1022" s="32"/>
      <c r="AJ1022" t="s">
        <v>9959</v>
      </c>
      <c r="AL1022" t="s">
        <v>11172</v>
      </c>
    </row>
    <row r="1023" spans="1:38">
      <c r="A1023" t="s">
        <v>8582</v>
      </c>
      <c r="B1023" t="s">
        <v>13369</v>
      </c>
      <c r="C1023" t="s">
        <v>13365</v>
      </c>
      <c r="D1023" t="s">
        <v>13366</v>
      </c>
      <c r="E1023" s="2">
        <v>2060</v>
      </c>
      <c r="F1023" s="2">
        <v>2060</v>
      </c>
      <c r="G1023" s="3">
        <v>43338</v>
      </c>
      <c r="H1023" s="4">
        <v>0.54221064814815001</v>
      </c>
      <c r="I1023" s="3">
        <v>43338</v>
      </c>
      <c r="J1023" s="4">
        <v>0.61685185185184999</v>
      </c>
      <c r="K1023" s="2">
        <v>20</v>
      </c>
      <c r="L1023" t="s">
        <v>5856</v>
      </c>
      <c r="M1023" t="s">
        <v>8569</v>
      </c>
      <c r="N1023" s="3">
        <v>43341</v>
      </c>
      <c r="O1023" s="3">
        <v>43340</v>
      </c>
      <c r="P1023" t="s">
        <v>6018</v>
      </c>
      <c r="Q1023" t="s">
        <v>13370</v>
      </c>
      <c r="R1023" t="s">
        <v>6036</v>
      </c>
      <c r="S1023" s="3">
        <v>43341</v>
      </c>
      <c r="T1023" t="s">
        <v>9938</v>
      </c>
      <c r="U1023" t="s">
        <v>7228</v>
      </c>
      <c r="V1023" t="s">
        <v>13368</v>
      </c>
      <c r="W1023" t="s">
        <v>5857</v>
      </c>
      <c r="X1023" s="2">
        <v>1150</v>
      </c>
      <c r="Y1023" t="s">
        <v>5858</v>
      </c>
      <c r="Z1023" t="s">
        <v>6037</v>
      </c>
      <c r="AA1023" s="2">
        <v>2000</v>
      </c>
      <c r="AB1023" t="s">
        <v>5863</v>
      </c>
      <c r="AD1023" s="32"/>
      <c r="AI1023" t="s">
        <v>9950</v>
      </c>
      <c r="AJ1023" t="s">
        <v>9958</v>
      </c>
      <c r="AL1023" t="s">
        <v>14112</v>
      </c>
    </row>
    <row r="1024" spans="1:38">
      <c r="A1024" t="s">
        <v>8582</v>
      </c>
      <c r="B1024" t="s">
        <v>12340</v>
      </c>
      <c r="C1024" t="s">
        <v>6715</v>
      </c>
      <c r="D1024" t="s">
        <v>6716</v>
      </c>
      <c r="E1024" s="2">
        <v>10000</v>
      </c>
      <c r="F1024" s="2">
        <v>10000</v>
      </c>
      <c r="G1024" s="3">
        <v>43338</v>
      </c>
      <c r="H1024" s="4">
        <v>0.63768518518519002</v>
      </c>
      <c r="I1024" s="3">
        <v>43339</v>
      </c>
      <c r="J1024" s="4">
        <v>0</v>
      </c>
      <c r="K1024" s="2">
        <v>20</v>
      </c>
      <c r="L1024" t="s">
        <v>5856</v>
      </c>
      <c r="M1024" t="s">
        <v>8560</v>
      </c>
      <c r="N1024" s="3">
        <v>43341</v>
      </c>
      <c r="O1024" s="3">
        <v>43340</v>
      </c>
      <c r="P1024" t="s">
        <v>6018</v>
      </c>
      <c r="Q1024" t="s">
        <v>8691</v>
      </c>
      <c r="R1024" t="s">
        <v>6036</v>
      </c>
      <c r="S1024" s="3">
        <v>43341</v>
      </c>
      <c r="T1024" t="s">
        <v>9938</v>
      </c>
      <c r="U1024" t="s">
        <v>6714</v>
      </c>
      <c r="V1024" t="s">
        <v>6717</v>
      </c>
      <c r="W1024" t="s">
        <v>5857</v>
      </c>
      <c r="X1024" s="2">
        <v>1150</v>
      </c>
      <c r="Y1024" t="s">
        <v>5858</v>
      </c>
      <c r="Z1024" t="s">
        <v>6037</v>
      </c>
      <c r="AA1024" s="2">
        <v>10000</v>
      </c>
      <c r="AB1024" t="s">
        <v>5863</v>
      </c>
      <c r="AC1024" t="s">
        <v>9978</v>
      </c>
      <c r="AD1024" s="32"/>
      <c r="AJ1024" t="s">
        <v>9958</v>
      </c>
      <c r="AL1024" t="s">
        <v>11173</v>
      </c>
    </row>
    <row r="1025" spans="1:38">
      <c r="A1025" t="s">
        <v>8582</v>
      </c>
      <c r="B1025" t="s">
        <v>12341</v>
      </c>
      <c r="C1025" t="s">
        <v>6715</v>
      </c>
      <c r="D1025" t="s">
        <v>6716</v>
      </c>
      <c r="E1025" s="2">
        <v>10000</v>
      </c>
      <c r="F1025" s="2">
        <v>10000</v>
      </c>
      <c r="G1025" s="3">
        <v>43339</v>
      </c>
      <c r="H1025" s="4">
        <v>0.63768518518519002</v>
      </c>
      <c r="I1025" s="3">
        <v>43340</v>
      </c>
      <c r="J1025" s="4">
        <v>0</v>
      </c>
      <c r="K1025" s="2">
        <v>20</v>
      </c>
      <c r="L1025" t="s">
        <v>5856</v>
      </c>
      <c r="M1025" t="s">
        <v>8560</v>
      </c>
      <c r="N1025" s="3">
        <v>43342</v>
      </c>
      <c r="O1025" s="3">
        <v>43341</v>
      </c>
      <c r="P1025" t="s">
        <v>6018</v>
      </c>
      <c r="Q1025" t="s">
        <v>8692</v>
      </c>
      <c r="R1025" t="s">
        <v>6036</v>
      </c>
      <c r="S1025" s="3">
        <v>43342</v>
      </c>
      <c r="T1025" t="s">
        <v>9938</v>
      </c>
      <c r="U1025" t="s">
        <v>6714</v>
      </c>
      <c r="V1025" t="s">
        <v>6717</v>
      </c>
      <c r="W1025" t="s">
        <v>5857</v>
      </c>
      <c r="X1025" s="2">
        <v>1150</v>
      </c>
      <c r="Y1025" t="s">
        <v>5858</v>
      </c>
      <c r="Z1025" t="s">
        <v>6037</v>
      </c>
      <c r="AA1025" s="2">
        <v>10000</v>
      </c>
      <c r="AB1025" t="s">
        <v>5863</v>
      </c>
      <c r="AC1025" t="s">
        <v>9978</v>
      </c>
      <c r="AD1025" s="32"/>
      <c r="AJ1025" t="s">
        <v>9958</v>
      </c>
      <c r="AL1025" t="s">
        <v>11174</v>
      </c>
    </row>
    <row r="1026" spans="1:38">
      <c r="A1026" t="s">
        <v>8582</v>
      </c>
      <c r="B1026" t="s">
        <v>13371</v>
      </c>
      <c r="C1026" t="s">
        <v>6869</v>
      </c>
      <c r="D1026" t="s">
        <v>6870</v>
      </c>
      <c r="E1026" s="2">
        <v>4120</v>
      </c>
      <c r="F1026" s="2">
        <v>4120</v>
      </c>
      <c r="G1026" s="3">
        <v>43340</v>
      </c>
      <c r="H1026" s="4">
        <v>0.45671296296295999</v>
      </c>
      <c r="I1026" s="3">
        <v>43340</v>
      </c>
      <c r="J1026" s="4">
        <v>0.60598379629629995</v>
      </c>
      <c r="K1026" s="2">
        <v>0</v>
      </c>
      <c r="L1026" t="s">
        <v>5856</v>
      </c>
      <c r="M1026" t="s">
        <v>13372</v>
      </c>
      <c r="N1026" s="3">
        <v>43343</v>
      </c>
      <c r="O1026" s="3">
        <v>43342</v>
      </c>
      <c r="P1026" t="s">
        <v>5971</v>
      </c>
      <c r="Q1026" t="s">
        <v>13373</v>
      </c>
      <c r="R1026" t="s">
        <v>6036</v>
      </c>
      <c r="S1026" s="3">
        <v>43343</v>
      </c>
      <c r="T1026" t="s">
        <v>9938</v>
      </c>
      <c r="U1026" t="s">
        <v>6872</v>
      </c>
      <c r="V1026" t="s">
        <v>6041</v>
      </c>
      <c r="W1026" t="s">
        <v>5857</v>
      </c>
      <c r="X1026" s="2">
        <v>1150</v>
      </c>
      <c r="Y1026" t="s">
        <v>5858</v>
      </c>
      <c r="Z1026" t="s">
        <v>6037</v>
      </c>
      <c r="AA1026" s="2">
        <v>4000</v>
      </c>
      <c r="AB1026" t="s">
        <v>5863</v>
      </c>
      <c r="AC1026" t="s">
        <v>9974</v>
      </c>
      <c r="AD1026" s="32"/>
      <c r="AJ1026" t="s">
        <v>9959</v>
      </c>
      <c r="AL1026" t="s">
        <v>14113</v>
      </c>
    </row>
    <row r="1027" spans="1:38">
      <c r="A1027" t="s">
        <v>8582</v>
      </c>
      <c r="B1027" t="s">
        <v>13374</v>
      </c>
      <c r="C1027" t="s">
        <v>7275</v>
      </c>
      <c r="D1027" t="s">
        <v>7276</v>
      </c>
      <c r="E1027" s="2">
        <v>10300</v>
      </c>
      <c r="F1027" s="2">
        <v>10300</v>
      </c>
      <c r="G1027" s="3">
        <v>43340</v>
      </c>
      <c r="H1027" s="4">
        <v>0.62681712962962999</v>
      </c>
      <c r="I1027" s="3">
        <v>43341</v>
      </c>
      <c r="J1027" s="4">
        <v>0</v>
      </c>
      <c r="K1027" s="2">
        <v>0</v>
      </c>
      <c r="L1027" t="s">
        <v>5856</v>
      </c>
      <c r="M1027" t="s">
        <v>8586</v>
      </c>
      <c r="N1027" s="3">
        <v>43343</v>
      </c>
      <c r="O1027" s="3">
        <v>43342</v>
      </c>
      <c r="P1027" t="s">
        <v>6018</v>
      </c>
      <c r="Q1027" t="s">
        <v>13375</v>
      </c>
      <c r="R1027" t="s">
        <v>6036</v>
      </c>
      <c r="S1027" s="3">
        <v>43343</v>
      </c>
      <c r="T1027" t="s">
        <v>9938</v>
      </c>
      <c r="U1027" t="s">
        <v>5963</v>
      </c>
      <c r="V1027" t="s">
        <v>6066</v>
      </c>
      <c r="W1027" t="s">
        <v>5857</v>
      </c>
      <c r="X1027" s="2">
        <v>1150</v>
      </c>
      <c r="Y1027" t="s">
        <v>5858</v>
      </c>
      <c r="Z1027" t="s">
        <v>6037</v>
      </c>
      <c r="AA1027" s="2">
        <v>10000</v>
      </c>
      <c r="AB1027" t="s">
        <v>5863</v>
      </c>
      <c r="AC1027" t="s">
        <v>9978</v>
      </c>
      <c r="AD1027" s="32"/>
      <c r="AJ1027" t="s">
        <v>9958</v>
      </c>
      <c r="AL1027" t="s">
        <v>14114</v>
      </c>
    </row>
    <row r="1028" spans="1:38">
      <c r="A1028" t="s">
        <v>8582</v>
      </c>
      <c r="B1028" t="s">
        <v>12342</v>
      </c>
      <c r="C1028" t="s">
        <v>6869</v>
      </c>
      <c r="D1028" t="s">
        <v>6870</v>
      </c>
      <c r="E1028" s="2">
        <v>10000</v>
      </c>
      <c r="F1028" s="2">
        <v>10000</v>
      </c>
      <c r="G1028" s="3">
        <v>43342</v>
      </c>
      <c r="H1028" s="4">
        <v>0.14673611111111001</v>
      </c>
      <c r="I1028" s="3">
        <v>43342</v>
      </c>
      <c r="J1028" s="4">
        <v>0.50905092592593004</v>
      </c>
      <c r="K1028" s="2">
        <v>20</v>
      </c>
      <c r="L1028" t="s">
        <v>5856</v>
      </c>
      <c r="M1028" t="s">
        <v>8560</v>
      </c>
      <c r="N1028" s="3">
        <v>43346</v>
      </c>
      <c r="O1028" s="3">
        <v>43344</v>
      </c>
      <c r="P1028" t="s">
        <v>5971</v>
      </c>
      <c r="Q1028" t="s">
        <v>8693</v>
      </c>
      <c r="R1028" t="s">
        <v>6036</v>
      </c>
      <c r="S1028" s="3">
        <v>43346</v>
      </c>
      <c r="T1028" t="s">
        <v>9938</v>
      </c>
      <c r="U1028" t="s">
        <v>6872</v>
      </c>
      <c r="V1028" t="s">
        <v>6041</v>
      </c>
      <c r="W1028" t="s">
        <v>5857</v>
      </c>
      <c r="X1028" s="2">
        <v>1150</v>
      </c>
      <c r="Y1028" t="s">
        <v>5858</v>
      </c>
      <c r="Z1028" t="s">
        <v>6037</v>
      </c>
      <c r="AA1028" s="2">
        <v>10000</v>
      </c>
      <c r="AB1028" t="s">
        <v>5863</v>
      </c>
      <c r="AC1028" t="s">
        <v>9974</v>
      </c>
      <c r="AD1028" s="32"/>
      <c r="AJ1028" t="s">
        <v>9959</v>
      </c>
      <c r="AL1028" t="s">
        <v>11175</v>
      </c>
    </row>
    <row r="1029" spans="1:38">
      <c r="A1029" t="s">
        <v>8582</v>
      </c>
      <c r="B1029" t="s">
        <v>13376</v>
      </c>
      <c r="C1029" t="s">
        <v>8583</v>
      </c>
      <c r="D1029" t="s">
        <v>8584</v>
      </c>
      <c r="E1029" s="2">
        <v>15450</v>
      </c>
      <c r="F1029" s="2">
        <v>15450</v>
      </c>
      <c r="G1029" s="3">
        <v>43342</v>
      </c>
      <c r="H1029" s="4">
        <v>0.69473379629630005</v>
      </c>
      <c r="I1029" s="3">
        <v>43343</v>
      </c>
      <c r="J1029" s="4">
        <v>0.25451388888888998</v>
      </c>
      <c r="K1029" s="2">
        <v>0</v>
      </c>
      <c r="L1029" t="s">
        <v>5856</v>
      </c>
      <c r="M1029" t="s">
        <v>8628</v>
      </c>
      <c r="N1029" s="3">
        <v>43345</v>
      </c>
      <c r="O1029" s="3">
        <v>43346</v>
      </c>
      <c r="P1029" t="s">
        <v>8549</v>
      </c>
      <c r="Q1029" t="s">
        <v>13377</v>
      </c>
      <c r="R1029" t="s">
        <v>6036</v>
      </c>
      <c r="S1029" s="3">
        <v>43349</v>
      </c>
      <c r="T1029" t="s">
        <v>9938</v>
      </c>
      <c r="U1029" t="s">
        <v>8551</v>
      </c>
      <c r="V1029" t="s">
        <v>5962</v>
      </c>
      <c r="W1029" t="s">
        <v>5857</v>
      </c>
      <c r="X1029" s="2">
        <v>0</v>
      </c>
      <c r="Y1029" t="s">
        <v>5858</v>
      </c>
      <c r="Z1029" t="s">
        <v>6037</v>
      </c>
      <c r="AA1029" s="2">
        <v>15000</v>
      </c>
      <c r="AB1029" t="s">
        <v>5861</v>
      </c>
      <c r="AC1029" t="s">
        <v>9988</v>
      </c>
      <c r="AD1029" s="32"/>
      <c r="AJ1029" t="s">
        <v>9958</v>
      </c>
      <c r="AL1029" t="s">
        <v>14115</v>
      </c>
    </row>
    <row r="1030" spans="1:38">
      <c r="A1030" t="s">
        <v>8582</v>
      </c>
      <c r="B1030" t="s">
        <v>12343</v>
      </c>
      <c r="C1030" t="s">
        <v>8583</v>
      </c>
      <c r="D1030" t="s">
        <v>8584</v>
      </c>
      <c r="E1030" s="2">
        <v>20000</v>
      </c>
      <c r="F1030" s="2">
        <v>20000</v>
      </c>
      <c r="G1030" s="3">
        <v>43343</v>
      </c>
      <c r="H1030" s="4">
        <v>0.27534722222222002</v>
      </c>
      <c r="I1030" s="3">
        <v>43343</v>
      </c>
      <c r="J1030" s="4">
        <v>0.99998842592592996</v>
      </c>
      <c r="K1030" s="2">
        <v>0</v>
      </c>
      <c r="L1030" t="s">
        <v>5856</v>
      </c>
      <c r="M1030" t="s">
        <v>8545</v>
      </c>
      <c r="N1030" s="3">
        <v>43311</v>
      </c>
      <c r="O1030" s="3">
        <v>43345</v>
      </c>
      <c r="P1030" t="s">
        <v>8549</v>
      </c>
      <c r="Q1030" t="s">
        <v>6038</v>
      </c>
      <c r="R1030" t="s">
        <v>6040</v>
      </c>
      <c r="S1030" s="3">
        <v>43344</v>
      </c>
      <c r="T1030" t="s">
        <v>9938</v>
      </c>
      <c r="U1030" t="s">
        <v>8551</v>
      </c>
      <c r="V1030" t="s">
        <v>5962</v>
      </c>
      <c r="W1030" t="s">
        <v>5857</v>
      </c>
      <c r="X1030" s="2">
        <v>0</v>
      </c>
      <c r="Y1030" t="s">
        <v>5858</v>
      </c>
      <c r="Z1030" t="s">
        <v>6037</v>
      </c>
      <c r="AA1030" s="2">
        <v>20000</v>
      </c>
      <c r="AB1030" t="s">
        <v>5861</v>
      </c>
      <c r="AC1030" t="s">
        <v>9988</v>
      </c>
      <c r="AD1030" s="32"/>
      <c r="AJ1030" t="s">
        <v>9958</v>
      </c>
      <c r="AL1030" t="s">
        <v>11176</v>
      </c>
    </row>
    <row r="1031" spans="1:38">
      <c r="A1031" t="s">
        <v>8582</v>
      </c>
      <c r="B1031" t="s">
        <v>12344</v>
      </c>
      <c r="C1031" t="s">
        <v>6869</v>
      </c>
      <c r="D1031" t="s">
        <v>6870</v>
      </c>
      <c r="E1031" s="2">
        <v>10000</v>
      </c>
      <c r="F1031" s="2">
        <v>10000</v>
      </c>
      <c r="G1031" s="3">
        <v>43343</v>
      </c>
      <c r="H1031" s="4">
        <v>0.63768518518519002</v>
      </c>
      <c r="I1031" s="3">
        <v>43344</v>
      </c>
      <c r="J1031" s="4">
        <v>0</v>
      </c>
      <c r="K1031" s="2">
        <v>20</v>
      </c>
      <c r="L1031" t="s">
        <v>5856</v>
      </c>
      <c r="M1031" t="s">
        <v>8560</v>
      </c>
      <c r="N1031" s="3">
        <v>43348</v>
      </c>
      <c r="O1031" s="3">
        <v>43345</v>
      </c>
      <c r="P1031" t="s">
        <v>5971</v>
      </c>
      <c r="Q1031" t="s">
        <v>8694</v>
      </c>
      <c r="R1031" t="s">
        <v>6036</v>
      </c>
      <c r="S1031" s="3">
        <v>43348</v>
      </c>
      <c r="T1031" t="s">
        <v>9938</v>
      </c>
      <c r="U1031" t="s">
        <v>6872</v>
      </c>
      <c r="V1031" t="s">
        <v>6041</v>
      </c>
      <c r="W1031" t="s">
        <v>5857</v>
      </c>
      <c r="X1031" s="2">
        <v>1150</v>
      </c>
      <c r="Y1031" t="s">
        <v>5858</v>
      </c>
      <c r="Z1031" t="s">
        <v>6037</v>
      </c>
      <c r="AA1031" s="2">
        <v>10000</v>
      </c>
      <c r="AB1031" t="s">
        <v>5863</v>
      </c>
      <c r="AC1031" t="s">
        <v>9974</v>
      </c>
      <c r="AD1031" s="32"/>
      <c r="AJ1031" t="s">
        <v>9959</v>
      </c>
      <c r="AL1031" t="s">
        <v>11177</v>
      </c>
    </row>
    <row r="1032" spans="1:38">
      <c r="A1032" t="s">
        <v>8582</v>
      </c>
      <c r="B1032" t="s">
        <v>12345</v>
      </c>
      <c r="C1032" t="s">
        <v>6098</v>
      </c>
      <c r="D1032" t="s">
        <v>6017</v>
      </c>
      <c r="E1032" s="2">
        <v>20000</v>
      </c>
      <c r="F1032" s="2">
        <v>20000</v>
      </c>
      <c r="G1032" s="3">
        <v>43344</v>
      </c>
      <c r="H1032" s="4">
        <v>0.27534722222222002</v>
      </c>
      <c r="I1032" s="3">
        <v>43344</v>
      </c>
      <c r="J1032" s="4">
        <v>0.99998842592592996</v>
      </c>
      <c r="K1032" s="2">
        <v>0</v>
      </c>
      <c r="L1032" t="s">
        <v>5856</v>
      </c>
      <c r="M1032" t="s">
        <v>8545</v>
      </c>
      <c r="N1032" s="3"/>
      <c r="O1032" s="3">
        <v>43346</v>
      </c>
      <c r="P1032" t="s">
        <v>6018</v>
      </c>
      <c r="Q1032" t="s">
        <v>13378</v>
      </c>
      <c r="R1032" t="s">
        <v>6036</v>
      </c>
      <c r="S1032" s="3">
        <v>43347</v>
      </c>
      <c r="T1032" t="s">
        <v>9938</v>
      </c>
      <c r="U1032" t="s">
        <v>5963</v>
      </c>
      <c r="V1032" t="s">
        <v>6041</v>
      </c>
      <c r="W1032" t="s">
        <v>5857</v>
      </c>
      <c r="X1032" s="2">
        <v>0</v>
      </c>
      <c r="Y1032" t="s">
        <v>5858</v>
      </c>
      <c r="Z1032" t="s">
        <v>6037</v>
      </c>
      <c r="AA1032" s="2">
        <v>20000</v>
      </c>
      <c r="AB1032" t="s">
        <v>5861</v>
      </c>
      <c r="AC1032" t="s">
        <v>9979</v>
      </c>
      <c r="AD1032" s="32"/>
      <c r="AJ1032" t="s">
        <v>9958</v>
      </c>
      <c r="AL1032" t="s">
        <v>11178</v>
      </c>
    </row>
    <row r="1033" spans="1:38">
      <c r="A1033" t="s">
        <v>8582</v>
      </c>
      <c r="B1033" t="s">
        <v>12346</v>
      </c>
      <c r="C1033" t="s">
        <v>6711</v>
      </c>
      <c r="D1033" t="s">
        <v>6712</v>
      </c>
      <c r="E1033" s="2">
        <v>20000</v>
      </c>
      <c r="F1033" s="2">
        <v>20000</v>
      </c>
      <c r="G1033" s="3">
        <v>43344</v>
      </c>
      <c r="H1033" s="4">
        <v>0.27534722222222002</v>
      </c>
      <c r="I1033" s="3">
        <v>43344</v>
      </c>
      <c r="J1033" s="4">
        <v>0.99998842592592996</v>
      </c>
      <c r="K1033" s="2">
        <v>0</v>
      </c>
      <c r="L1033" t="s">
        <v>5856</v>
      </c>
      <c r="M1033" t="s">
        <v>8545</v>
      </c>
      <c r="N1033" s="3">
        <v>43346</v>
      </c>
      <c r="O1033" s="3">
        <v>43346</v>
      </c>
      <c r="P1033" t="s">
        <v>6018</v>
      </c>
      <c r="Q1033" t="s">
        <v>6038</v>
      </c>
      <c r="R1033" t="s">
        <v>6040</v>
      </c>
      <c r="S1033" s="3">
        <v>43374</v>
      </c>
      <c r="T1033" t="s">
        <v>9938</v>
      </c>
      <c r="U1033" t="s">
        <v>6714</v>
      </c>
      <c r="V1033" t="s">
        <v>5973</v>
      </c>
      <c r="W1033" t="s">
        <v>5857</v>
      </c>
      <c r="X1033" s="2">
        <v>0</v>
      </c>
      <c r="Y1033" t="s">
        <v>5858</v>
      </c>
      <c r="Z1033" t="s">
        <v>6037</v>
      </c>
      <c r="AA1033" s="2">
        <v>20000</v>
      </c>
      <c r="AB1033" t="s">
        <v>5861</v>
      </c>
      <c r="AC1033" t="s">
        <v>9979</v>
      </c>
      <c r="AD1033" s="32"/>
      <c r="AJ1033" t="s">
        <v>9958</v>
      </c>
      <c r="AL1033" t="s">
        <v>11179</v>
      </c>
    </row>
    <row r="1034" spans="1:38">
      <c r="A1034" t="s">
        <v>8582</v>
      </c>
      <c r="B1034" t="s">
        <v>13379</v>
      </c>
      <c r="C1034" t="s">
        <v>8583</v>
      </c>
      <c r="D1034" t="s">
        <v>8584</v>
      </c>
      <c r="E1034" s="2">
        <v>10300</v>
      </c>
      <c r="F1034" s="2">
        <v>10300</v>
      </c>
      <c r="G1034" s="3">
        <v>43344</v>
      </c>
      <c r="H1034" s="4">
        <v>0.62680555555555995</v>
      </c>
      <c r="I1034" s="3">
        <v>43344</v>
      </c>
      <c r="J1034" s="4">
        <v>0.99998842592592996</v>
      </c>
      <c r="K1034" s="2">
        <v>0</v>
      </c>
      <c r="L1034" t="s">
        <v>5856</v>
      </c>
      <c r="M1034" t="s">
        <v>8586</v>
      </c>
      <c r="N1034" s="3">
        <v>43346</v>
      </c>
      <c r="O1034" s="3">
        <v>43346</v>
      </c>
      <c r="P1034" t="s">
        <v>8549</v>
      </c>
      <c r="Q1034" t="s">
        <v>13380</v>
      </c>
      <c r="R1034" t="s">
        <v>6036</v>
      </c>
      <c r="S1034" s="3">
        <v>43346</v>
      </c>
      <c r="T1034" t="s">
        <v>9938</v>
      </c>
      <c r="U1034" t="s">
        <v>8551</v>
      </c>
      <c r="V1034" t="s">
        <v>5962</v>
      </c>
      <c r="W1034" t="s">
        <v>5857</v>
      </c>
      <c r="X1034" s="2">
        <v>0</v>
      </c>
      <c r="Y1034" t="s">
        <v>5858</v>
      </c>
      <c r="Z1034" t="s">
        <v>6037</v>
      </c>
      <c r="AA1034" s="2">
        <v>10000</v>
      </c>
      <c r="AB1034" t="s">
        <v>5861</v>
      </c>
      <c r="AC1034" t="s">
        <v>9988</v>
      </c>
      <c r="AD1034" s="32"/>
      <c r="AJ1034" t="s">
        <v>9958</v>
      </c>
      <c r="AL1034" t="s">
        <v>14116</v>
      </c>
    </row>
    <row r="1035" spans="1:38">
      <c r="A1035" t="s">
        <v>8582</v>
      </c>
      <c r="B1035" t="s">
        <v>13381</v>
      </c>
      <c r="C1035" t="s">
        <v>6869</v>
      </c>
      <c r="D1035" t="s">
        <v>6870</v>
      </c>
      <c r="E1035" s="2">
        <v>20600</v>
      </c>
      <c r="F1035" s="2">
        <v>20600</v>
      </c>
      <c r="G1035" s="3">
        <v>43345</v>
      </c>
      <c r="H1035" s="4">
        <v>0.25362268518518999</v>
      </c>
      <c r="I1035" s="3">
        <v>43346</v>
      </c>
      <c r="J1035" s="4">
        <v>0</v>
      </c>
      <c r="K1035" s="2">
        <v>20</v>
      </c>
      <c r="L1035" t="s">
        <v>5856</v>
      </c>
      <c r="M1035" t="s">
        <v>8543</v>
      </c>
      <c r="N1035" s="3">
        <v>43348</v>
      </c>
      <c r="O1035" s="3">
        <v>43347</v>
      </c>
      <c r="P1035" t="s">
        <v>5971</v>
      </c>
      <c r="Q1035" t="s">
        <v>13382</v>
      </c>
      <c r="R1035" t="s">
        <v>6036</v>
      </c>
      <c r="S1035" s="3">
        <v>43348</v>
      </c>
      <c r="T1035" t="s">
        <v>9938</v>
      </c>
      <c r="U1035" t="s">
        <v>6872</v>
      </c>
      <c r="V1035" t="s">
        <v>6041</v>
      </c>
      <c r="W1035" t="s">
        <v>5857</v>
      </c>
      <c r="X1035" s="2">
        <v>1150</v>
      </c>
      <c r="Y1035" t="s">
        <v>5858</v>
      </c>
      <c r="Z1035" t="s">
        <v>6037</v>
      </c>
      <c r="AA1035" s="2">
        <v>20000</v>
      </c>
      <c r="AB1035" t="s">
        <v>5863</v>
      </c>
      <c r="AC1035" t="s">
        <v>9974</v>
      </c>
      <c r="AD1035" s="32"/>
      <c r="AJ1035" t="s">
        <v>9959</v>
      </c>
      <c r="AL1035" t="s">
        <v>14117</v>
      </c>
    </row>
    <row r="1036" spans="1:38">
      <c r="A1036" t="s">
        <v>8582</v>
      </c>
      <c r="B1036" t="s">
        <v>13383</v>
      </c>
      <c r="C1036" t="s">
        <v>7257</v>
      </c>
      <c r="D1036" t="s">
        <v>7258</v>
      </c>
      <c r="E1036" s="2">
        <v>20600</v>
      </c>
      <c r="F1036" s="2">
        <v>20600</v>
      </c>
      <c r="G1036" s="3">
        <v>43346</v>
      </c>
      <c r="H1036" s="4">
        <v>0.25362268518518999</v>
      </c>
      <c r="I1036" s="3">
        <v>43347</v>
      </c>
      <c r="J1036" s="4">
        <v>0</v>
      </c>
      <c r="K1036" s="2">
        <v>20</v>
      </c>
      <c r="L1036" t="s">
        <v>5856</v>
      </c>
      <c r="M1036" t="s">
        <v>8543</v>
      </c>
      <c r="N1036" s="3">
        <v>43349</v>
      </c>
      <c r="O1036" s="3">
        <v>43348</v>
      </c>
      <c r="P1036" t="s">
        <v>6018</v>
      </c>
      <c r="Q1036" t="s">
        <v>13384</v>
      </c>
      <c r="R1036" t="s">
        <v>6036</v>
      </c>
      <c r="S1036" s="3">
        <v>43349</v>
      </c>
      <c r="T1036" t="s">
        <v>9938</v>
      </c>
      <c r="U1036" t="s">
        <v>5963</v>
      </c>
      <c r="V1036" t="s">
        <v>7259</v>
      </c>
      <c r="W1036" t="s">
        <v>5857</v>
      </c>
      <c r="X1036" s="2">
        <v>1150</v>
      </c>
      <c r="Y1036" t="s">
        <v>5858</v>
      </c>
      <c r="Z1036" t="s">
        <v>6037</v>
      </c>
      <c r="AA1036" s="2">
        <v>20000</v>
      </c>
      <c r="AB1036" t="s">
        <v>5863</v>
      </c>
      <c r="AC1036" t="s">
        <v>9978</v>
      </c>
      <c r="AD1036" s="32"/>
      <c r="AJ1036" t="s">
        <v>9958</v>
      </c>
      <c r="AL1036" t="s">
        <v>14118</v>
      </c>
    </row>
    <row r="1037" spans="1:38">
      <c r="A1037" t="s">
        <v>8582</v>
      </c>
      <c r="B1037" t="s">
        <v>13385</v>
      </c>
      <c r="C1037" t="s">
        <v>6869</v>
      </c>
      <c r="D1037" t="s">
        <v>6870</v>
      </c>
      <c r="E1037" s="2">
        <v>20600</v>
      </c>
      <c r="F1037" s="2">
        <v>20600</v>
      </c>
      <c r="G1037" s="3">
        <v>43347</v>
      </c>
      <c r="H1037" s="4">
        <v>0.25362268518518999</v>
      </c>
      <c r="I1037" s="3">
        <v>43348</v>
      </c>
      <c r="J1037" s="4">
        <v>0</v>
      </c>
      <c r="K1037" s="2">
        <v>20</v>
      </c>
      <c r="L1037" t="s">
        <v>5856</v>
      </c>
      <c r="M1037" t="s">
        <v>8543</v>
      </c>
      <c r="N1037" s="3">
        <v>43350</v>
      </c>
      <c r="O1037" s="3">
        <v>43349</v>
      </c>
      <c r="P1037" t="s">
        <v>5971</v>
      </c>
      <c r="Q1037" t="s">
        <v>13386</v>
      </c>
      <c r="R1037" t="s">
        <v>6036</v>
      </c>
      <c r="S1037" s="3">
        <v>43350</v>
      </c>
      <c r="T1037" t="s">
        <v>9938</v>
      </c>
      <c r="U1037" t="s">
        <v>6872</v>
      </c>
      <c r="V1037" t="s">
        <v>6041</v>
      </c>
      <c r="W1037" t="s">
        <v>5857</v>
      </c>
      <c r="X1037" s="2">
        <v>1150</v>
      </c>
      <c r="Y1037" t="s">
        <v>5858</v>
      </c>
      <c r="Z1037" t="s">
        <v>6037</v>
      </c>
      <c r="AA1037" s="2">
        <v>20000</v>
      </c>
      <c r="AB1037" t="s">
        <v>5863</v>
      </c>
      <c r="AC1037" t="s">
        <v>9974</v>
      </c>
      <c r="AD1037" s="32"/>
      <c r="AJ1037" t="s">
        <v>9959</v>
      </c>
      <c r="AL1037" t="s">
        <v>14119</v>
      </c>
    </row>
    <row r="1038" spans="1:38">
      <c r="A1038" t="s">
        <v>8582</v>
      </c>
      <c r="B1038" t="s">
        <v>13387</v>
      </c>
      <c r="C1038" t="s">
        <v>6869</v>
      </c>
      <c r="D1038" t="s">
        <v>6870</v>
      </c>
      <c r="E1038" s="2">
        <v>20600</v>
      </c>
      <c r="F1038" s="2">
        <v>20600</v>
      </c>
      <c r="G1038" s="3">
        <v>43349</v>
      </c>
      <c r="H1038" s="4">
        <v>0.92414351851851995</v>
      </c>
      <c r="I1038" s="3">
        <v>43350</v>
      </c>
      <c r="J1038" s="4">
        <v>0.67052083333333001</v>
      </c>
      <c r="K1038" s="2">
        <v>20</v>
      </c>
      <c r="L1038" t="s">
        <v>5856</v>
      </c>
      <c r="M1038" t="s">
        <v>8543</v>
      </c>
      <c r="N1038" s="3">
        <v>43356</v>
      </c>
      <c r="O1038" s="3">
        <v>43352</v>
      </c>
      <c r="P1038" t="s">
        <v>5971</v>
      </c>
      <c r="Q1038" t="s">
        <v>13388</v>
      </c>
      <c r="R1038" t="s">
        <v>6036</v>
      </c>
      <c r="S1038" s="3">
        <v>43356</v>
      </c>
      <c r="T1038" t="s">
        <v>9938</v>
      </c>
      <c r="U1038" t="s">
        <v>6872</v>
      </c>
      <c r="V1038" t="s">
        <v>6041</v>
      </c>
      <c r="W1038" t="s">
        <v>5857</v>
      </c>
      <c r="X1038" s="2">
        <v>1150</v>
      </c>
      <c r="Y1038" t="s">
        <v>5858</v>
      </c>
      <c r="Z1038" t="s">
        <v>6037</v>
      </c>
      <c r="AA1038" s="2">
        <v>20000</v>
      </c>
      <c r="AB1038" t="s">
        <v>5863</v>
      </c>
      <c r="AC1038" t="s">
        <v>9974</v>
      </c>
      <c r="AD1038" s="32"/>
      <c r="AJ1038" t="s">
        <v>9959</v>
      </c>
      <c r="AL1038" t="s">
        <v>14120</v>
      </c>
    </row>
    <row r="1039" spans="1:38">
      <c r="A1039" t="s">
        <v>8582</v>
      </c>
      <c r="B1039" t="s">
        <v>12347</v>
      </c>
      <c r="C1039" t="s">
        <v>8611</v>
      </c>
      <c r="D1039" t="s">
        <v>8612</v>
      </c>
      <c r="E1039" s="2">
        <v>10000</v>
      </c>
      <c r="F1039" s="2">
        <v>10000</v>
      </c>
      <c r="G1039" s="3">
        <v>43350</v>
      </c>
      <c r="H1039" s="4">
        <v>0.69135416666667004</v>
      </c>
      <c r="I1039" s="3">
        <v>43351</v>
      </c>
      <c r="J1039" s="4">
        <v>5.3668981481479999E-2</v>
      </c>
      <c r="K1039" s="2">
        <v>20</v>
      </c>
      <c r="L1039" t="s">
        <v>5856</v>
      </c>
      <c r="M1039" t="s">
        <v>8560</v>
      </c>
      <c r="N1039" s="3">
        <v>43356</v>
      </c>
      <c r="O1039" s="3">
        <v>43353</v>
      </c>
      <c r="P1039" t="s">
        <v>8549</v>
      </c>
      <c r="Q1039" t="s">
        <v>8695</v>
      </c>
      <c r="R1039" t="s">
        <v>6036</v>
      </c>
      <c r="S1039" s="3">
        <v>43356</v>
      </c>
      <c r="T1039" t="s">
        <v>9938</v>
      </c>
      <c r="U1039" t="s">
        <v>8551</v>
      </c>
      <c r="V1039" t="s">
        <v>8614</v>
      </c>
      <c r="W1039" t="s">
        <v>5857</v>
      </c>
      <c r="X1039" s="2">
        <v>1150</v>
      </c>
      <c r="Y1039" t="s">
        <v>5858</v>
      </c>
      <c r="Z1039" t="s">
        <v>6037</v>
      </c>
      <c r="AA1039" s="2">
        <v>10000</v>
      </c>
      <c r="AB1039" t="s">
        <v>5863</v>
      </c>
      <c r="AC1039" t="s">
        <v>9987</v>
      </c>
      <c r="AD1039" s="32"/>
      <c r="AJ1039" t="s">
        <v>9958</v>
      </c>
      <c r="AL1039" t="s">
        <v>11180</v>
      </c>
    </row>
    <row r="1040" spans="1:38">
      <c r="A1040" t="s">
        <v>8582</v>
      </c>
      <c r="B1040" t="s">
        <v>12348</v>
      </c>
      <c r="C1040" t="s">
        <v>6770</v>
      </c>
      <c r="D1040" t="s">
        <v>6771</v>
      </c>
      <c r="E1040" s="2">
        <v>20000</v>
      </c>
      <c r="F1040" s="2">
        <v>20000</v>
      </c>
      <c r="G1040" s="3">
        <v>43351</v>
      </c>
      <c r="H1040" s="4">
        <v>0.27534722222222002</v>
      </c>
      <c r="I1040" s="3">
        <v>43351</v>
      </c>
      <c r="J1040" s="4">
        <v>0.99998842592592996</v>
      </c>
      <c r="K1040" s="2">
        <v>0</v>
      </c>
      <c r="L1040" t="s">
        <v>5856</v>
      </c>
      <c r="M1040" t="s">
        <v>8545</v>
      </c>
      <c r="N1040" s="3">
        <v>43353</v>
      </c>
      <c r="O1040" s="3">
        <v>43353</v>
      </c>
      <c r="P1040" t="s">
        <v>6018</v>
      </c>
      <c r="Q1040" t="s">
        <v>13389</v>
      </c>
      <c r="R1040" t="s">
        <v>6036</v>
      </c>
      <c r="S1040" s="3">
        <v>43368</v>
      </c>
      <c r="T1040" t="s">
        <v>9938</v>
      </c>
      <c r="U1040" t="s">
        <v>6675</v>
      </c>
      <c r="V1040" t="s">
        <v>6760</v>
      </c>
      <c r="W1040" t="s">
        <v>5857</v>
      </c>
      <c r="X1040" s="2">
        <v>0</v>
      </c>
      <c r="Y1040" t="s">
        <v>5858</v>
      </c>
      <c r="Z1040" t="s">
        <v>6037</v>
      </c>
      <c r="AA1040" s="2">
        <v>20000</v>
      </c>
      <c r="AB1040" t="s">
        <v>5861</v>
      </c>
      <c r="AC1040" t="s">
        <v>9979</v>
      </c>
      <c r="AD1040" s="32"/>
      <c r="AJ1040" t="s">
        <v>9958</v>
      </c>
      <c r="AL1040" t="s">
        <v>11181</v>
      </c>
    </row>
    <row r="1041" spans="1:38">
      <c r="A1041" t="s">
        <v>8582</v>
      </c>
      <c r="B1041" t="s">
        <v>12349</v>
      </c>
      <c r="C1041" t="s">
        <v>6715</v>
      </c>
      <c r="D1041" t="s">
        <v>6716</v>
      </c>
      <c r="E1041" s="2">
        <v>10000</v>
      </c>
      <c r="F1041" s="2">
        <v>10000</v>
      </c>
      <c r="G1041" s="3">
        <v>43352</v>
      </c>
      <c r="H1041" s="4">
        <v>0.63768518518519002</v>
      </c>
      <c r="I1041" s="3">
        <v>43353</v>
      </c>
      <c r="J1041" s="4">
        <v>0</v>
      </c>
      <c r="K1041" s="2">
        <v>20</v>
      </c>
      <c r="L1041" t="s">
        <v>5856</v>
      </c>
      <c r="M1041" t="s">
        <v>8560</v>
      </c>
      <c r="N1041" s="3">
        <v>43355</v>
      </c>
      <c r="O1041" s="3">
        <v>43354</v>
      </c>
      <c r="P1041" t="s">
        <v>6018</v>
      </c>
      <c r="Q1041" t="s">
        <v>8696</v>
      </c>
      <c r="R1041" t="s">
        <v>6036</v>
      </c>
      <c r="S1041" s="3">
        <v>43355</v>
      </c>
      <c r="T1041" t="s">
        <v>9938</v>
      </c>
      <c r="U1041" t="s">
        <v>6714</v>
      </c>
      <c r="V1041" t="s">
        <v>6717</v>
      </c>
      <c r="W1041" t="s">
        <v>5857</v>
      </c>
      <c r="X1041" s="2">
        <v>1150</v>
      </c>
      <c r="Y1041" t="s">
        <v>5858</v>
      </c>
      <c r="Z1041" t="s">
        <v>6037</v>
      </c>
      <c r="AA1041" s="2">
        <v>10000</v>
      </c>
      <c r="AB1041" t="s">
        <v>5863</v>
      </c>
      <c r="AC1041" t="s">
        <v>9978</v>
      </c>
      <c r="AD1041" s="32"/>
      <c r="AJ1041" t="s">
        <v>9958</v>
      </c>
      <c r="AL1041" t="s">
        <v>11182</v>
      </c>
    </row>
    <row r="1042" spans="1:38">
      <c r="A1042" t="s">
        <v>8582</v>
      </c>
      <c r="B1042" t="s">
        <v>13390</v>
      </c>
      <c r="C1042" t="s">
        <v>7257</v>
      </c>
      <c r="D1042" t="s">
        <v>7258</v>
      </c>
      <c r="E1042" s="2">
        <v>20600</v>
      </c>
      <c r="F1042" s="2">
        <v>20600</v>
      </c>
      <c r="G1042" s="3">
        <v>43353</v>
      </c>
      <c r="H1042" s="4">
        <v>0.25362268518518999</v>
      </c>
      <c r="I1042" s="3">
        <v>43354</v>
      </c>
      <c r="J1042" s="4">
        <v>0</v>
      </c>
      <c r="K1042" s="2">
        <v>20</v>
      </c>
      <c r="L1042" t="s">
        <v>5856</v>
      </c>
      <c r="M1042" t="s">
        <v>8543</v>
      </c>
      <c r="N1042" s="3">
        <v>43356</v>
      </c>
      <c r="O1042" s="3">
        <v>43355</v>
      </c>
      <c r="P1042" t="s">
        <v>6018</v>
      </c>
      <c r="Q1042" t="s">
        <v>13391</v>
      </c>
      <c r="R1042" t="s">
        <v>6036</v>
      </c>
      <c r="S1042" s="3">
        <v>43356</v>
      </c>
      <c r="T1042" t="s">
        <v>9938</v>
      </c>
      <c r="U1042" t="s">
        <v>5963</v>
      </c>
      <c r="V1042" t="s">
        <v>7259</v>
      </c>
      <c r="W1042" t="s">
        <v>5857</v>
      </c>
      <c r="X1042" s="2">
        <v>1150</v>
      </c>
      <c r="Y1042" t="s">
        <v>5858</v>
      </c>
      <c r="Z1042" t="s">
        <v>6037</v>
      </c>
      <c r="AA1042" s="2">
        <v>20000</v>
      </c>
      <c r="AB1042" t="s">
        <v>5863</v>
      </c>
      <c r="AC1042" t="s">
        <v>9978</v>
      </c>
      <c r="AD1042" s="32"/>
      <c r="AJ1042" t="s">
        <v>9958</v>
      </c>
      <c r="AL1042" t="s">
        <v>14121</v>
      </c>
    </row>
    <row r="1043" spans="1:38">
      <c r="A1043" t="s">
        <v>8582</v>
      </c>
      <c r="B1043" t="s">
        <v>13392</v>
      </c>
      <c r="C1043" t="s">
        <v>6869</v>
      </c>
      <c r="D1043" t="s">
        <v>6870</v>
      </c>
      <c r="E1043" s="2">
        <v>20600</v>
      </c>
      <c r="F1043" s="2">
        <v>20600</v>
      </c>
      <c r="G1043" s="3">
        <v>43356</v>
      </c>
      <c r="H1043" s="4">
        <v>0.74092592592592998</v>
      </c>
      <c r="I1043" s="3">
        <v>43357</v>
      </c>
      <c r="J1043" s="4">
        <v>0.48730324074074</v>
      </c>
      <c r="K1043" s="2">
        <v>20</v>
      </c>
      <c r="L1043" t="s">
        <v>5856</v>
      </c>
      <c r="M1043" t="s">
        <v>8543</v>
      </c>
      <c r="N1043" s="3">
        <v>43361</v>
      </c>
      <c r="O1043" s="3">
        <v>43359</v>
      </c>
      <c r="P1043" t="s">
        <v>5971</v>
      </c>
      <c r="Q1043" t="s">
        <v>13393</v>
      </c>
      <c r="R1043" t="s">
        <v>6036</v>
      </c>
      <c r="S1043" s="3">
        <v>43361</v>
      </c>
      <c r="T1043" t="s">
        <v>9938</v>
      </c>
      <c r="U1043" t="s">
        <v>6872</v>
      </c>
      <c r="V1043" t="s">
        <v>6041</v>
      </c>
      <c r="W1043" t="s">
        <v>5857</v>
      </c>
      <c r="X1043" s="2">
        <v>1150</v>
      </c>
      <c r="Y1043" t="s">
        <v>5858</v>
      </c>
      <c r="Z1043" t="s">
        <v>6037</v>
      </c>
      <c r="AA1043" s="2">
        <v>20000</v>
      </c>
      <c r="AB1043" t="s">
        <v>5863</v>
      </c>
      <c r="AC1043" t="s">
        <v>9974</v>
      </c>
      <c r="AD1043" s="32"/>
      <c r="AJ1043" t="s">
        <v>9959</v>
      </c>
      <c r="AL1043" t="s">
        <v>14122</v>
      </c>
    </row>
    <row r="1044" spans="1:38">
      <c r="A1044" t="s">
        <v>8582</v>
      </c>
      <c r="B1044" t="s">
        <v>13394</v>
      </c>
      <c r="C1044" t="s">
        <v>7257</v>
      </c>
      <c r="D1044" t="s">
        <v>7258</v>
      </c>
      <c r="E1044" s="2">
        <v>20600</v>
      </c>
      <c r="F1044" s="2">
        <v>20600</v>
      </c>
      <c r="G1044" s="3">
        <v>43357</v>
      </c>
      <c r="H1044" s="4">
        <v>0.50813657407406998</v>
      </c>
      <c r="I1044" s="3">
        <v>43358</v>
      </c>
      <c r="J1044" s="4">
        <v>0.25451388888888998</v>
      </c>
      <c r="K1044" s="2">
        <v>20</v>
      </c>
      <c r="L1044" t="s">
        <v>5856</v>
      </c>
      <c r="M1044" t="s">
        <v>8543</v>
      </c>
      <c r="N1044" s="3">
        <v>43361</v>
      </c>
      <c r="O1044" s="3">
        <v>43360</v>
      </c>
      <c r="P1044" t="s">
        <v>6018</v>
      </c>
      <c r="Q1044" t="s">
        <v>13395</v>
      </c>
      <c r="R1044" t="s">
        <v>6036</v>
      </c>
      <c r="S1044" s="3">
        <v>43361</v>
      </c>
      <c r="T1044" t="s">
        <v>9938</v>
      </c>
      <c r="U1044" t="s">
        <v>5963</v>
      </c>
      <c r="V1044" t="s">
        <v>7259</v>
      </c>
      <c r="W1044" t="s">
        <v>5857</v>
      </c>
      <c r="X1044" s="2">
        <v>1150</v>
      </c>
      <c r="Y1044" t="s">
        <v>5858</v>
      </c>
      <c r="Z1044" t="s">
        <v>6037</v>
      </c>
      <c r="AA1044" s="2">
        <v>20000</v>
      </c>
      <c r="AB1044" t="s">
        <v>5863</v>
      </c>
      <c r="AC1044" t="s">
        <v>9978</v>
      </c>
      <c r="AD1044" s="32"/>
      <c r="AJ1044" t="s">
        <v>9958</v>
      </c>
      <c r="AL1044" t="s">
        <v>14123</v>
      </c>
    </row>
    <row r="1045" spans="1:38">
      <c r="A1045" t="s">
        <v>8582</v>
      </c>
      <c r="B1045" t="s">
        <v>12350</v>
      </c>
      <c r="C1045" t="s">
        <v>6770</v>
      </c>
      <c r="D1045" t="s">
        <v>6771</v>
      </c>
      <c r="E1045" s="2">
        <v>20000</v>
      </c>
      <c r="F1045" s="2">
        <v>20000</v>
      </c>
      <c r="G1045" s="3">
        <v>43358</v>
      </c>
      <c r="H1045" s="4">
        <v>0.27534722222222002</v>
      </c>
      <c r="I1045" s="3">
        <v>43358</v>
      </c>
      <c r="J1045" s="4">
        <v>0.99998842592592996</v>
      </c>
      <c r="K1045" s="2">
        <v>0</v>
      </c>
      <c r="L1045" t="s">
        <v>5856</v>
      </c>
      <c r="M1045" t="s">
        <v>8545</v>
      </c>
      <c r="N1045" s="3">
        <v>43360</v>
      </c>
      <c r="O1045" s="3">
        <v>43360</v>
      </c>
      <c r="P1045" t="s">
        <v>6018</v>
      </c>
      <c r="Q1045" t="s">
        <v>8255</v>
      </c>
      <c r="R1045" t="s">
        <v>6036</v>
      </c>
      <c r="S1045" s="3">
        <v>43370</v>
      </c>
      <c r="T1045" t="s">
        <v>9938</v>
      </c>
      <c r="U1045" t="s">
        <v>6675</v>
      </c>
      <c r="V1045" t="s">
        <v>6760</v>
      </c>
      <c r="W1045" t="s">
        <v>5857</v>
      </c>
      <c r="X1045" s="2">
        <v>0</v>
      </c>
      <c r="Y1045" t="s">
        <v>5858</v>
      </c>
      <c r="Z1045" t="s">
        <v>6037</v>
      </c>
      <c r="AA1045" s="2">
        <v>20000</v>
      </c>
      <c r="AB1045" t="s">
        <v>5861</v>
      </c>
      <c r="AC1045" t="s">
        <v>9979</v>
      </c>
      <c r="AD1045" s="32"/>
      <c r="AJ1045" t="s">
        <v>9958</v>
      </c>
      <c r="AL1045" t="s">
        <v>11183</v>
      </c>
    </row>
    <row r="1046" spans="1:38">
      <c r="A1046" t="s">
        <v>8582</v>
      </c>
      <c r="B1046" t="s">
        <v>12351</v>
      </c>
      <c r="C1046" t="s">
        <v>6770</v>
      </c>
      <c r="D1046" t="s">
        <v>6771</v>
      </c>
      <c r="E1046" s="2">
        <v>20000</v>
      </c>
      <c r="F1046" s="2">
        <v>20000</v>
      </c>
      <c r="G1046" s="3">
        <v>43358</v>
      </c>
      <c r="H1046" s="4">
        <v>0.27534722222222002</v>
      </c>
      <c r="I1046" s="3">
        <v>43358</v>
      </c>
      <c r="J1046" s="4">
        <v>0.99998842592592996</v>
      </c>
      <c r="K1046" s="2">
        <v>0</v>
      </c>
      <c r="L1046" t="s">
        <v>5856</v>
      </c>
      <c r="M1046" t="s">
        <v>8545</v>
      </c>
      <c r="N1046" s="3">
        <v>43360</v>
      </c>
      <c r="O1046" s="3">
        <v>43360</v>
      </c>
      <c r="P1046" t="s">
        <v>6018</v>
      </c>
      <c r="Q1046" t="s">
        <v>13396</v>
      </c>
      <c r="R1046" t="s">
        <v>6036</v>
      </c>
      <c r="S1046" s="3">
        <v>43370</v>
      </c>
      <c r="T1046" t="s">
        <v>9938</v>
      </c>
      <c r="U1046" t="s">
        <v>6675</v>
      </c>
      <c r="V1046" t="s">
        <v>6760</v>
      </c>
      <c r="W1046" t="s">
        <v>5857</v>
      </c>
      <c r="X1046" s="2">
        <v>0</v>
      </c>
      <c r="Y1046" t="s">
        <v>5858</v>
      </c>
      <c r="Z1046" t="s">
        <v>6037</v>
      </c>
      <c r="AA1046" s="2">
        <v>20000</v>
      </c>
      <c r="AB1046" t="s">
        <v>5861</v>
      </c>
      <c r="AC1046" t="s">
        <v>9979</v>
      </c>
      <c r="AD1046" s="32"/>
      <c r="AJ1046" t="s">
        <v>9958</v>
      </c>
      <c r="AL1046" t="s">
        <v>11184</v>
      </c>
    </row>
    <row r="1047" spans="1:38">
      <c r="A1047" t="s">
        <v>8582</v>
      </c>
      <c r="B1047" t="s">
        <v>13397</v>
      </c>
      <c r="C1047" t="s">
        <v>6869</v>
      </c>
      <c r="D1047" t="s">
        <v>6870</v>
      </c>
      <c r="E1047" s="2">
        <v>20600</v>
      </c>
      <c r="F1047" s="2">
        <v>20600</v>
      </c>
      <c r="G1047" s="3">
        <v>43359</v>
      </c>
      <c r="H1047" s="4">
        <v>0.48641203703704</v>
      </c>
      <c r="I1047" s="3">
        <v>43360</v>
      </c>
      <c r="J1047" s="4">
        <v>0.23278935185185001</v>
      </c>
      <c r="K1047" s="2">
        <v>20</v>
      </c>
      <c r="L1047" t="s">
        <v>5856</v>
      </c>
      <c r="M1047" t="s">
        <v>8543</v>
      </c>
      <c r="N1047" s="3">
        <v>43363</v>
      </c>
      <c r="O1047" s="3">
        <v>43362</v>
      </c>
      <c r="P1047" t="s">
        <v>5971</v>
      </c>
      <c r="Q1047" t="s">
        <v>13398</v>
      </c>
      <c r="R1047" t="s">
        <v>6036</v>
      </c>
      <c r="S1047" s="3">
        <v>43363</v>
      </c>
      <c r="T1047" t="s">
        <v>9938</v>
      </c>
      <c r="U1047" t="s">
        <v>6872</v>
      </c>
      <c r="V1047" t="s">
        <v>6041</v>
      </c>
      <c r="W1047" t="s">
        <v>5857</v>
      </c>
      <c r="X1047" s="2">
        <v>1150</v>
      </c>
      <c r="Y1047" t="s">
        <v>5858</v>
      </c>
      <c r="Z1047" t="s">
        <v>6037</v>
      </c>
      <c r="AA1047" s="2">
        <v>20000</v>
      </c>
      <c r="AB1047" t="s">
        <v>5863</v>
      </c>
      <c r="AC1047" t="s">
        <v>9974</v>
      </c>
      <c r="AD1047" s="32"/>
      <c r="AJ1047" t="s">
        <v>9959</v>
      </c>
      <c r="AL1047" t="s">
        <v>14124</v>
      </c>
    </row>
    <row r="1048" spans="1:38">
      <c r="A1048" t="s">
        <v>8582</v>
      </c>
      <c r="B1048" t="s">
        <v>13399</v>
      </c>
      <c r="C1048" t="s">
        <v>7257</v>
      </c>
      <c r="D1048" t="s">
        <v>7258</v>
      </c>
      <c r="E1048" s="2">
        <v>20600</v>
      </c>
      <c r="F1048" s="2">
        <v>20600</v>
      </c>
      <c r="G1048" s="3">
        <v>43360</v>
      </c>
      <c r="H1048" s="4">
        <v>0.25362268518518999</v>
      </c>
      <c r="I1048" s="3">
        <v>43361</v>
      </c>
      <c r="J1048" s="4">
        <v>0</v>
      </c>
      <c r="K1048" s="2">
        <v>20</v>
      </c>
      <c r="L1048" t="s">
        <v>5856</v>
      </c>
      <c r="M1048" t="s">
        <v>8543</v>
      </c>
      <c r="N1048" s="3">
        <v>43363</v>
      </c>
      <c r="O1048" s="3">
        <v>43362</v>
      </c>
      <c r="P1048" t="s">
        <v>6018</v>
      </c>
      <c r="Q1048" t="s">
        <v>13400</v>
      </c>
      <c r="R1048" t="s">
        <v>6036</v>
      </c>
      <c r="S1048" s="3">
        <v>43363</v>
      </c>
      <c r="T1048" t="s">
        <v>9938</v>
      </c>
      <c r="U1048" t="s">
        <v>5963</v>
      </c>
      <c r="V1048" t="s">
        <v>7259</v>
      </c>
      <c r="W1048" t="s">
        <v>5857</v>
      </c>
      <c r="X1048" s="2">
        <v>1150</v>
      </c>
      <c r="Y1048" t="s">
        <v>5858</v>
      </c>
      <c r="Z1048" t="s">
        <v>6037</v>
      </c>
      <c r="AA1048" s="2">
        <v>20000</v>
      </c>
      <c r="AB1048" t="s">
        <v>5863</v>
      </c>
      <c r="AC1048" t="s">
        <v>9978</v>
      </c>
      <c r="AD1048" s="32"/>
      <c r="AJ1048" t="s">
        <v>9958</v>
      </c>
      <c r="AL1048" t="s">
        <v>14125</v>
      </c>
    </row>
    <row r="1049" spans="1:38">
      <c r="A1049" t="s">
        <v>8582</v>
      </c>
      <c r="B1049" t="s">
        <v>12352</v>
      </c>
      <c r="C1049" t="s">
        <v>6770</v>
      </c>
      <c r="D1049" t="s">
        <v>6771</v>
      </c>
      <c r="E1049" s="2">
        <v>20000</v>
      </c>
      <c r="F1049" s="2">
        <v>20000</v>
      </c>
      <c r="G1049" s="3">
        <v>43365</v>
      </c>
      <c r="H1049" s="4">
        <v>0.27534722222222002</v>
      </c>
      <c r="I1049" s="3">
        <v>43365</v>
      </c>
      <c r="J1049" s="4">
        <v>0.99998842592592996</v>
      </c>
      <c r="K1049" s="2">
        <v>0</v>
      </c>
      <c r="L1049" t="s">
        <v>5856</v>
      </c>
      <c r="M1049" t="s">
        <v>8545</v>
      </c>
      <c r="N1049" s="3">
        <v>43367</v>
      </c>
      <c r="O1049" s="3">
        <v>43367</v>
      </c>
      <c r="P1049" t="s">
        <v>6018</v>
      </c>
      <c r="Q1049" t="s">
        <v>6038</v>
      </c>
      <c r="R1049" t="s">
        <v>6040</v>
      </c>
      <c r="S1049" s="3">
        <v>43374</v>
      </c>
      <c r="T1049" t="s">
        <v>9938</v>
      </c>
      <c r="U1049" t="s">
        <v>6675</v>
      </c>
      <c r="V1049" t="s">
        <v>6760</v>
      </c>
      <c r="W1049" t="s">
        <v>5857</v>
      </c>
      <c r="X1049" s="2">
        <v>0</v>
      </c>
      <c r="Y1049" t="s">
        <v>5858</v>
      </c>
      <c r="Z1049" t="s">
        <v>6037</v>
      </c>
      <c r="AA1049" s="2">
        <v>20000</v>
      </c>
      <c r="AB1049" t="s">
        <v>5861</v>
      </c>
      <c r="AC1049" t="s">
        <v>9979</v>
      </c>
      <c r="AD1049" s="32"/>
      <c r="AJ1049" t="s">
        <v>9958</v>
      </c>
      <c r="AL1049" t="s">
        <v>11185</v>
      </c>
    </row>
    <row r="1050" spans="1:38">
      <c r="A1050" t="s">
        <v>8697</v>
      </c>
      <c r="B1050" t="s">
        <v>12353</v>
      </c>
      <c r="C1050" t="s">
        <v>8698</v>
      </c>
      <c r="D1050" t="s">
        <v>8699</v>
      </c>
      <c r="E1050" s="2">
        <v>2080</v>
      </c>
      <c r="F1050" s="2">
        <v>2080</v>
      </c>
      <c r="G1050" s="3">
        <v>43275</v>
      </c>
      <c r="H1050" s="4">
        <v>2.0833333333330002E-2</v>
      </c>
      <c r="I1050" s="3">
        <v>43275</v>
      </c>
      <c r="J1050" s="4">
        <v>0.15625</v>
      </c>
      <c r="K1050" s="2">
        <v>20</v>
      </c>
      <c r="L1050" t="s">
        <v>5856</v>
      </c>
      <c r="M1050" t="s">
        <v>8700</v>
      </c>
      <c r="N1050" s="3">
        <v>43307</v>
      </c>
      <c r="O1050" s="3">
        <v>43277</v>
      </c>
      <c r="P1050" t="s">
        <v>8701</v>
      </c>
      <c r="Q1050" t="s">
        <v>8702</v>
      </c>
      <c r="R1050" t="s">
        <v>6036</v>
      </c>
      <c r="S1050" s="3">
        <v>43307</v>
      </c>
      <c r="T1050" t="s">
        <v>9938</v>
      </c>
      <c r="U1050" t="s">
        <v>7014</v>
      </c>
      <c r="V1050" t="s">
        <v>8703</v>
      </c>
      <c r="W1050" t="s">
        <v>5857</v>
      </c>
      <c r="X1050" s="2">
        <v>640</v>
      </c>
      <c r="Y1050" t="s">
        <v>5858</v>
      </c>
      <c r="Z1050" t="s">
        <v>6037</v>
      </c>
      <c r="AA1050" s="2">
        <v>2080</v>
      </c>
      <c r="AB1050" t="s">
        <v>5859</v>
      </c>
      <c r="AC1050" t="s">
        <v>9976</v>
      </c>
      <c r="AD1050" s="32"/>
      <c r="AJ1050" t="s">
        <v>9959</v>
      </c>
      <c r="AL1050" t="s">
        <v>11186</v>
      </c>
    </row>
    <row r="1051" spans="1:38">
      <c r="A1051" t="s">
        <v>8697</v>
      </c>
      <c r="B1051" t="s">
        <v>12354</v>
      </c>
      <c r="C1051" t="s">
        <v>8704</v>
      </c>
      <c r="D1051" t="s">
        <v>8705</v>
      </c>
      <c r="E1051" s="2">
        <v>2080</v>
      </c>
      <c r="F1051" s="2">
        <v>2080</v>
      </c>
      <c r="G1051" s="3">
        <v>43276</v>
      </c>
      <c r="H1051" s="4">
        <v>0.1640625</v>
      </c>
      <c r="I1051" s="3">
        <v>43276</v>
      </c>
      <c r="J1051" s="4">
        <v>0.29947916666667002</v>
      </c>
      <c r="K1051" s="2">
        <v>20</v>
      </c>
      <c r="L1051" t="s">
        <v>5856</v>
      </c>
      <c r="M1051" t="s">
        <v>8700</v>
      </c>
      <c r="N1051" s="3">
        <v>43307</v>
      </c>
      <c r="O1051" s="3">
        <v>43278</v>
      </c>
      <c r="P1051" t="s">
        <v>5876</v>
      </c>
      <c r="Q1051" t="s">
        <v>8706</v>
      </c>
      <c r="R1051" t="s">
        <v>6036</v>
      </c>
      <c r="S1051" s="3">
        <v>43307</v>
      </c>
      <c r="T1051" t="s">
        <v>9938</v>
      </c>
      <c r="U1051" t="s">
        <v>5931</v>
      </c>
      <c r="V1051" t="s">
        <v>8707</v>
      </c>
      <c r="W1051" t="s">
        <v>5857</v>
      </c>
      <c r="X1051" s="2">
        <v>640</v>
      </c>
      <c r="Y1051" t="s">
        <v>5858</v>
      </c>
      <c r="Z1051" t="s">
        <v>6037</v>
      </c>
      <c r="AA1051" s="2">
        <v>2080</v>
      </c>
      <c r="AB1051" t="s">
        <v>5859</v>
      </c>
      <c r="AC1051" t="s">
        <v>9976</v>
      </c>
      <c r="AD1051" s="32">
        <v>43178</v>
      </c>
      <c r="AJ1051" t="s">
        <v>9959</v>
      </c>
      <c r="AL1051" t="s">
        <v>11187</v>
      </c>
    </row>
    <row r="1052" spans="1:38">
      <c r="A1052" t="s">
        <v>8697</v>
      </c>
      <c r="B1052" t="s">
        <v>12355</v>
      </c>
      <c r="C1052" t="s">
        <v>8708</v>
      </c>
      <c r="D1052" t="s">
        <v>8709</v>
      </c>
      <c r="E1052" s="2">
        <v>3120</v>
      </c>
      <c r="F1052" s="2">
        <v>3120</v>
      </c>
      <c r="G1052" s="3">
        <v>43276</v>
      </c>
      <c r="H1052" s="4">
        <v>0.3203125</v>
      </c>
      <c r="I1052" s="3">
        <v>43276</v>
      </c>
      <c r="J1052" s="4">
        <v>0.5234375</v>
      </c>
      <c r="K1052" s="2">
        <v>20</v>
      </c>
      <c r="L1052" t="s">
        <v>5856</v>
      </c>
      <c r="M1052" t="s">
        <v>8710</v>
      </c>
      <c r="N1052" s="3">
        <v>43307</v>
      </c>
      <c r="O1052" s="3">
        <v>43278</v>
      </c>
      <c r="P1052" t="s">
        <v>7251</v>
      </c>
      <c r="Q1052" t="s">
        <v>8711</v>
      </c>
      <c r="R1052" t="s">
        <v>6036</v>
      </c>
      <c r="S1052" s="3">
        <v>43307</v>
      </c>
      <c r="T1052" t="s">
        <v>9938</v>
      </c>
      <c r="U1052" t="s">
        <v>8712</v>
      </c>
      <c r="V1052" t="s">
        <v>8713</v>
      </c>
      <c r="W1052" t="s">
        <v>5857</v>
      </c>
      <c r="X1052" s="2">
        <v>640</v>
      </c>
      <c r="Y1052" t="s">
        <v>5858</v>
      </c>
      <c r="Z1052" t="s">
        <v>6037</v>
      </c>
      <c r="AA1052" s="2">
        <v>3120</v>
      </c>
      <c r="AB1052" t="s">
        <v>5859</v>
      </c>
      <c r="AC1052" t="s">
        <v>9976</v>
      </c>
      <c r="AD1052" s="32">
        <v>43262</v>
      </c>
      <c r="AJ1052" t="s">
        <v>9959</v>
      </c>
      <c r="AL1052" t="s">
        <v>11188</v>
      </c>
    </row>
    <row r="1053" spans="1:38">
      <c r="A1053" t="s">
        <v>8697</v>
      </c>
      <c r="B1053" t="s">
        <v>12356</v>
      </c>
      <c r="C1053" t="s">
        <v>8708</v>
      </c>
      <c r="D1053" t="s">
        <v>8709</v>
      </c>
      <c r="E1053" s="2">
        <v>6240</v>
      </c>
      <c r="F1053" s="2">
        <v>6240</v>
      </c>
      <c r="G1053" s="3">
        <v>43276</v>
      </c>
      <c r="H1053" s="4">
        <v>0.54427083333333004</v>
      </c>
      <c r="I1053" s="3">
        <v>43276</v>
      </c>
      <c r="J1053" s="4">
        <v>0.95052083333333004</v>
      </c>
      <c r="K1053" s="2">
        <v>20</v>
      </c>
      <c r="L1053" t="s">
        <v>5856</v>
      </c>
      <c r="M1053" t="s">
        <v>8714</v>
      </c>
      <c r="N1053" s="3">
        <v>43363</v>
      </c>
      <c r="O1053" s="3">
        <v>43278</v>
      </c>
      <c r="P1053" t="s">
        <v>7251</v>
      </c>
      <c r="Q1053" t="s">
        <v>8715</v>
      </c>
      <c r="R1053" t="s">
        <v>6036</v>
      </c>
      <c r="S1053" s="3">
        <v>43363</v>
      </c>
      <c r="T1053" t="s">
        <v>9938</v>
      </c>
      <c r="U1053" t="s">
        <v>8712</v>
      </c>
      <c r="V1053" t="s">
        <v>8713</v>
      </c>
      <c r="W1053" t="s">
        <v>5857</v>
      </c>
      <c r="X1053" s="2">
        <v>640</v>
      </c>
      <c r="Y1053" t="s">
        <v>5858</v>
      </c>
      <c r="Z1053" t="s">
        <v>6037</v>
      </c>
      <c r="AA1053" s="2">
        <v>6240</v>
      </c>
      <c r="AB1053" t="s">
        <v>5859</v>
      </c>
      <c r="AC1053" t="s">
        <v>9976</v>
      </c>
      <c r="AD1053" s="32">
        <v>43244</v>
      </c>
      <c r="AJ1053" t="s">
        <v>9959</v>
      </c>
      <c r="AL1053" t="s">
        <v>11189</v>
      </c>
    </row>
    <row r="1054" spans="1:38">
      <c r="A1054" t="s">
        <v>8697</v>
      </c>
      <c r="B1054" t="s">
        <v>12357</v>
      </c>
      <c r="C1054" t="s">
        <v>8704</v>
      </c>
      <c r="D1054" t="s">
        <v>8705</v>
      </c>
      <c r="E1054" s="2">
        <v>2080</v>
      </c>
      <c r="F1054" s="2">
        <v>2080</v>
      </c>
      <c r="G1054" s="3">
        <v>43277</v>
      </c>
      <c r="H1054" s="4">
        <v>0.12760416666666999</v>
      </c>
      <c r="I1054" s="3">
        <v>43277</v>
      </c>
      <c r="J1054" s="4">
        <v>0.26302083333332998</v>
      </c>
      <c r="K1054" s="2">
        <v>20</v>
      </c>
      <c r="L1054" t="s">
        <v>5856</v>
      </c>
      <c r="M1054" t="s">
        <v>8700</v>
      </c>
      <c r="N1054" s="3">
        <v>43363</v>
      </c>
      <c r="O1054" s="3">
        <v>43279</v>
      </c>
      <c r="P1054" t="s">
        <v>5876</v>
      </c>
      <c r="Q1054" t="s">
        <v>8716</v>
      </c>
      <c r="R1054" t="s">
        <v>6036</v>
      </c>
      <c r="S1054" s="3">
        <v>43363</v>
      </c>
      <c r="T1054" t="s">
        <v>9938</v>
      </c>
      <c r="U1054" t="s">
        <v>5931</v>
      </c>
      <c r="V1054" t="s">
        <v>8707</v>
      </c>
      <c r="W1054" t="s">
        <v>5857</v>
      </c>
      <c r="X1054" s="2">
        <v>640</v>
      </c>
      <c r="Y1054" t="s">
        <v>5858</v>
      </c>
      <c r="Z1054" t="s">
        <v>6037</v>
      </c>
      <c r="AA1054" s="2">
        <v>2080</v>
      </c>
      <c r="AB1054" t="s">
        <v>5859</v>
      </c>
      <c r="AC1054" t="s">
        <v>9976</v>
      </c>
      <c r="AD1054" s="32">
        <v>43249</v>
      </c>
      <c r="AJ1054" t="s">
        <v>9959</v>
      </c>
      <c r="AL1054" t="s">
        <v>11190</v>
      </c>
    </row>
    <row r="1055" spans="1:38">
      <c r="A1055" t="s">
        <v>8697</v>
      </c>
      <c r="B1055" t="s">
        <v>12358</v>
      </c>
      <c r="C1055" t="s">
        <v>8704</v>
      </c>
      <c r="D1055" t="s">
        <v>8705</v>
      </c>
      <c r="E1055" s="2">
        <v>2080</v>
      </c>
      <c r="F1055" s="2">
        <v>2080</v>
      </c>
      <c r="G1055" s="3">
        <v>43277</v>
      </c>
      <c r="H1055" s="4">
        <v>0.28385416666667002</v>
      </c>
      <c r="I1055" s="3">
        <v>43277</v>
      </c>
      <c r="J1055" s="4">
        <v>0.41927083333332998</v>
      </c>
      <c r="K1055" s="2">
        <v>20</v>
      </c>
      <c r="L1055" t="s">
        <v>5856</v>
      </c>
      <c r="M1055" t="s">
        <v>8700</v>
      </c>
      <c r="N1055" s="3">
        <v>43321</v>
      </c>
      <c r="O1055" s="3">
        <v>43279</v>
      </c>
      <c r="P1055" t="s">
        <v>5876</v>
      </c>
      <c r="Q1055" t="s">
        <v>8717</v>
      </c>
      <c r="R1055" t="s">
        <v>6036</v>
      </c>
      <c r="S1055" s="3">
        <v>43321</v>
      </c>
      <c r="T1055" t="s">
        <v>9938</v>
      </c>
      <c r="U1055" t="s">
        <v>5931</v>
      </c>
      <c r="V1055" t="s">
        <v>8707</v>
      </c>
      <c r="W1055" t="s">
        <v>5857</v>
      </c>
      <c r="X1055" s="2">
        <v>640</v>
      </c>
      <c r="Y1055" t="s">
        <v>5858</v>
      </c>
      <c r="Z1055" t="s">
        <v>6037</v>
      </c>
      <c r="AA1055" s="2">
        <v>2080</v>
      </c>
      <c r="AB1055" t="s">
        <v>5859</v>
      </c>
      <c r="AC1055" t="s">
        <v>9976</v>
      </c>
      <c r="AD1055" s="32">
        <v>43236</v>
      </c>
      <c r="AJ1055" t="s">
        <v>9959</v>
      </c>
      <c r="AL1055" t="s">
        <v>11191</v>
      </c>
    </row>
    <row r="1056" spans="1:38">
      <c r="A1056" t="s">
        <v>8697</v>
      </c>
      <c r="B1056" t="s">
        <v>12359</v>
      </c>
      <c r="C1056" t="s">
        <v>8704</v>
      </c>
      <c r="D1056" t="s">
        <v>8705</v>
      </c>
      <c r="E1056" s="2">
        <v>2080</v>
      </c>
      <c r="F1056" s="2">
        <v>2080</v>
      </c>
      <c r="G1056" s="3">
        <v>43277</v>
      </c>
      <c r="H1056" s="4">
        <v>0.44010416666667002</v>
      </c>
      <c r="I1056" s="3">
        <v>43277</v>
      </c>
      <c r="J1056" s="4">
        <v>0.57552083333333004</v>
      </c>
      <c r="K1056" s="2">
        <v>20</v>
      </c>
      <c r="L1056" t="s">
        <v>5856</v>
      </c>
      <c r="M1056" t="s">
        <v>8700</v>
      </c>
      <c r="N1056" s="3">
        <v>43336</v>
      </c>
      <c r="O1056" s="3">
        <v>43279</v>
      </c>
      <c r="P1056" t="s">
        <v>5876</v>
      </c>
      <c r="Q1056" t="s">
        <v>8718</v>
      </c>
      <c r="R1056" t="s">
        <v>6036</v>
      </c>
      <c r="S1056" s="3">
        <v>43336</v>
      </c>
      <c r="T1056" t="s">
        <v>9938</v>
      </c>
      <c r="U1056" t="s">
        <v>5931</v>
      </c>
      <c r="V1056" t="s">
        <v>8707</v>
      </c>
      <c r="W1056" t="s">
        <v>5857</v>
      </c>
      <c r="X1056" s="2">
        <v>640</v>
      </c>
      <c r="Y1056" t="s">
        <v>5858</v>
      </c>
      <c r="Z1056" t="s">
        <v>6037</v>
      </c>
      <c r="AA1056" s="2">
        <v>2080</v>
      </c>
      <c r="AB1056" t="s">
        <v>5859</v>
      </c>
      <c r="AC1056" t="s">
        <v>9976</v>
      </c>
      <c r="AD1056" s="32">
        <v>43178</v>
      </c>
      <c r="AJ1056" t="s">
        <v>9959</v>
      </c>
      <c r="AL1056" t="s">
        <v>11192</v>
      </c>
    </row>
    <row r="1057" spans="1:38">
      <c r="A1057" t="s">
        <v>8697</v>
      </c>
      <c r="B1057" t="s">
        <v>12360</v>
      </c>
      <c r="C1057" t="s">
        <v>8704</v>
      </c>
      <c r="D1057" t="s">
        <v>8705</v>
      </c>
      <c r="E1057" s="2">
        <v>2080</v>
      </c>
      <c r="F1057" s="2">
        <v>2080</v>
      </c>
      <c r="G1057" s="3">
        <v>43277</v>
      </c>
      <c r="H1057" s="4">
        <v>0.59635416666666996</v>
      </c>
      <c r="I1057" s="3">
        <v>43277</v>
      </c>
      <c r="J1057" s="4">
        <v>0.73177083333333004</v>
      </c>
      <c r="K1057" s="2">
        <v>20</v>
      </c>
      <c r="L1057" t="s">
        <v>5856</v>
      </c>
      <c r="M1057" t="s">
        <v>8700</v>
      </c>
      <c r="N1057" s="3">
        <v>43350</v>
      </c>
      <c r="O1057" s="3">
        <v>43279</v>
      </c>
      <c r="P1057" t="s">
        <v>5876</v>
      </c>
      <c r="Q1057" t="s">
        <v>8719</v>
      </c>
      <c r="R1057" t="s">
        <v>6036</v>
      </c>
      <c r="S1057" s="3">
        <v>43350</v>
      </c>
      <c r="T1057" t="s">
        <v>9938</v>
      </c>
      <c r="U1057" t="s">
        <v>5931</v>
      </c>
      <c r="V1057" t="s">
        <v>8707</v>
      </c>
      <c r="W1057" t="s">
        <v>5857</v>
      </c>
      <c r="X1057" s="2">
        <v>640</v>
      </c>
      <c r="Y1057" t="s">
        <v>5858</v>
      </c>
      <c r="Z1057" t="s">
        <v>6037</v>
      </c>
      <c r="AA1057" s="2">
        <v>2080</v>
      </c>
      <c r="AB1057" t="s">
        <v>5859</v>
      </c>
      <c r="AC1057" t="s">
        <v>9976</v>
      </c>
      <c r="AD1057" s="32">
        <v>43236</v>
      </c>
      <c r="AJ1057" t="s">
        <v>9959</v>
      </c>
      <c r="AL1057" t="s">
        <v>11193</v>
      </c>
    </row>
    <row r="1058" spans="1:38">
      <c r="A1058" t="s">
        <v>8697</v>
      </c>
      <c r="B1058" t="s">
        <v>12361</v>
      </c>
      <c r="C1058" t="s">
        <v>8708</v>
      </c>
      <c r="D1058" t="s">
        <v>8709</v>
      </c>
      <c r="E1058" s="2">
        <v>962</v>
      </c>
      <c r="F1058" s="2">
        <v>962</v>
      </c>
      <c r="G1058" s="3">
        <v>43281</v>
      </c>
      <c r="H1058" s="4">
        <v>0.17708333333333001</v>
      </c>
      <c r="I1058" s="3">
        <v>43281</v>
      </c>
      <c r="J1058" s="4">
        <v>0.23971064814814999</v>
      </c>
      <c r="K1058" s="2">
        <v>8</v>
      </c>
      <c r="L1058" t="s">
        <v>5856</v>
      </c>
      <c r="M1058" t="s">
        <v>8728</v>
      </c>
      <c r="N1058" s="3">
        <v>43272</v>
      </c>
      <c r="O1058" s="3">
        <v>43283</v>
      </c>
      <c r="P1058" t="s">
        <v>7251</v>
      </c>
      <c r="Q1058" t="s">
        <v>8729</v>
      </c>
      <c r="R1058" t="s">
        <v>6036</v>
      </c>
      <c r="S1058" s="3">
        <v>43272</v>
      </c>
      <c r="T1058" t="s">
        <v>9938</v>
      </c>
      <c r="U1058" t="s">
        <v>8712</v>
      </c>
      <c r="V1058" t="s">
        <v>8713</v>
      </c>
      <c r="W1058" t="s">
        <v>5857</v>
      </c>
      <c r="X1058" s="2">
        <v>640</v>
      </c>
      <c r="Y1058" t="s">
        <v>5858</v>
      </c>
      <c r="Z1058" t="s">
        <v>6037</v>
      </c>
      <c r="AA1058" s="2">
        <v>925</v>
      </c>
      <c r="AB1058" t="s">
        <v>5859</v>
      </c>
      <c r="AC1058" t="s">
        <v>9976</v>
      </c>
      <c r="AD1058" s="32">
        <v>43277</v>
      </c>
      <c r="AJ1058" t="s">
        <v>9959</v>
      </c>
      <c r="AL1058" t="s">
        <v>11194</v>
      </c>
    </row>
    <row r="1059" spans="1:38">
      <c r="A1059" t="s">
        <v>8697</v>
      </c>
      <c r="B1059" t="s">
        <v>12362</v>
      </c>
      <c r="C1059" t="s">
        <v>8730</v>
      </c>
      <c r="D1059" t="s">
        <v>8731</v>
      </c>
      <c r="E1059" s="2">
        <v>239</v>
      </c>
      <c r="F1059" s="2">
        <v>6214</v>
      </c>
      <c r="G1059" s="3">
        <v>43282</v>
      </c>
      <c r="H1059" s="4">
        <v>0.10429398148148</v>
      </c>
      <c r="I1059" s="3">
        <v>43282</v>
      </c>
      <c r="J1059" s="4">
        <v>0.50884259259259002</v>
      </c>
      <c r="K1059" s="2">
        <v>8</v>
      </c>
      <c r="L1059" t="s">
        <v>5856</v>
      </c>
      <c r="M1059" t="s">
        <v>13401</v>
      </c>
      <c r="N1059" s="3">
        <v>43284</v>
      </c>
      <c r="O1059" s="3">
        <v>43284</v>
      </c>
      <c r="P1059" t="s">
        <v>5904</v>
      </c>
      <c r="Q1059" t="s">
        <v>6038</v>
      </c>
      <c r="R1059" t="s">
        <v>6039</v>
      </c>
      <c r="S1059" s="3"/>
      <c r="T1059" t="s">
        <v>9938</v>
      </c>
      <c r="U1059" t="s">
        <v>8733</v>
      </c>
      <c r="V1059" t="s">
        <v>8734</v>
      </c>
      <c r="W1059" t="s">
        <v>5857</v>
      </c>
      <c r="X1059" s="2">
        <v>640</v>
      </c>
      <c r="Y1059" t="s">
        <v>5858</v>
      </c>
      <c r="Z1059" t="s">
        <v>6037</v>
      </c>
      <c r="AA1059" s="2">
        <v>0</v>
      </c>
      <c r="AB1059" t="s">
        <v>5859</v>
      </c>
      <c r="AC1059" t="s">
        <v>9974</v>
      </c>
      <c r="AD1059" s="32">
        <v>43278</v>
      </c>
      <c r="AJ1059" t="s">
        <v>9957</v>
      </c>
      <c r="AL1059" t="s">
        <v>11195</v>
      </c>
    </row>
    <row r="1060" spans="1:38">
      <c r="A1060" t="s">
        <v>8697</v>
      </c>
      <c r="B1060" t="s">
        <v>12363</v>
      </c>
      <c r="C1060" t="s">
        <v>8735</v>
      </c>
      <c r="D1060" t="s">
        <v>8736</v>
      </c>
      <c r="E1060" s="2">
        <v>520</v>
      </c>
      <c r="F1060" s="2">
        <v>520</v>
      </c>
      <c r="G1060" s="3">
        <v>43286</v>
      </c>
      <c r="H1060" s="4">
        <v>0.34375</v>
      </c>
      <c r="I1060" s="3">
        <v>43286</v>
      </c>
      <c r="J1060" s="4">
        <v>0.37761574074074</v>
      </c>
      <c r="K1060" s="2">
        <v>0</v>
      </c>
      <c r="L1060" t="s">
        <v>5856</v>
      </c>
      <c r="M1060" t="s">
        <v>8737</v>
      </c>
      <c r="N1060" s="3">
        <v>43291</v>
      </c>
      <c r="O1060" s="3">
        <v>43288</v>
      </c>
      <c r="P1060" t="s">
        <v>5924</v>
      </c>
      <c r="Q1060" t="s">
        <v>8738</v>
      </c>
      <c r="R1060" t="s">
        <v>6036</v>
      </c>
      <c r="S1060" s="3">
        <v>43291</v>
      </c>
      <c r="T1060" t="s">
        <v>9938</v>
      </c>
      <c r="U1060" t="s">
        <v>5877</v>
      </c>
      <c r="V1060" t="s">
        <v>8739</v>
      </c>
      <c r="W1060" t="s">
        <v>5857</v>
      </c>
      <c r="X1060" s="2">
        <v>640</v>
      </c>
      <c r="Y1060" t="s">
        <v>5858</v>
      </c>
      <c r="Z1060" t="s">
        <v>6037</v>
      </c>
      <c r="AA1060" s="2">
        <v>500</v>
      </c>
      <c r="AB1060" t="s">
        <v>5859</v>
      </c>
      <c r="AC1060" t="s">
        <v>9976</v>
      </c>
      <c r="AD1060" s="32">
        <v>43270</v>
      </c>
      <c r="AJ1060" t="s">
        <v>9959</v>
      </c>
      <c r="AL1060" t="s">
        <v>11196</v>
      </c>
    </row>
    <row r="1061" spans="1:38">
      <c r="A1061" t="s">
        <v>8697</v>
      </c>
      <c r="B1061" t="s">
        <v>12398</v>
      </c>
      <c r="C1061" t="s">
        <v>8865</v>
      </c>
      <c r="D1061" t="s">
        <v>8866</v>
      </c>
      <c r="E1061" s="2">
        <v>3120</v>
      </c>
      <c r="F1061" s="2">
        <v>3120</v>
      </c>
      <c r="G1061" s="3">
        <v>43286</v>
      </c>
      <c r="H1061" s="4">
        <v>0.40539351851852001</v>
      </c>
      <c r="I1061" s="3">
        <v>43286</v>
      </c>
      <c r="J1061" s="4">
        <v>0.60851851851852001</v>
      </c>
      <c r="K1061" s="2">
        <v>20</v>
      </c>
      <c r="L1061" t="s">
        <v>5856</v>
      </c>
      <c r="M1061" t="s">
        <v>8710</v>
      </c>
      <c r="N1061" s="3">
        <v>43293</v>
      </c>
      <c r="O1061" s="3">
        <v>43288</v>
      </c>
      <c r="P1061" t="s">
        <v>7251</v>
      </c>
      <c r="Q1061" t="s">
        <v>8867</v>
      </c>
      <c r="R1061" t="s">
        <v>6036</v>
      </c>
      <c r="S1061" s="3">
        <v>43293</v>
      </c>
      <c r="T1061" t="s">
        <v>9938</v>
      </c>
      <c r="U1061" t="s">
        <v>8412</v>
      </c>
      <c r="V1061" t="s">
        <v>8868</v>
      </c>
      <c r="W1061" t="s">
        <v>5857</v>
      </c>
      <c r="X1061" s="2">
        <v>640</v>
      </c>
      <c r="Y1061" t="s">
        <v>5858</v>
      </c>
      <c r="Z1061" t="s">
        <v>6037</v>
      </c>
      <c r="AA1061" s="2">
        <v>3000</v>
      </c>
      <c r="AB1061" t="s">
        <v>5863</v>
      </c>
      <c r="AC1061" t="s">
        <v>9974</v>
      </c>
      <c r="AD1061" s="32">
        <v>43276</v>
      </c>
      <c r="AJ1061" t="s">
        <v>9957</v>
      </c>
      <c r="AL1061" t="s">
        <v>11227</v>
      </c>
    </row>
    <row r="1062" spans="1:38">
      <c r="A1062" t="s">
        <v>8697</v>
      </c>
      <c r="B1062" t="s">
        <v>12364</v>
      </c>
      <c r="C1062" t="s">
        <v>8431</v>
      </c>
      <c r="D1062" t="s">
        <v>8432</v>
      </c>
      <c r="E1062" s="2">
        <v>1040</v>
      </c>
      <c r="F1062" s="2">
        <v>1040</v>
      </c>
      <c r="G1062" s="3">
        <v>43286</v>
      </c>
      <c r="H1062" s="4">
        <v>0.63629629629630002</v>
      </c>
      <c r="I1062" s="3">
        <v>43286</v>
      </c>
      <c r="J1062" s="4">
        <v>0.70400462962962995</v>
      </c>
      <c r="K1062" s="2">
        <v>20</v>
      </c>
      <c r="L1062" t="s">
        <v>5856</v>
      </c>
      <c r="M1062" t="s">
        <v>6945</v>
      </c>
      <c r="N1062" s="3">
        <v>43290</v>
      </c>
      <c r="O1062" s="3">
        <v>43288</v>
      </c>
      <c r="P1062" t="s">
        <v>5924</v>
      </c>
      <c r="Q1062" t="s">
        <v>8740</v>
      </c>
      <c r="R1062" t="s">
        <v>6036</v>
      </c>
      <c r="S1062" s="3">
        <v>43290</v>
      </c>
      <c r="T1062" t="s">
        <v>9938</v>
      </c>
      <c r="U1062" t="s">
        <v>8412</v>
      </c>
      <c r="V1062" t="s">
        <v>8434</v>
      </c>
      <c r="W1062" t="s">
        <v>5857</v>
      </c>
      <c r="X1062" s="2">
        <v>640</v>
      </c>
      <c r="Y1062" t="s">
        <v>5858</v>
      </c>
      <c r="Z1062" t="s">
        <v>6037</v>
      </c>
      <c r="AA1062" s="2">
        <v>1000</v>
      </c>
      <c r="AB1062" t="s">
        <v>5859</v>
      </c>
      <c r="AC1062" t="s">
        <v>9974</v>
      </c>
      <c r="AD1062" s="32">
        <v>43222</v>
      </c>
      <c r="AJ1062" t="s">
        <v>9957</v>
      </c>
      <c r="AL1062" t="s">
        <v>11197</v>
      </c>
    </row>
    <row r="1063" spans="1:38">
      <c r="A1063" t="s">
        <v>8697</v>
      </c>
      <c r="B1063" t="s">
        <v>12365</v>
      </c>
      <c r="C1063" t="s">
        <v>8741</v>
      </c>
      <c r="D1063" t="s">
        <v>8742</v>
      </c>
      <c r="E1063" s="2">
        <v>728</v>
      </c>
      <c r="F1063" s="2">
        <v>728</v>
      </c>
      <c r="G1063" s="3">
        <v>43286</v>
      </c>
      <c r="H1063" s="4">
        <v>0.73178240740740996</v>
      </c>
      <c r="I1063" s="3">
        <v>43286</v>
      </c>
      <c r="J1063" s="4">
        <v>0.77918981481480998</v>
      </c>
      <c r="K1063" s="2">
        <v>0</v>
      </c>
      <c r="L1063" t="s">
        <v>5856</v>
      </c>
      <c r="M1063" t="s">
        <v>8743</v>
      </c>
      <c r="N1063" s="3">
        <v>43294</v>
      </c>
      <c r="O1063" s="3">
        <v>43293</v>
      </c>
      <c r="P1063" t="s">
        <v>5876</v>
      </c>
      <c r="Q1063" t="s">
        <v>8744</v>
      </c>
      <c r="R1063" t="s">
        <v>6036</v>
      </c>
      <c r="S1063" s="3">
        <v>43294</v>
      </c>
      <c r="T1063" t="s">
        <v>9938</v>
      </c>
      <c r="U1063" t="s">
        <v>5931</v>
      </c>
      <c r="V1063" t="s">
        <v>8745</v>
      </c>
      <c r="W1063" t="s">
        <v>5857</v>
      </c>
      <c r="X1063" s="2">
        <v>640</v>
      </c>
      <c r="Y1063" t="s">
        <v>5858</v>
      </c>
      <c r="Z1063" t="s">
        <v>6037</v>
      </c>
      <c r="AA1063" s="2">
        <v>700</v>
      </c>
      <c r="AB1063" t="s">
        <v>5859</v>
      </c>
      <c r="AC1063" t="s">
        <v>9976</v>
      </c>
      <c r="AD1063" s="32">
        <v>43262</v>
      </c>
      <c r="AJ1063" t="s">
        <v>9959</v>
      </c>
      <c r="AL1063" t="s">
        <v>11198</v>
      </c>
    </row>
    <row r="1064" spans="1:38">
      <c r="A1064" t="s">
        <v>8697</v>
      </c>
      <c r="B1064" t="s">
        <v>12366</v>
      </c>
      <c r="C1064" t="s">
        <v>8446</v>
      </c>
      <c r="D1064" t="s">
        <v>8447</v>
      </c>
      <c r="E1064" s="2">
        <v>5200</v>
      </c>
      <c r="F1064" s="2">
        <v>5200</v>
      </c>
      <c r="G1064" s="3">
        <v>43287</v>
      </c>
      <c r="H1064" s="4">
        <v>4.1678240740740002E-2</v>
      </c>
      <c r="I1064" s="3">
        <v>43287</v>
      </c>
      <c r="J1064" s="4">
        <v>0.38021990740741002</v>
      </c>
      <c r="K1064" s="2">
        <v>20</v>
      </c>
      <c r="L1064" t="s">
        <v>5856</v>
      </c>
      <c r="M1064" t="s">
        <v>8746</v>
      </c>
      <c r="N1064" s="3">
        <v>43290</v>
      </c>
      <c r="O1064" s="3">
        <v>43289</v>
      </c>
      <c r="P1064" t="s">
        <v>7251</v>
      </c>
      <c r="Q1064" t="s">
        <v>8747</v>
      </c>
      <c r="R1064" t="s">
        <v>6036</v>
      </c>
      <c r="S1064" s="3">
        <v>43290</v>
      </c>
      <c r="T1064" t="s">
        <v>9938</v>
      </c>
      <c r="U1064" t="s">
        <v>8412</v>
      </c>
      <c r="V1064" t="s">
        <v>8449</v>
      </c>
      <c r="W1064" t="s">
        <v>5857</v>
      </c>
      <c r="X1064" s="2">
        <v>640</v>
      </c>
      <c r="Y1064" t="s">
        <v>5858</v>
      </c>
      <c r="Z1064" t="s">
        <v>6037</v>
      </c>
      <c r="AA1064" s="2">
        <v>5000</v>
      </c>
      <c r="AB1064" t="s">
        <v>5859</v>
      </c>
      <c r="AC1064" t="s">
        <v>9974</v>
      </c>
      <c r="AD1064" s="32">
        <v>43228</v>
      </c>
      <c r="AJ1064" t="s">
        <v>9957</v>
      </c>
      <c r="AL1064" t="s">
        <v>11199</v>
      </c>
    </row>
    <row r="1065" spans="1:38">
      <c r="A1065" t="s">
        <v>8697</v>
      </c>
      <c r="B1065" t="s">
        <v>12367</v>
      </c>
      <c r="C1065" t="s">
        <v>8751</v>
      </c>
      <c r="D1065" t="s">
        <v>8752</v>
      </c>
      <c r="E1065" s="2">
        <v>200</v>
      </c>
      <c r="F1065" s="2">
        <v>200</v>
      </c>
      <c r="G1065" s="3">
        <v>43287</v>
      </c>
      <c r="H1065" s="4">
        <v>0.45575231481480999</v>
      </c>
      <c r="I1065" s="3">
        <v>43287</v>
      </c>
      <c r="J1065" s="4">
        <v>0.46877314814815002</v>
      </c>
      <c r="K1065" s="2">
        <v>4</v>
      </c>
      <c r="L1065" t="s">
        <v>5856</v>
      </c>
      <c r="M1065" t="s">
        <v>8753</v>
      </c>
      <c r="N1065" s="3">
        <v>43280</v>
      </c>
      <c r="O1065" s="3">
        <v>43289</v>
      </c>
      <c r="P1065" t="s">
        <v>5911</v>
      </c>
      <c r="Q1065" t="s">
        <v>6038</v>
      </c>
      <c r="R1065" t="s">
        <v>6039</v>
      </c>
      <c r="S1065" s="3"/>
      <c r="T1065" t="s">
        <v>9938</v>
      </c>
      <c r="U1065" t="s">
        <v>8754</v>
      </c>
      <c r="V1065" t="s">
        <v>8755</v>
      </c>
      <c r="W1065" t="s">
        <v>5857</v>
      </c>
      <c r="X1065" s="2">
        <v>640</v>
      </c>
      <c r="Y1065" t="s">
        <v>5858</v>
      </c>
      <c r="Z1065" t="s">
        <v>6037</v>
      </c>
      <c r="AA1065" s="2">
        <v>200</v>
      </c>
      <c r="AB1065" t="s">
        <v>5863</v>
      </c>
      <c r="AC1065" t="s">
        <v>9974</v>
      </c>
      <c r="AD1065" s="32">
        <v>43274</v>
      </c>
      <c r="AJ1065" t="s">
        <v>9958</v>
      </c>
      <c r="AL1065" t="s">
        <v>11200</v>
      </c>
    </row>
    <row r="1066" spans="1:38">
      <c r="A1066" t="s">
        <v>8697</v>
      </c>
      <c r="B1066" t="s">
        <v>12368</v>
      </c>
      <c r="C1066" t="s">
        <v>8756</v>
      </c>
      <c r="D1066" t="s">
        <v>8757</v>
      </c>
      <c r="E1066" s="2">
        <v>31</v>
      </c>
      <c r="F1066" s="2">
        <v>806</v>
      </c>
      <c r="G1066" s="3">
        <v>43288</v>
      </c>
      <c r="H1066" s="4">
        <v>2.0833333333330002E-2</v>
      </c>
      <c r="I1066" s="3">
        <v>43288</v>
      </c>
      <c r="J1066" s="4">
        <v>7.3298611111109996E-2</v>
      </c>
      <c r="K1066" s="2">
        <v>0</v>
      </c>
      <c r="L1066" t="s">
        <v>5856</v>
      </c>
      <c r="M1066" t="s">
        <v>8758</v>
      </c>
      <c r="N1066" s="3">
        <v>43291</v>
      </c>
      <c r="O1066" s="3">
        <v>43290</v>
      </c>
      <c r="P1066" t="s">
        <v>5929</v>
      </c>
      <c r="Q1066" t="s">
        <v>6038</v>
      </c>
      <c r="R1066" t="s">
        <v>6039</v>
      </c>
      <c r="S1066" s="3"/>
      <c r="T1066" t="s">
        <v>9938</v>
      </c>
      <c r="U1066" t="s">
        <v>7490</v>
      </c>
      <c r="V1066" t="s">
        <v>8760</v>
      </c>
      <c r="W1066" t="s">
        <v>5857</v>
      </c>
      <c r="X1066" s="2">
        <v>640</v>
      </c>
      <c r="Y1066" t="s">
        <v>5858</v>
      </c>
      <c r="Z1066" t="s">
        <v>6037</v>
      </c>
      <c r="AA1066" s="2">
        <v>0</v>
      </c>
      <c r="AB1066" t="s">
        <v>5859</v>
      </c>
      <c r="AC1066" t="s">
        <v>9976</v>
      </c>
      <c r="AD1066" s="32">
        <v>43262</v>
      </c>
      <c r="AJ1066" t="s">
        <v>9957</v>
      </c>
      <c r="AL1066" t="s">
        <v>11201</v>
      </c>
    </row>
    <row r="1067" spans="1:38">
      <c r="A1067" t="s">
        <v>8697</v>
      </c>
      <c r="B1067" t="s">
        <v>13402</v>
      </c>
      <c r="C1067" t="s">
        <v>8330</v>
      </c>
      <c r="D1067" t="s">
        <v>8331</v>
      </c>
      <c r="E1067" s="2">
        <v>10400</v>
      </c>
      <c r="F1067" s="2">
        <v>10400</v>
      </c>
      <c r="G1067" s="3">
        <v>43288</v>
      </c>
      <c r="H1067" s="4">
        <v>2.0833333333330002E-2</v>
      </c>
      <c r="I1067" s="3">
        <v>43288</v>
      </c>
      <c r="J1067" s="4">
        <v>0.69791666666666996</v>
      </c>
      <c r="K1067" s="2">
        <v>0</v>
      </c>
      <c r="L1067" t="s">
        <v>5856</v>
      </c>
      <c r="M1067" t="s">
        <v>8724</v>
      </c>
      <c r="N1067" s="3">
        <v>43290</v>
      </c>
      <c r="O1067" s="3">
        <v>43290</v>
      </c>
      <c r="P1067" t="s">
        <v>5876</v>
      </c>
      <c r="Q1067" t="s">
        <v>8332</v>
      </c>
      <c r="R1067" t="s">
        <v>6036</v>
      </c>
      <c r="S1067" s="3">
        <v>43290</v>
      </c>
      <c r="T1067" t="s">
        <v>9938</v>
      </c>
      <c r="U1067" t="s">
        <v>5923</v>
      </c>
      <c r="V1067" t="s">
        <v>8333</v>
      </c>
      <c r="W1067" t="s">
        <v>5857</v>
      </c>
      <c r="X1067" s="2">
        <v>640</v>
      </c>
      <c r="Y1067" t="s">
        <v>5858</v>
      </c>
      <c r="Z1067" t="s">
        <v>6037</v>
      </c>
      <c r="AA1067" s="2">
        <v>10000</v>
      </c>
      <c r="AB1067" t="s">
        <v>5859</v>
      </c>
      <c r="AC1067" t="s">
        <v>9974</v>
      </c>
      <c r="AD1067" s="32">
        <v>43279</v>
      </c>
      <c r="AJ1067" t="s">
        <v>9959</v>
      </c>
      <c r="AL1067" t="s">
        <v>14126</v>
      </c>
    </row>
    <row r="1068" spans="1:38">
      <c r="A1068" t="s">
        <v>8697</v>
      </c>
      <c r="B1068" t="s">
        <v>13403</v>
      </c>
      <c r="C1068" t="s">
        <v>8730</v>
      </c>
      <c r="D1068" t="s">
        <v>8731</v>
      </c>
      <c r="E1068" s="2">
        <v>3120</v>
      </c>
      <c r="F1068" s="2">
        <v>3120</v>
      </c>
      <c r="G1068" s="3">
        <v>43288</v>
      </c>
      <c r="H1068" s="4">
        <v>0.81770833333333004</v>
      </c>
      <c r="I1068" s="3">
        <v>43289</v>
      </c>
      <c r="J1068" s="4">
        <v>2.0833333333330002E-2</v>
      </c>
      <c r="K1068" s="2">
        <v>0</v>
      </c>
      <c r="L1068" t="s">
        <v>5856</v>
      </c>
      <c r="M1068" t="s">
        <v>8710</v>
      </c>
      <c r="N1068" s="3">
        <v>43290</v>
      </c>
      <c r="O1068" s="3">
        <v>43291</v>
      </c>
      <c r="P1068" t="s">
        <v>5904</v>
      </c>
      <c r="Q1068" t="s">
        <v>13404</v>
      </c>
      <c r="R1068" t="s">
        <v>6036</v>
      </c>
      <c r="S1068" s="3">
        <v>43291</v>
      </c>
      <c r="T1068" t="s">
        <v>9938</v>
      </c>
      <c r="U1068" t="s">
        <v>8733</v>
      </c>
      <c r="V1068" t="s">
        <v>8734</v>
      </c>
      <c r="W1068" t="s">
        <v>5857</v>
      </c>
      <c r="X1068" s="2">
        <v>640</v>
      </c>
      <c r="Y1068" t="s">
        <v>5858</v>
      </c>
      <c r="Z1068" t="s">
        <v>6037</v>
      </c>
      <c r="AA1068" s="2">
        <v>3000</v>
      </c>
      <c r="AB1068" t="s">
        <v>5863</v>
      </c>
      <c r="AC1068" t="s">
        <v>9974</v>
      </c>
      <c r="AD1068" s="32">
        <v>43280</v>
      </c>
      <c r="AJ1068" t="s">
        <v>9957</v>
      </c>
      <c r="AL1068" t="s">
        <v>14127</v>
      </c>
    </row>
    <row r="1069" spans="1:38">
      <c r="A1069" t="s">
        <v>8697</v>
      </c>
      <c r="B1069" t="s">
        <v>12369</v>
      </c>
      <c r="C1069" t="s">
        <v>8431</v>
      </c>
      <c r="D1069" t="s">
        <v>8432</v>
      </c>
      <c r="E1069" s="2">
        <v>1040</v>
      </c>
      <c r="F1069" s="2">
        <v>1040</v>
      </c>
      <c r="G1069" s="3">
        <v>43289</v>
      </c>
      <c r="H1069" s="4">
        <v>4.1666666666670002E-2</v>
      </c>
      <c r="I1069" s="3">
        <v>43289</v>
      </c>
      <c r="J1069" s="4">
        <v>0.109375</v>
      </c>
      <c r="K1069" s="2">
        <v>20</v>
      </c>
      <c r="L1069" t="s">
        <v>5856</v>
      </c>
      <c r="M1069" t="s">
        <v>6945</v>
      </c>
      <c r="N1069" s="3">
        <v>43291</v>
      </c>
      <c r="O1069" s="3">
        <v>43291</v>
      </c>
      <c r="P1069" t="s">
        <v>5924</v>
      </c>
      <c r="Q1069" t="s">
        <v>8761</v>
      </c>
      <c r="R1069" t="s">
        <v>6036</v>
      </c>
      <c r="S1069" s="3">
        <v>43291</v>
      </c>
      <c r="T1069" t="s">
        <v>9938</v>
      </c>
      <c r="U1069" t="s">
        <v>8412</v>
      </c>
      <c r="V1069" t="s">
        <v>8434</v>
      </c>
      <c r="W1069" t="s">
        <v>5857</v>
      </c>
      <c r="X1069" s="2">
        <v>640</v>
      </c>
      <c r="Y1069" t="s">
        <v>5858</v>
      </c>
      <c r="Z1069" t="s">
        <v>6037</v>
      </c>
      <c r="AA1069" s="2">
        <v>1000</v>
      </c>
      <c r="AB1069" t="s">
        <v>5859</v>
      </c>
      <c r="AC1069" t="s">
        <v>9974</v>
      </c>
      <c r="AD1069" s="32">
        <v>43249</v>
      </c>
      <c r="AJ1069" t="s">
        <v>9957</v>
      </c>
      <c r="AL1069" t="s">
        <v>11202</v>
      </c>
    </row>
    <row r="1070" spans="1:38">
      <c r="A1070" t="s">
        <v>8697</v>
      </c>
      <c r="B1070" t="s">
        <v>12370</v>
      </c>
      <c r="C1070" t="s">
        <v>8762</v>
      </c>
      <c r="D1070" t="s">
        <v>8763</v>
      </c>
      <c r="E1070" s="2">
        <v>13</v>
      </c>
      <c r="F1070" s="2">
        <v>338</v>
      </c>
      <c r="G1070" s="3">
        <v>43289</v>
      </c>
      <c r="H1070" s="4">
        <v>0.13020833333333001</v>
      </c>
      <c r="I1070" s="3">
        <v>43289</v>
      </c>
      <c r="J1070" s="4">
        <v>0.15221064814815</v>
      </c>
      <c r="K1070" s="2">
        <v>0</v>
      </c>
      <c r="L1070" t="s">
        <v>5856</v>
      </c>
      <c r="M1070" t="s">
        <v>8764</v>
      </c>
      <c r="N1070" s="3">
        <v>43292</v>
      </c>
      <c r="O1070" s="3">
        <v>43291</v>
      </c>
      <c r="P1070" t="s">
        <v>5924</v>
      </c>
      <c r="Q1070" t="s">
        <v>6038</v>
      </c>
      <c r="R1070" t="s">
        <v>6039</v>
      </c>
      <c r="S1070" s="3"/>
      <c r="T1070" t="s">
        <v>9938</v>
      </c>
      <c r="U1070" t="s">
        <v>5877</v>
      </c>
      <c r="V1070" t="s">
        <v>8765</v>
      </c>
      <c r="W1070" t="s">
        <v>5857</v>
      </c>
      <c r="X1070" s="2">
        <v>640</v>
      </c>
      <c r="Y1070" t="s">
        <v>5858</v>
      </c>
      <c r="Z1070" t="s">
        <v>6037</v>
      </c>
      <c r="AA1070" s="2">
        <v>0</v>
      </c>
      <c r="AB1070" t="s">
        <v>5859</v>
      </c>
      <c r="AC1070" t="s">
        <v>9976</v>
      </c>
      <c r="AD1070" s="32">
        <v>43250</v>
      </c>
      <c r="AJ1070" t="s">
        <v>9959</v>
      </c>
      <c r="AL1070" t="s">
        <v>11203</v>
      </c>
    </row>
    <row r="1071" spans="1:38">
      <c r="A1071" t="s">
        <v>8697</v>
      </c>
      <c r="B1071" t="s">
        <v>12371</v>
      </c>
      <c r="C1071" t="s">
        <v>8766</v>
      </c>
      <c r="D1071" t="s">
        <v>8767</v>
      </c>
      <c r="E1071" s="2">
        <v>400</v>
      </c>
      <c r="F1071" s="2">
        <v>10400</v>
      </c>
      <c r="G1071" s="3">
        <v>43289</v>
      </c>
      <c r="H1071" s="4">
        <v>0.18693287037037001</v>
      </c>
      <c r="I1071" s="3">
        <v>43289</v>
      </c>
      <c r="J1071" s="4">
        <v>0.86401620370370003</v>
      </c>
      <c r="K1071" s="2">
        <v>0</v>
      </c>
      <c r="L1071" t="s">
        <v>5856</v>
      </c>
      <c r="M1071" t="s">
        <v>8724</v>
      </c>
      <c r="N1071" s="3">
        <v>43292</v>
      </c>
      <c r="O1071" s="3">
        <v>43291</v>
      </c>
      <c r="P1071" t="s">
        <v>5898</v>
      </c>
      <c r="Q1071" t="s">
        <v>6038</v>
      </c>
      <c r="R1071" t="s">
        <v>6039</v>
      </c>
      <c r="S1071" s="3"/>
      <c r="T1071" t="s">
        <v>9938</v>
      </c>
      <c r="U1071" t="s">
        <v>8768</v>
      </c>
      <c r="V1071" t="s">
        <v>8541</v>
      </c>
      <c r="W1071" t="s">
        <v>5857</v>
      </c>
      <c r="X1071" s="2">
        <v>640</v>
      </c>
      <c r="Y1071" t="s">
        <v>5858</v>
      </c>
      <c r="Z1071" t="s">
        <v>6037</v>
      </c>
      <c r="AA1071" s="2">
        <v>0</v>
      </c>
      <c r="AB1071" t="s">
        <v>5859</v>
      </c>
      <c r="AC1071" t="s">
        <v>9976</v>
      </c>
      <c r="AD1071" s="32">
        <v>43069</v>
      </c>
      <c r="AJ1071" t="s">
        <v>9957</v>
      </c>
      <c r="AL1071" t="s">
        <v>11204</v>
      </c>
    </row>
    <row r="1072" spans="1:38">
      <c r="A1072" t="s">
        <v>8697</v>
      </c>
      <c r="B1072" t="s">
        <v>13405</v>
      </c>
      <c r="C1072" t="s">
        <v>8821</v>
      </c>
      <c r="D1072" t="s">
        <v>8822</v>
      </c>
      <c r="E1072" s="2">
        <v>1456</v>
      </c>
      <c r="F1072" s="2">
        <v>1456</v>
      </c>
      <c r="G1072" s="3">
        <v>43290</v>
      </c>
      <c r="H1072" s="4">
        <v>2.0833333333330002E-2</v>
      </c>
      <c r="I1072" s="3">
        <v>43290</v>
      </c>
      <c r="J1072" s="4">
        <v>0.11562500000000001</v>
      </c>
      <c r="K1072" s="2">
        <v>0</v>
      </c>
      <c r="L1072" t="s">
        <v>5856</v>
      </c>
      <c r="M1072" t="s">
        <v>8823</v>
      </c>
      <c r="N1072" s="3"/>
      <c r="O1072" s="3">
        <v>43292</v>
      </c>
      <c r="P1072" t="s">
        <v>7206</v>
      </c>
      <c r="Q1072" t="s">
        <v>8824</v>
      </c>
      <c r="R1072" t="s">
        <v>6036</v>
      </c>
      <c r="S1072" s="3">
        <v>43300</v>
      </c>
      <c r="T1072" t="s">
        <v>9938</v>
      </c>
      <c r="U1072" t="s">
        <v>8825</v>
      </c>
      <c r="V1072" t="s">
        <v>8458</v>
      </c>
      <c r="W1072" t="s">
        <v>5857</v>
      </c>
      <c r="X1072" s="2">
        <v>640</v>
      </c>
      <c r="Y1072" t="s">
        <v>5858</v>
      </c>
      <c r="Z1072" t="s">
        <v>6037</v>
      </c>
      <c r="AA1072" s="2">
        <v>1400</v>
      </c>
      <c r="AB1072" t="s">
        <v>5863</v>
      </c>
      <c r="AC1072" t="s">
        <v>9974</v>
      </c>
      <c r="AD1072" s="32">
        <v>43280</v>
      </c>
      <c r="AJ1072" t="s">
        <v>9957</v>
      </c>
      <c r="AL1072" t="s">
        <v>14128</v>
      </c>
    </row>
    <row r="1073" spans="1:38">
      <c r="A1073" t="s">
        <v>8697</v>
      </c>
      <c r="B1073" t="s">
        <v>12374</v>
      </c>
      <c r="C1073" t="s">
        <v>8775</v>
      </c>
      <c r="D1073" t="s">
        <v>8776</v>
      </c>
      <c r="E1073" s="2">
        <v>245</v>
      </c>
      <c r="F1073" s="2">
        <v>3120</v>
      </c>
      <c r="G1073" s="3">
        <v>43290</v>
      </c>
      <c r="H1073" s="4">
        <v>0.18402777777778001</v>
      </c>
      <c r="I1073" s="3">
        <v>43290</v>
      </c>
      <c r="J1073" s="4">
        <v>0.38715277777778001</v>
      </c>
      <c r="K1073" s="2">
        <v>20</v>
      </c>
      <c r="L1073" t="s">
        <v>5856</v>
      </c>
      <c r="M1073" t="s">
        <v>8710</v>
      </c>
      <c r="N1073" s="3">
        <v>43291</v>
      </c>
      <c r="O1073" s="3">
        <v>43292</v>
      </c>
      <c r="P1073" t="s">
        <v>5924</v>
      </c>
      <c r="Q1073" t="s">
        <v>8777</v>
      </c>
      <c r="R1073" t="s">
        <v>6036</v>
      </c>
      <c r="S1073" s="3">
        <v>43291</v>
      </c>
      <c r="T1073" t="s">
        <v>9938</v>
      </c>
      <c r="U1073" t="s">
        <v>5922</v>
      </c>
      <c r="V1073" t="s">
        <v>8778</v>
      </c>
      <c r="W1073" t="s">
        <v>5857</v>
      </c>
      <c r="X1073" s="2">
        <v>640</v>
      </c>
      <c r="Y1073" t="s">
        <v>5858</v>
      </c>
      <c r="Z1073" t="s">
        <v>6037</v>
      </c>
      <c r="AA1073" s="2">
        <v>125</v>
      </c>
      <c r="AB1073" t="s">
        <v>5859</v>
      </c>
      <c r="AC1073" t="s">
        <v>9974</v>
      </c>
      <c r="AD1073" s="32">
        <v>43217</v>
      </c>
      <c r="AJ1073" t="s">
        <v>9959</v>
      </c>
      <c r="AL1073" t="s">
        <v>11207</v>
      </c>
    </row>
    <row r="1074" spans="1:38">
      <c r="A1074" t="s">
        <v>8697</v>
      </c>
      <c r="B1074" t="s">
        <v>12372</v>
      </c>
      <c r="C1074" t="s">
        <v>8769</v>
      </c>
      <c r="D1074" t="s">
        <v>8770</v>
      </c>
      <c r="E1074" s="2">
        <v>2054</v>
      </c>
      <c r="F1074" s="2">
        <v>2054</v>
      </c>
      <c r="G1074" s="3">
        <v>43290</v>
      </c>
      <c r="H1074" s="4">
        <v>0.27070601851852</v>
      </c>
      <c r="I1074" s="3">
        <v>43290</v>
      </c>
      <c r="J1074" s="4">
        <v>0.40442129629630003</v>
      </c>
      <c r="K1074" s="2">
        <v>20</v>
      </c>
      <c r="L1074" t="s">
        <v>5856</v>
      </c>
      <c r="M1074" t="s">
        <v>8771</v>
      </c>
      <c r="N1074" s="3">
        <v>43293</v>
      </c>
      <c r="O1074" s="3">
        <v>43292</v>
      </c>
      <c r="P1074" t="s">
        <v>7251</v>
      </c>
      <c r="Q1074" t="s">
        <v>8772</v>
      </c>
      <c r="R1074" t="s">
        <v>6036</v>
      </c>
      <c r="S1074" s="3">
        <v>43293</v>
      </c>
      <c r="T1074" t="s">
        <v>9938</v>
      </c>
      <c r="U1074" t="s">
        <v>5877</v>
      </c>
      <c r="V1074" t="s">
        <v>8773</v>
      </c>
      <c r="W1074" t="s">
        <v>5857</v>
      </c>
      <c r="X1074" s="2">
        <v>640</v>
      </c>
      <c r="Y1074" t="s">
        <v>5858</v>
      </c>
      <c r="Z1074" t="s">
        <v>6037</v>
      </c>
      <c r="AA1074" s="2">
        <v>1975</v>
      </c>
      <c r="AB1074" t="s">
        <v>5859</v>
      </c>
      <c r="AC1074" t="s">
        <v>9976</v>
      </c>
      <c r="AD1074" s="32">
        <v>43273</v>
      </c>
      <c r="AJ1074" t="s">
        <v>9959</v>
      </c>
      <c r="AL1074" t="s">
        <v>11205</v>
      </c>
    </row>
    <row r="1075" spans="1:38">
      <c r="A1075" t="s">
        <v>8697</v>
      </c>
      <c r="B1075" t="s">
        <v>12373</v>
      </c>
      <c r="C1075" t="s">
        <v>8427</v>
      </c>
      <c r="D1075" t="s">
        <v>8428</v>
      </c>
      <c r="E1075" s="2">
        <v>2080</v>
      </c>
      <c r="F1075" s="2">
        <v>2080</v>
      </c>
      <c r="G1075" s="3">
        <v>43290</v>
      </c>
      <c r="H1075" s="4">
        <v>0.42525462962963001</v>
      </c>
      <c r="I1075" s="3">
        <v>43290</v>
      </c>
      <c r="J1075" s="4">
        <v>0.56067129629629997</v>
      </c>
      <c r="K1075" s="2">
        <v>20</v>
      </c>
      <c r="L1075" t="s">
        <v>5856</v>
      </c>
      <c r="M1075" t="s">
        <v>8700</v>
      </c>
      <c r="N1075" s="3">
        <v>43292</v>
      </c>
      <c r="O1075" s="3">
        <v>43292</v>
      </c>
      <c r="P1075" t="s">
        <v>7251</v>
      </c>
      <c r="Q1075" t="s">
        <v>8774</v>
      </c>
      <c r="R1075" t="s">
        <v>6036</v>
      </c>
      <c r="S1075" s="3">
        <v>43292</v>
      </c>
      <c r="T1075" t="s">
        <v>9938</v>
      </c>
      <c r="U1075" t="s">
        <v>8412</v>
      </c>
      <c r="V1075" t="s">
        <v>8430</v>
      </c>
      <c r="W1075" t="s">
        <v>5857</v>
      </c>
      <c r="X1075" s="2">
        <v>640</v>
      </c>
      <c r="Y1075" t="s">
        <v>5858</v>
      </c>
      <c r="Z1075" t="s">
        <v>6037</v>
      </c>
      <c r="AA1075" s="2">
        <v>2000</v>
      </c>
      <c r="AB1075" t="s">
        <v>5859</v>
      </c>
      <c r="AC1075" t="s">
        <v>9974</v>
      </c>
      <c r="AD1075" s="32">
        <v>43193</v>
      </c>
      <c r="AJ1075" t="s">
        <v>9957</v>
      </c>
      <c r="AL1075" t="s">
        <v>11206</v>
      </c>
    </row>
    <row r="1076" spans="1:38">
      <c r="A1076" t="s">
        <v>8697</v>
      </c>
      <c r="B1076" t="s">
        <v>13406</v>
      </c>
      <c r="C1076" t="s">
        <v>6461</v>
      </c>
      <c r="D1076" t="s">
        <v>6462</v>
      </c>
      <c r="E1076" s="2">
        <v>1560</v>
      </c>
      <c r="F1076" s="2">
        <v>1560</v>
      </c>
      <c r="G1076" s="3">
        <v>43290</v>
      </c>
      <c r="H1076" s="4">
        <v>0.60012731481480996</v>
      </c>
      <c r="I1076" s="3">
        <v>43290</v>
      </c>
      <c r="J1076" s="4">
        <v>0.70168981481480996</v>
      </c>
      <c r="K1076" s="2">
        <v>0</v>
      </c>
      <c r="L1076" t="s">
        <v>5856</v>
      </c>
      <c r="M1076" t="s">
        <v>8809</v>
      </c>
      <c r="N1076" s="3">
        <v>43280</v>
      </c>
      <c r="O1076" s="3">
        <v>43296</v>
      </c>
      <c r="P1076" t="s">
        <v>5904</v>
      </c>
      <c r="Q1076" t="s">
        <v>6038</v>
      </c>
      <c r="R1076" t="s">
        <v>6039</v>
      </c>
      <c r="S1076" s="3"/>
      <c r="T1076" t="s">
        <v>9938</v>
      </c>
      <c r="U1076" t="s">
        <v>6463</v>
      </c>
      <c r="V1076" t="s">
        <v>6048</v>
      </c>
      <c r="W1076" t="s">
        <v>5857</v>
      </c>
      <c r="X1076" s="2">
        <v>0</v>
      </c>
      <c r="Y1076" t="s">
        <v>5858</v>
      </c>
      <c r="Z1076" t="s">
        <v>6037</v>
      </c>
      <c r="AA1076" s="2">
        <v>1500</v>
      </c>
      <c r="AB1076" t="s">
        <v>5915</v>
      </c>
      <c r="AC1076" t="s">
        <v>9974</v>
      </c>
      <c r="AD1076" s="32"/>
      <c r="AJ1076" t="s">
        <v>9959</v>
      </c>
      <c r="AL1076" t="s">
        <v>14129</v>
      </c>
    </row>
    <row r="1077" spans="1:38">
      <c r="A1077" t="s">
        <v>8697</v>
      </c>
      <c r="B1077" t="s">
        <v>13407</v>
      </c>
      <c r="C1077" t="s">
        <v>6461</v>
      </c>
      <c r="D1077" t="s">
        <v>6462</v>
      </c>
      <c r="E1077" s="2">
        <v>1040</v>
      </c>
      <c r="F1077" s="2">
        <v>1040</v>
      </c>
      <c r="G1077" s="3">
        <v>43290</v>
      </c>
      <c r="H1077" s="4">
        <v>0.72252314814815</v>
      </c>
      <c r="I1077" s="3">
        <v>43290</v>
      </c>
      <c r="J1077" s="4">
        <v>0.79023148148148004</v>
      </c>
      <c r="K1077" s="2">
        <v>0</v>
      </c>
      <c r="L1077" t="s">
        <v>5856</v>
      </c>
      <c r="M1077" t="s">
        <v>6945</v>
      </c>
      <c r="N1077" s="3">
        <v>43280</v>
      </c>
      <c r="O1077" s="3">
        <v>43296</v>
      </c>
      <c r="P1077" t="s">
        <v>5904</v>
      </c>
      <c r="Q1077" t="s">
        <v>6038</v>
      </c>
      <c r="R1077" t="s">
        <v>6039</v>
      </c>
      <c r="S1077" s="3"/>
      <c r="T1077" t="s">
        <v>9938</v>
      </c>
      <c r="U1077" t="s">
        <v>6463</v>
      </c>
      <c r="V1077" t="s">
        <v>6048</v>
      </c>
      <c r="W1077" t="s">
        <v>5857</v>
      </c>
      <c r="X1077" s="2">
        <v>0</v>
      </c>
      <c r="Y1077" t="s">
        <v>5858</v>
      </c>
      <c r="Z1077" t="s">
        <v>6037</v>
      </c>
      <c r="AA1077" s="2">
        <v>1000</v>
      </c>
      <c r="AB1077" t="s">
        <v>5915</v>
      </c>
      <c r="AC1077" t="s">
        <v>9974</v>
      </c>
      <c r="AD1077" s="32"/>
      <c r="AJ1077" t="s">
        <v>9959</v>
      </c>
      <c r="AL1077" t="s">
        <v>14130</v>
      </c>
    </row>
    <row r="1078" spans="1:38">
      <c r="A1078" t="s">
        <v>8697</v>
      </c>
      <c r="B1078" t="s">
        <v>13408</v>
      </c>
      <c r="C1078" t="s">
        <v>6461</v>
      </c>
      <c r="D1078" t="s">
        <v>6462</v>
      </c>
      <c r="E1078" s="2">
        <v>728</v>
      </c>
      <c r="F1078" s="2">
        <v>728</v>
      </c>
      <c r="G1078" s="3">
        <v>43290</v>
      </c>
      <c r="H1078" s="4">
        <v>0.81106481481480996</v>
      </c>
      <c r="I1078" s="3">
        <v>43290</v>
      </c>
      <c r="J1078" s="4">
        <v>0.85846064814815004</v>
      </c>
      <c r="K1078" s="2">
        <v>0</v>
      </c>
      <c r="L1078" t="s">
        <v>5856</v>
      </c>
      <c r="M1078" t="s">
        <v>13409</v>
      </c>
      <c r="N1078" s="3">
        <v>43280</v>
      </c>
      <c r="O1078" s="3">
        <v>43296</v>
      </c>
      <c r="P1078" t="s">
        <v>5904</v>
      </c>
      <c r="Q1078" t="s">
        <v>6038</v>
      </c>
      <c r="R1078" t="s">
        <v>6039</v>
      </c>
      <c r="S1078" s="3"/>
      <c r="T1078" t="s">
        <v>9938</v>
      </c>
      <c r="U1078" t="s">
        <v>6463</v>
      </c>
      <c r="V1078" t="s">
        <v>6048</v>
      </c>
      <c r="W1078" t="s">
        <v>5857</v>
      </c>
      <c r="X1078" s="2">
        <v>0</v>
      </c>
      <c r="Y1078" t="s">
        <v>5858</v>
      </c>
      <c r="Z1078" t="s">
        <v>6037</v>
      </c>
      <c r="AA1078" s="2">
        <v>700</v>
      </c>
      <c r="AB1078" t="s">
        <v>5915</v>
      </c>
      <c r="AC1078" t="s">
        <v>9974</v>
      </c>
      <c r="AD1078" s="32"/>
      <c r="AJ1078" t="s">
        <v>9959</v>
      </c>
      <c r="AL1078" t="s">
        <v>14131</v>
      </c>
    </row>
    <row r="1079" spans="1:38">
      <c r="A1079" t="s">
        <v>8697</v>
      </c>
      <c r="B1079" t="s">
        <v>12375</v>
      </c>
      <c r="C1079" t="s">
        <v>8782</v>
      </c>
      <c r="D1079" t="s">
        <v>8783</v>
      </c>
      <c r="E1079" s="2">
        <v>1000</v>
      </c>
      <c r="F1079" s="2">
        <v>1000</v>
      </c>
      <c r="G1079" s="3">
        <v>43290</v>
      </c>
      <c r="H1079" s="4">
        <v>0.87929398148147997</v>
      </c>
      <c r="I1079" s="3">
        <v>43290</v>
      </c>
      <c r="J1079" s="4">
        <v>0.94439814814815004</v>
      </c>
      <c r="K1079" s="2">
        <v>0</v>
      </c>
      <c r="L1079" t="s">
        <v>5856</v>
      </c>
      <c r="M1079" t="s">
        <v>8784</v>
      </c>
      <c r="N1079" s="3">
        <v>43292</v>
      </c>
      <c r="O1079" s="3">
        <v>43292</v>
      </c>
      <c r="P1079" t="s">
        <v>5898</v>
      </c>
      <c r="Q1079" t="s">
        <v>8785</v>
      </c>
      <c r="R1079" t="s">
        <v>6036</v>
      </c>
      <c r="S1079" s="3">
        <v>43292</v>
      </c>
      <c r="T1079" t="s">
        <v>9938</v>
      </c>
      <c r="U1079" t="s">
        <v>8786</v>
      </c>
      <c r="V1079" t="s">
        <v>6048</v>
      </c>
      <c r="W1079" t="s">
        <v>5857</v>
      </c>
      <c r="X1079" s="2">
        <v>640</v>
      </c>
      <c r="Y1079" t="s">
        <v>5858</v>
      </c>
      <c r="Z1079" t="s">
        <v>6037</v>
      </c>
      <c r="AA1079" s="2">
        <v>1000</v>
      </c>
      <c r="AB1079" t="s">
        <v>5863</v>
      </c>
      <c r="AC1079" t="s">
        <v>9974</v>
      </c>
      <c r="AD1079" s="32">
        <v>43230</v>
      </c>
      <c r="AI1079" t="s">
        <v>9939</v>
      </c>
      <c r="AJ1079" t="s">
        <v>9959</v>
      </c>
      <c r="AL1079" t="s">
        <v>11208</v>
      </c>
    </row>
    <row r="1080" spans="1:38">
      <c r="A1080" t="s">
        <v>8697</v>
      </c>
      <c r="B1080" t="s">
        <v>13410</v>
      </c>
      <c r="C1080" t="s">
        <v>8779</v>
      </c>
      <c r="D1080" t="s">
        <v>8780</v>
      </c>
      <c r="E1080" s="2">
        <v>988</v>
      </c>
      <c r="F1080" s="2">
        <v>988</v>
      </c>
      <c r="G1080" s="3">
        <v>43295</v>
      </c>
      <c r="H1080" s="4">
        <v>0.13644675925926</v>
      </c>
      <c r="I1080" s="3">
        <v>43295</v>
      </c>
      <c r="J1080" s="4">
        <v>0.20077546296296001</v>
      </c>
      <c r="K1080" s="2">
        <v>45</v>
      </c>
      <c r="L1080" t="s">
        <v>5856</v>
      </c>
      <c r="M1080" t="s">
        <v>13411</v>
      </c>
      <c r="N1080" s="3">
        <v>43283</v>
      </c>
      <c r="O1080" s="3">
        <v>43297</v>
      </c>
      <c r="P1080" t="s">
        <v>5904</v>
      </c>
      <c r="Q1080" t="s">
        <v>8781</v>
      </c>
      <c r="R1080" t="s">
        <v>6036</v>
      </c>
      <c r="S1080" s="3">
        <v>43292</v>
      </c>
      <c r="T1080" t="s">
        <v>9938</v>
      </c>
      <c r="U1080" t="s">
        <v>5879</v>
      </c>
      <c r="V1080" t="s">
        <v>5941</v>
      </c>
      <c r="W1080" t="s">
        <v>5857</v>
      </c>
      <c r="X1080" s="2">
        <v>640</v>
      </c>
      <c r="Y1080" t="s">
        <v>5858</v>
      </c>
      <c r="Z1080" t="s">
        <v>6037</v>
      </c>
      <c r="AA1080" s="2">
        <v>950</v>
      </c>
      <c r="AB1080" t="s">
        <v>5863</v>
      </c>
      <c r="AC1080" t="s">
        <v>9974</v>
      </c>
      <c r="AD1080" s="32">
        <v>43279</v>
      </c>
      <c r="AJ1080" t="s">
        <v>9959</v>
      </c>
      <c r="AL1080" t="s">
        <v>14132</v>
      </c>
    </row>
    <row r="1081" spans="1:38">
      <c r="A1081" t="s">
        <v>8697</v>
      </c>
      <c r="B1081" t="s">
        <v>12376</v>
      </c>
      <c r="C1081" t="s">
        <v>8787</v>
      </c>
      <c r="D1081" t="s">
        <v>8788</v>
      </c>
      <c r="E1081" s="2">
        <v>312</v>
      </c>
      <c r="F1081" s="2">
        <v>312</v>
      </c>
      <c r="G1081" s="3">
        <v>43295</v>
      </c>
      <c r="H1081" s="4">
        <v>0.22160879629630001</v>
      </c>
      <c r="I1081" s="3">
        <v>43295</v>
      </c>
      <c r="J1081" s="4">
        <v>0.24192129629629999</v>
      </c>
      <c r="K1081" s="2">
        <v>0</v>
      </c>
      <c r="L1081" t="s">
        <v>5856</v>
      </c>
      <c r="M1081" t="s">
        <v>8790</v>
      </c>
      <c r="N1081" s="3">
        <v>43298</v>
      </c>
      <c r="O1081" s="3">
        <v>43297</v>
      </c>
      <c r="P1081" t="s">
        <v>5929</v>
      </c>
      <c r="Q1081" t="s">
        <v>8791</v>
      </c>
      <c r="R1081" t="s">
        <v>6036</v>
      </c>
      <c r="S1081" s="3">
        <v>43298</v>
      </c>
      <c r="T1081" t="s">
        <v>9938</v>
      </c>
      <c r="U1081" t="s">
        <v>8789</v>
      </c>
      <c r="V1081" t="s">
        <v>8259</v>
      </c>
      <c r="W1081" t="s">
        <v>5857</v>
      </c>
      <c r="X1081" s="2">
        <v>640</v>
      </c>
      <c r="Y1081" t="s">
        <v>5858</v>
      </c>
      <c r="Z1081" t="s">
        <v>6037</v>
      </c>
      <c r="AA1081" s="2">
        <v>300</v>
      </c>
      <c r="AB1081" t="s">
        <v>5863</v>
      </c>
      <c r="AC1081" t="s">
        <v>9976</v>
      </c>
      <c r="AD1081" s="32">
        <v>43277</v>
      </c>
      <c r="AJ1081" t="s">
        <v>9958</v>
      </c>
      <c r="AL1081" t="s">
        <v>11209</v>
      </c>
    </row>
    <row r="1082" spans="1:38">
      <c r="A1082" t="s">
        <v>8697</v>
      </c>
      <c r="B1082" t="s">
        <v>12377</v>
      </c>
      <c r="C1082" t="s">
        <v>7702</v>
      </c>
      <c r="D1082" t="s">
        <v>7703</v>
      </c>
      <c r="E1082" s="2">
        <v>858</v>
      </c>
      <c r="F1082" s="2">
        <v>858</v>
      </c>
      <c r="G1082" s="3">
        <v>43295</v>
      </c>
      <c r="H1082" s="4">
        <v>0.26275462962962998</v>
      </c>
      <c r="I1082" s="3">
        <v>43295</v>
      </c>
      <c r="J1082" s="4">
        <v>0.31861111111111001</v>
      </c>
      <c r="K1082" s="2">
        <v>4</v>
      </c>
      <c r="L1082" t="s">
        <v>5856</v>
      </c>
      <c r="M1082" t="s">
        <v>8792</v>
      </c>
      <c r="N1082" s="3">
        <v>43299</v>
      </c>
      <c r="O1082" s="3">
        <v>43297</v>
      </c>
      <c r="P1082" t="s">
        <v>5960</v>
      </c>
      <c r="Q1082" t="s">
        <v>8793</v>
      </c>
      <c r="R1082" t="s">
        <v>6042</v>
      </c>
      <c r="S1082" s="3">
        <v>43299</v>
      </c>
      <c r="T1082" t="s">
        <v>9938</v>
      </c>
      <c r="U1082" t="s">
        <v>6600</v>
      </c>
      <c r="V1082" t="s">
        <v>7705</v>
      </c>
      <c r="W1082" t="s">
        <v>5857</v>
      </c>
      <c r="X1082" s="2">
        <v>640</v>
      </c>
      <c r="Y1082" t="s">
        <v>5858</v>
      </c>
      <c r="Z1082" t="s">
        <v>6037</v>
      </c>
      <c r="AA1082" s="2">
        <v>825</v>
      </c>
      <c r="AB1082" t="s">
        <v>5863</v>
      </c>
      <c r="AC1082" t="s">
        <v>9976</v>
      </c>
      <c r="AD1082" s="32">
        <v>43278</v>
      </c>
      <c r="AJ1082" t="s">
        <v>9958</v>
      </c>
      <c r="AL1082" t="s">
        <v>11210</v>
      </c>
    </row>
    <row r="1083" spans="1:38">
      <c r="A1083" t="s">
        <v>8697</v>
      </c>
      <c r="B1083" t="s">
        <v>12378</v>
      </c>
      <c r="C1083" t="s">
        <v>8748</v>
      </c>
      <c r="D1083" t="s">
        <v>8749</v>
      </c>
      <c r="E1083" s="2">
        <v>1200</v>
      </c>
      <c r="F1083" s="2">
        <v>1200</v>
      </c>
      <c r="G1083" s="3">
        <v>43295</v>
      </c>
      <c r="H1083" s="4">
        <v>0.33944444444444</v>
      </c>
      <c r="I1083" s="3">
        <v>43295</v>
      </c>
      <c r="J1083" s="4">
        <v>0.41756944444444</v>
      </c>
      <c r="K1083" s="2">
        <v>0</v>
      </c>
      <c r="L1083" t="s">
        <v>5856</v>
      </c>
      <c r="M1083" t="s">
        <v>8794</v>
      </c>
      <c r="N1083" s="3">
        <v>43312</v>
      </c>
      <c r="O1083" s="3">
        <v>43297</v>
      </c>
      <c r="P1083" t="s">
        <v>5898</v>
      </c>
      <c r="Q1083" t="s">
        <v>8795</v>
      </c>
      <c r="R1083" t="s">
        <v>6036</v>
      </c>
      <c r="S1083" s="3">
        <v>43312</v>
      </c>
      <c r="T1083" t="s">
        <v>9938</v>
      </c>
      <c r="U1083" t="s">
        <v>5867</v>
      </c>
      <c r="V1083" t="s">
        <v>8750</v>
      </c>
      <c r="W1083" t="s">
        <v>5857</v>
      </c>
      <c r="X1083" s="2">
        <v>640</v>
      </c>
      <c r="Y1083" t="s">
        <v>5858</v>
      </c>
      <c r="Z1083" t="s">
        <v>6037</v>
      </c>
      <c r="AA1083" s="2">
        <v>1200</v>
      </c>
      <c r="AB1083" t="s">
        <v>5863</v>
      </c>
      <c r="AC1083" t="s">
        <v>9974</v>
      </c>
      <c r="AD1083" s="32">
        <v>43241</v>
      </c>
      <c r="AJ1083" t="s">
        <v>9959</v>
      </c>
      <c r="AL1083" t="s">
        <v>11211</v>
      </c>
    </row>
    <row r="1084" spans="1:38">
      <c r="A1084" t="s">
        <v>8697</v>
      </c>
      <c r="B1084" t="s">
        <v>12380</v>
      </c>
      <c r="C1084" t="s">
        <v>6517</v>
      </c>
      <c r="D1084" t="s">
        <v>6518</v>
      </c>
      <c r="E1084" s="2">
        <v>1000</v>
      </c>
      <c r="F1084" s="2">
        <v>1000</v>
      </c>
      <c r="G1084" s="3">
        <v>43295</v>
      </c>
      <c r="H1084" s="4">
        <v>0.43840277777777997</v>
      </c>
      <c r="I1084" s="3">
        <v>43295</v>
      </c>
      <c r="J1084" s="4">
        <v>0.50350694444444</v>
      </c>
      <c r="K1084" s="2">
        <v>0</v>
      </c>
      <c r="L1084" t="s">
        <v>5856</v>
      </c>
      <c r="M1084" t="s">
        <v>8784</v>
      </c>
      <c r="N1084" s="3">
        <v>43293</v>
      </c>
      <c r="O1084" s="3">
        <v>43297</v>
      </c>
      <c r="P1084" t="s">
        <v>5904</v>
      </c>
      <c r="Q1084" t="s">
        <v>8801</v>
      </c>
      <c r="R1084" t="s">
        <v>6036</v>
      </c>
      <c r="S1084" s="3">
        <v>43293</v>
      </c>
      <c r="T1084" t="s">
        <v>9938</v>
      </c>
      <c r="U1084" t="s">
        <v>6521</v>
      </c>
      <c r="V1084" t="s">
        <v>6048</v>
      </c>
      <c r="W1084" t="s">
        <v>5857</v>
      </c>
      <c r="X1084" s="2">
        <v>640</v>
      </c>
      <c r="Y1084" t="s">
        <v>5858</v>
      </c>
      <c r="Z1084" t="s">
        <v>6037</v>
      </c>
      <c r="AA1084" s="2">
        <v>1000</v>
      </c>
      <c r="AB1084" t="s">
        <v>5863</v>
      </c>
      <c r="AC1084" t="s">
        <v>9974</v>
      </c>
      <c r="AD1084" s="32">
        <v>43228</v>
      </c>
      <c r="AI1084" t="s">
        <v>9939</v>
      </c>
      <c r="AJ1084" t="s">
        <v>9959</v>
      </c>
      <c r="AL1084" t="s">
        <v>11212</v>
      </c>
    </row>
    <row r="1085" spans="1:38">
      <c r="A1085" t="s">
        <v>8697</v>
      </c>
      <c r="B1085" t="s">
        <v>12381</v>
      </c>
      <c r="C1085" t="s">
        <v>8804</v>
      </c>
      <c r="D1085" t="s">
        <v>8805</v>
      </c>
      <c r="E1085" s="2">
        <v>2080</v>
      </c>
      <c r="F1085" s="2">
        <v>2080</v>
      </c>
      <c r="G1085" s="3">
        <v>43295</v>
      </c>
      <c r="H1085" s="4">
        <v>0.80105324074074002</v>
      </c>
      <c r="I1085" s="3">
        <v>43295</v>
      </c>
      <c r="J1085" s="4">
        <v>0.93646990740740998</v>
      </c>
      <c r="K1085" s="2">
        <v>20</v>
      </c>
      <c r="L1085" t="s">
        <v>5856</v>
      </c>
      <c r="M1085" t="s">
        <v>8700</v>
      </c>
      <c r="N1085" s="3">
        <v>43297</v>
      </c>
      <c r="O1085" s="3">
        <v>43297</v>
      </c>
      <c r="P1085" t="s">
        <v>5898</v>
      </c>
      <c r="Q1085" t="s">
        <v>8806</v>
      </c>
      <c r="R1085" t="s">
        <v>6036</v>
      </c>
      <c r="S1085" s="3">
        <v>43297</v>
      </c>
      <c r="T1085" t="s">
        <v>9938</v>
      </c>
      <c r="U1085" t="s">
        <v>7940</v>
      </c>
      <c r="V1085" t="s">
        <v>6045</v>
      </c>
      <c r="W1085" t="s">
        <v>5857</v>
      </c>
      <c r="X1085" s="2">
        <v>640</v>
      </c>
      <c r="Y1085" t="s">
        <v>5858</v>
      </c>
      <c r="Z1085" t="s">
        <v>6037</v>
      </c>
      <c r="AA1085" s="2">
        <v>2000</v>
      </c>
      <c r="AB1085" t="s">
        <v>5863</v>
      </c>
      <c r="AC1085" t="s">
        <v>9974</v>
      </c>
      <c r="AD1085" s="32">
        <v>43252</v>
      </c>
      <c r="AJ1085" t="s">
        <v>9959</v>
      </c>
      <c r="AL1085" t="s">
        <v>11213</v>
      </c>
    </row>
    <row r="1086" spans="1:38">
      <c r="A1086" t="s">
        <v>8697</v>
      </c>
      <c r="B1086" t="s">
        <v>11544</v>
      </c>
      <c r="C1086" t="s">
        <v>6489</v>
      </c>
      <c r="D1086" t="s">
        <v>6490</v>
      </c>
      <c r="E1086" s="2">
        <v>2080</v>
      </c>
      <c r="F1086" s="2">
        <v>2080</v>
      </c>
      <c r="G1086" s="3">
        <v>43296</v>
      </c>
      <c r="H1086" s="4">
        <v>0.40890046296296001</v>
      </c>
      <c r="I1086" s="3">
        <v>43296</v>
      </c>
      <c r="J1086" s="4">
        <v>0.54431712962962997</v>
      </c>
      <c r="K1086" s="2">
        <v>20</v>
      </c>
      <c r="L1086" t="s">
        <v>5856</v>
      </c>
      <c r="M1086" t="s">
        <v>8700</v>
      </c>
      <c r="N1086" s="3">
        <v>43297</v>
      </c>
      <c r="O1086" s="3">
        <v>43298</v>
      </c>
      <c r="P1086" t="s">
        <v>5898</v>
      </c>
      <c r="Q1086" t="s">
        <v>6492</v>
      </c>
      <c r="R1086" t="s">
        <v>6036</v>
      </c>
      <c r="S1086" s="3">
        <v>43297</v>
      </c>
      <c r="T1086" t="s">
        <v>9938</v>
      </c>
      <c r="U1086" t="s">
        <v>6493</v>
      </c>
      <c r="V1086" t="s">
        <v>5941</v>
      </c>
      <c r="W1086" t="s">
        <v>5857</v>
      </c>
      <c r="X1086" s="2">
        <v>640</v>
      </c>
      <c r="Y1086" t="s">
        <v>5858</v>
      </c>
      <c r="Z1086" t="s">
        <v>6037</v>
      </c>
      <c r="AA1086" s="2">
        <v>2000</v>
      </c>
      <c r="AB1086" t="s">
        <v>5863</v>
      </c>
      <c r="AC1086" t="s">
        <v>9974</v>
      </c>
      <c r="AD1086" s="32">
        <v>43255</v>
      </c>
      <c r="AJ1086" t="s">
        <v>9959</v>
      </c>
      <c r="AL1086" t="s">
        <v>14133</v>
      </c>
    </row>
    <row r="1087" spans="1:38">
      <c r="A1087" t="s">
        <v>8697</v>
      </c>
      <c r="B1087" t="s">
        <v>12382</v>
      </c>
      <c r="C1087" t="s">
        <v>8807</v>
      </c>
      <c r="D1087" t="s">
        <v>8808</v>
      </c>
      <c r="E1087" s="2">
        <v>1560</v>
      </c>
      <c r="F1087" s="2">
        <v>1560</v>
      </c>
      <c r="G1087" s="3">
        <v>43296</v>
      </c>
      <c r="H1087" s="4">
        <v>0.81119212962963005</v>
      </c>
      <c r="I1087" s="3">
        <v>43296</v>
      </c>
      <c r="J1087" s="4">
        <v>0.91275462962963005</v>
      </c>
      <c r="K1087" s="2">
        <v>20</v>
      </c>
      <c r="L1087" t="s">
        <v>5856</v>
      </c>
      <c r="M1087" t="s">
        <v>8809</v>
      </c>
      <c r="N1087" s="3">
        <v>43298</v>
      </c>
      <c r="O1087" s="3">
        <v>43298</v>
      </c>
      <c r="P1087" t="s">
        <v>5898</v>
      </c>
      <c r="Q1087" t="s">
        <v>8810</v>
      </c>
      <c r="R1087" t="s">
        <v>6036</v>
      </c>
      <c r="S1087" s="3">
        <v>43298</v>
      </c>
      <c r="T1087" t="s">
        <v>9938</v>
      </c>
      <c r="U1087" t="s">
        <v>7490</v>
      </c>
      <c r="V1087" t="s">
        <v>8811</v>
      </c>
      <c r="W1087" t="s">
        <v>5857</v>
      </c>
      <c r="X1087" s="2">
        <v>640</v>
      </c>
      <c r="Y1087" t="s">
        <v>5858</v>
      </c>
      <c r="Z1087" t="s">
        <v>6037</v>
      </c>
      <c r="AA1087" s="2">
        <v>1500</v>
      </c>
      <c r="AB1087" t="s">
        <v>5863</v>
      </c>
      <c r="AC1087" t="s">
        <v>9976</v>
      </c>
      <c r="AD1087" s="32">
        <v>43277</v>
      </c>
      <c r="AJ1087" t="s">
        <v>9957</v>
      </c>
      <c r="AL1087" t="s">
        <v>11214</v>
      </c>
    </row>
    <row r="1088" spans="1:38">
      <c r="A1088" t="s">
        <v>8697</v>
      </c>
      <c r="B1088" t="s">
        <v>12384</v>
      </c>
      <c r="C1088" t="s">
        <v>8807</v>
      </c>
      <c r="D1088" t="s">
        <v>8808</v>
      </c>
      <c r="E1088" s="2">
        <v>1000</v>
      </c>
      <c r="F1088" s="2">
        <v>1000</v>
      </c>
      <c r="G1088" s="3">
        <v>43297</v>
      </c>
      <c r="H1088" s="4">
        <v>0.19097222222221999</v>
      </c>
      <c r="I1088" s="3">
        <v>43297</v>
      </c>
      <c r="J1088" s="4">
        <v>0.25607638888889001</v>
      </c>
      <c r="K1088" s="2">
        <v>20</v>
      </c>
      <c r="L1088" t="s">
        <v>5856</v>
      </c>
      <c r="M1088" t="s">
        <v>8784</v>
      </c>
      <c r="N1088" s="3">
        <v>43299</v>
      </c>
      <c r="O1088" s="3">
        <v>43299</v>
      </c>
      <c r="P1088" t="s">
        <v>5898</v>
      </c>
      <c r="Q1088" t="s">
        <v>8816</v>
      </c>
      <c r="R1088" t="s">
        <v>6036</v>
      </c>
      <c r="S1088" s="3">
        <v>43299</v>
      </c>
      <c r="T1088" t="s">
        <v>9938</v>
      </c>
      <c r="U1088" t="s">
        <v>7490</v>
      </c>
      <c r="V1088" t="s">
        <v>8811</v>
      </c>
      <c r="W1088" t="s">
        <v>5857</v>
      </c>
      <c r="X1088" s="2">
        <v>640</v>
      </c>
      <c r="Y1088" t="s">
        <v>5858</v>
      </c>
      <c r="Z1088" t="s">
        <v>6037</v>
      </c>
      <c r="AA1088" s="2">
        <v>1000</v>
      </c>
      <c r="AB1088" t="s">
        <v>5863</v>
      </c>
      <c r="AC1088" t="s">
        <v>9976</v>
      </c>
      <c r="AD1088" s="32">
        <v>43256</v>
      </c>
      <c r="AJ1088" t="s">
        <v>9957</v>
      </c>
      <c r="AL1088" t="s">
        <v>11215</v>
      </c>
    </row>
    <row r="1089" spans="1:38">
      <c r="A1089" t="s">
        <v>8697</v>
      </c>
      <c r="B1089" t="s">
        <v>12385</v>
      </c>
      <c r="C1089" t="s">
        <v>8817</v>
      </c>
      <c r="D1089" t="s">
        <v>8818</v>
      </c>
      <c r="E1089" s="2">
        <v>1675</v>
      </c>
      <c r="F1089" s="2">
        <v>1675</v>
      </c>
      <c r="G1089" s="3">
        <v>43297</v>
      </c>
      <c r="H1089" s="4">
        <v>0.27690972222221999</v>
      </c>
      <c r="I1089" s="3">
        <v>43297</v>
      </c>
      <c r="J1089" s="4">
        <v>0.38596064814815001</v>
      </c>
      <c r="K1089" s="2">
        <v>0</v>
      </c>
      <c r="L1089" t="s">
        <v>5856</v>
      </c>
      <c r="M1089" t="s">
        <v>8819</v>
      </c>
      <c r="N1089" s="3">
        <v>43299</v>
      </c>
      <c r="O1089" s="3">
        <v>43299</v>
      </c>
      <c r="P1089" t="s">
        <v>5862</v>
      </c>
      <c r="Q1089" t="s">
        <v>8820</v>
      </c>
      <c r="R1089" t="s">
        <v>6036</v>
      </c>
      <c r="S1089" s="3">
        <v>43299</v>
      </c>
      <c r="T1089" t="s">
        <v>9938</v>
      </c>
      <c r="U1089" t="s">
        <v>8733</v>
      </c>
      <c r="V1089" t="s">
        <v>5941</v>
      </c>
      <c r="W1089" t="s">
        <v>5857</v>
      </c>
      <c r="X1089" s="2">
        <v>640</v>
      </c>
      <c r="Y1089" t="s">
        <v>5858</v>
      </c>
      <c r="Z1089" t="s">
        <v>6037</v>
      </c>
      <c r="AA1089" s="2">
        <v>1675</v>
      </c>
      <c r="AB1089" t="s">
        <v>5863</v>
      </c>
      <c r="AC1089" t="s">
        <v>9974</v>
      </c>
      <c r="AD1089" s="32">
        <v>43248</v>
      </c>
      <c r="AJ1089" t="s">
        <v>9957</v>
      </c>
      <c r="AL1089" t="s">
        <v>11216</v>
      </c>
    </row>
    <row r="1090" spans="1:38">
      <c r="A1090" t="s">
        <v>8697</v>
      </c>
      <c r="B1090" t="s">
        <v>12386</v>
      </c>
      <c r="C1090" t="s">
        <v>8826</v>
      </c>
      <c r="D1090" t="s">
        <v>8827</v>
      </c>
      <c r="E1090" s="2">
        <v>600</v>
      </c>
      <c r="F1090" s="2">
        <v>600</v>
      </c>
      <c r="G1090" s="3">
        <v>43297</v>
      </c>
      <c r="H1090" s="4">
        <v>0.83611111111111003</v>
      </c>
      <c r="I1090" s="3">
        <v>43297</v>
      </c>
      <c r="J1090" s="4">
        <v>0.87517361111111003</v>
      </c>
      <c r="K1090" s="2">
        <v>0</v>
      </c>
      <c r="L1090" t="s">
        <v>5856</v>
      </c>
      <c r="M1090" t="s">
        <v>9068</v>
      </c>
      <c r="N1090" s="3">
        <v>43300</v>
      </c>
      <c r="O1090" s="3">
        <v>43299</v>
      </c>
      <c r="P1090" t="s">
        <v>6580</v>
      </c>
      <c r="Q1090" t="s">
        <v>8828</v>
      </c>
      <c r="R1090" t="s">
        <v>6042</v>
      </c>
      <c r="S1090" s="3">
        <v>43300</v>
      </c>
      <c r="T1090" t="s">
        <v>9938</v>
      </c>
      <c r="U1090" t="s">
        <v>6582</v>
      </c>
      <c r="V1090" t="s">
        <v>8829</v>
      </c>
      <c r="W1090" t="s">
        <v>6038</v>
      </c>
      <c r="X1090" s="2">
        <v>640</v>
      </c>
      <c r="Y1090" t="s">
        <v>5858</v>
      </c>
      <c r="Z1090" t="s">
        <v>6037</v>
      </c>
      <c r="AA1090" s="2">
        <v>600</v>
      </c>
      <c r="AB1090" t="s">
        <v>5863</v>
      </c>
      <c r="AC1090" t="s">
        <v>9976</v>
      </c>
      <c r="AD1090" s="32">
        <v>43279</v>
      </c>
      <c r="AJ1090" t="s">
        <v>9958</v>
      </c>
      <c r="AL1090" t="s">
        <v>14134</v>
      </c>
    </row>
    <row r="1091" spans="1:38">
      <c r="A1091" t="s">
        <v>8697</v>
      </c>
      <c r="B1091" t="s">
        <v>13412</v>
      </c>
      <c r="C1091" t="s">
        <v>13413</v>
      </c>
      <c r="D1091" t="s">
        <v>13414</v>
      </c>
      <c r="E1091" s="2">
        <v>338</v>
      </c>
      <c r="F1091" s="2">
        <v>338</v>
      </c>
      <c r="G1091" s="3">
        <v>43297</v>
      </c>
      <c r="H1091" s="4">
        <v>0.92460648148147995</v>
      </c>
      <c r="I1091" s="3">
        <v>43297</v>
      </c>
      <c r="J1091" s="4">
        <v>0.94660879629630001</v>
      </c>
      <c r="K1091" s="2">
        <v>0</v>
      </c>
      <c r="L1091" t="s">
        <v>5856</v>
      </c>
      <c r="M1091" t="s">
        <v>8764</v>
      </c>
      <c r="N1091" s="3">
        <v>43300</v>
      </c>
      <c r="O1091" s="3">
        <v>43299</v>
      </c>
      <c r="P1091" t="s">
        <v>5876</v>
      </c>
      <c r="Q1091" t="s">
        <v>13415</v>
      </c>
      <c r="R1091" t="s">
        <v>6036</v>
      </c>
      <c r="S1091" s="3">
        <v>43300</v>
      </c>
      <c r="T1091" t="s">
        <v>9938</v>
      </c>
      <c r="U1091" t="s">
        <v>5931</v>
      </c>
      <c r="V1091" t="s">
        <v>13416</v>
      </c>
      <c r="W1091" t="s">
        <v>5857</v>
      </c>
      <c r="X1091" s="2">
        <v>640</v>
      </c>
      <c r="Y1091" t="s">
        <v>5858</v>
      </c>
      <c r="Z1091" t="s">
        <v>6037</v>
      </c>
      <c r="AA1091" s="2">
        <v>325</v>
      </c>
      <c r="AB1091" t="s">
        <v>5863</v>
      </c>
      <c r="AC1091" t="s">
        <v>9976</v>
      </c>
      <c r="AD1091" s="32">
        <v>43279</v>
      </c>
      <c r="AJ1091" t="s">
        <v>9959</v>
      </c>
      <c r="AL1091" t="s">
        <v>14135</v>
      </c>
    </row>
    <row r="1092" spans="1:38">
      <c r="A1092" t="s">
        <v>8697</v>
      </c>
      <c r="B1092" t="s">
        <v>12387</v>
      </c>
      <c r="C1092" t="s">
        <v>8769</v>
      </c>
      <c r="D1092" t="s">
        <v>8770</v>
      </c>
      <c r="E1092" s="2">
        <v>500</v>
      </c>
      <c r="F1092" s="2">
        <v>500</v>
      </c>
      <c r="G1092" s="3">
        <v>43297</v>
      </c>
      <c r="H1092" s="4">
        <v>0.96744212962963005</v>
      </c>
      <c r="I1092" s="3">
        <v>43298</v>
      </c>
      <c r="J1092" s="4">
        <v>0</v>
      </c>
      <c r="K1092" s="2">
        <v>0</v>
      </c>
      <c r="L1092" t="s">
        <v>5856</v>
      </c>
      <c r="M1092" t="s">
        <v>8798</v>
      </c>
      <c r="N1092" s="3">
        <v>43300</v>
      </c>
      <c r="O1092" s="3">
        <v>43299</v>
      </c>
      <c r="P1092" t="s">
        <v>7251</v>
      </c>
      <c r="Q1092" t="s">
        <v>8831</v>
      </c>
      <c r="R1092" t="s">
        <v>6036</v>
      </c>
      <c r="S1092" s="3">
        <v>43300</v>
      </c>
      <c r="T1092" t="s">
        <v>9938</v>
      </c>
      <c r="U1092" t="s">
        <v>5877</v>
      </c>
      <c r="V1092" t="s">
        <v>8773</v>
      </c>
      <c r="W1092" t="s">
        <v>5857</v>
      </c>
      <c r="X1092" s="2">
        <v>640</v>
      </c>
      <c r="Y1092" t="s">
        <v>5858</v>
      </c>
      <c r="Z1092" t="s">
        <v>6037</v>
      </c>
      <c r="AA1092" s="2">
        <v>500</v>
      </c>
      <c r="AB1092" t="s">
        <v>5863</v>
      </c>
      <c r="AC1092" t="s">
        <v>9976</v>
      </c>
      <c r="AD1092" s="32">
        <v>43251</v>
      </c>
      <c r="AJ1092" t="s">
        <v>9959</v>
      </c>
      <c r="AL1092" t="s">
        <v>11217</v>
      </c>
    </row>
    <row r="1093" spans="1:38">
      <c r="A1093" t="s">
        <v>8697</v>
      </c>
      <c r="B1093" t="s">
        <v>13417</v>
      </c>
      <c r="C1093" t="s">
        <v>13418</v>
      </c>
      <c r="D1093" t="s">
        <v>13419</v>
      </c>
      <c r="E1093" s="2">
        <v>520</v>
      </c>
      <c r="F1093" s="2">
        <v>520</v>
      </c>
      <c r="G1093" s="3">
        <v>43298</v>
      </c>
      <c r="H1093" s="4">
        <v>0.87760416666666996</v>
      </c>
      <c r="I1093" s="3">
        <v>43298</v>
      </c>
      <c r="J1093" s="4">
        <v>0.91145833333333004</v>
      </c>
      <c r="K1093" s="2">
        <v>0</v>
      </c>
      <c r="L1093" t="s">
        <v>5856</v>
      </c>
      <c r="M1093" t="s">
        <v>8848</v>
      </c>
      <c r="N1093" s="3">
        <v>43301</v>
      </c>
      <c r="O1093" s="3">
        <v>43300</v>
      </c>
      <c r="P1093" t="s">
        <v>5960</v>
      </c>
      <c r="Q1093" t="s">
        <v>13420</v>
      </c>
      <c r="R1093" t="s">
        <v>6036</v>
      </c>
      <c r="S1093" s="3">
        <v>43301</v>
      </c>
      <c r="T1093" t="s">
        <v>9938</v>
      </c>
      <c r="U1093" t="s">
        <v>6582</v>
      </c>
      <c r="V1093" t="s">
        <v>13421</v>
      </c>
      <c r="W1093" t="s">
        <v>5857</v>
      </c>
      <c r="X1093" s="2">
        <v>640</v>
      </c>
      <c r="Y1093" t="s">
        <v>5858</v>
      </c>
      <c r="Z1093" t="s">
        <v>6037</v>
      </c>
      <c r="AA1093" s="2">
        <v>500</v>
      </c>
      <c r="AB1093" t="s">
        <v>5863</v>
      </c>
      <c r="AC1093" t="s">
        <v>9976</v>
      </c>
      <c r="AD1093" s="32">
        <v>43280</v>
      </c>
      <c r="AJ1093" t="s">
        <v>9958</v>
      </c>
      <c r="AL1093" t="s">
        <v>14136</v>
      </c>
    </row>
    <row r="1094" spans="1:38">
      <c r="A1094" t="s">
        <v>8697</v>
      </c>
      <c r="B1094" t="s">
        <v>12388</v>
      </c>
      <c r="C1094" t="s">
        <v>8832</v>
      </c>
      <c r="D1094" t="s">
        <v>8833</v>
      </c>
      <c r="E1094" s="2">
        <v>754</v>
      </c>
      <c r="F1094" s="2">
        <v>754</v>
      </c>
      <c r="G1094" s="3">
        <v>43298</v>
      </c>
      <c r="H1094" s="4">
        <v>0.93229166666666996</v>
      </c>
      <c r="I1094" s="3">
        <v>43298</v>
      </c>
      <c r="J1094" s="4">
        <v>0.98137731481481005</v>
      </c>
      <c r="K1094" s="2">
        <v>20</v>
      </c>
      <c r="L1094" t="s">
        <v>5856</v>
      </c>
      <c r="M1094" t="s">
        <v>13422</v>
      </c>
      <c r="N1094" s="3">
        <v>43306</v>
      </c>
      <c r="O1094" s="3">
        <v>43305</v>
      </c>
      <c r="P1094" t="s">
        <v>5876</v>
      </c>
      <c r="Q1094" t="s">
        <v>8834</v>
      </c>
      <c r="R1094" t="s">
        <v>6036</v>
      </c>
      <c r="S1094" s="3">
        <v>43306</v>
      </c>
      <c r="T1094" t="s">
        <v>9938</v>
      </c>
      <c r="U1094" t="s">
        <v>5877</v>
      </c>
      <c r="V1094" t="s">
        <v>8835</v>
      </c>
      <c r="W1094" t="s">
        <v>5857</v>
      </c>
      <c r="X1094" s="2">
        <v>640</v>
      </c>
      <c r="Y1094" t="s">
        <v>5858</v>
      </c>
      <c r="Z1094" t="s">
        <v>6037</v>
      </c>
      <c r="AA1094" s="2">
        <v>725</v>
      </c>
      <c r="AB1094" t="s">
        <v>5863</v>
      </c>
      <c r="AC1094" t="s">
        <v>9976</v>
      </c>
      <c r="AD1094" s="32">
        <v>43278</v>
      </c>
      <c r="AJ1094" t="s">
        <v>9959</v>
      </c>
      <c r="AL1094" t="s">
        <v>14137</v>
      </c>
    </row>
    <row r="1095" spans="1:38">
      <c r="A1095" t="s">
        <v>8697</v>
      </c>
      <c r="B1095" t="s">
        <v>12389</v>
      </c>
      <c r="C1095" t="s">
        <v>8836</v>
      </c>
      <c r="D1095" t="s">
        <v>8837</v>
      </c>
      <c r="E1095" s="2">
        <v>350</v>
      </c>
      <c r="F1095" s="2">
        <v>350</v>
      </c>
      <c r="G1095" s="3">
        <v>43299</v>
      </c>
      <c r="H1095" s="4">
        <v>0.97721064814814995</v>
      </c>
      <c r="I1095" s="3">
        <v>43300</v>
      </c>
      <c r="J1095" s="4">
        <v>0</v>
      </c>
      <c r="K1095" s="2">
        <v>20</v>
      </c>
      <c r="L1095" t="s">
        <v>5856</v>
      </c>
      <c r="M1095" t="s">
        <v>8838</v>
      </c>
      <c r="N1095" s="3">
        <v>43304</v>
      </c>
      <c r="O1095" s="3">
        <v>43301</v>
      </c>
      <c r="P1095" t="s">
        <v>5924</v>
      </c>
      <c r="Q1095" t="s">
        <v>8839</v>
      </c>
      <c r="R1095" t="s">
        <v>6036</v>
      </c>
      <c r="S1095" s="3">
        <v>43304</v>
      </c>
      <c r="T1095" t="s">
        <v>9938</v>
      </c>
      <c r="U1095" t="s">
        <v>7253</v>
      </c>
      <c r="V1095" t="s">
        <v>8840</v>
      </c>
      <c r="W1095" t="s">
        <v>5857</v>
      </c>
      <c r="X1095" s="2">
        <v>640</v>
      </c>
      <c r="Y1095" t="s">
        <v>5858</v>
      </c>
      <c r="Z1095" t="s">
        <v>6037</v>
      </c>
      <c r="AA1095" s="2">
        <v>350</v>
      </c>
      <c r="AB1095" t="s">
        <v>5863</v>
      </c>
      <c r="AC1095" t="s">
        <v>9974</v>
      </c>
      <c r="AD1095" s="32">
        <v>43272</v>
      </c>
      <c r="AJ1095" t="s">
        <v>9957</v>
      </c>
      <c r="AL1095" t="s">
        <v>11218</v>
      </c>
    </row>
    <row r="1096" spans="1:38">
      <c r="A1096" t="s">
        <v>8697</v>
      </c>
      <c r="B1096" t="s">
        <v>12390</v>
      </c>
      <c r="C1096" t="s">
        <v>8841</v>
      </c>
      <c r="D1096" t="s">
        <v>8842</v>
      </c>
      <c r="E1096" s="2">
        <v>5000</v>
      </c>
      <c r="F1096" s="2">
        <v>5000</v>
      </c>
      <c r="G1096" s="3">
        <v>43300</v>
      </c>
      <c r="H1096" s="4">
        <v>0.32725694444443998</v>
      </c>
      <c r="I1096" s="3">
        <v>43300</v>
      </c>
      <c r="J1096" s="4">
        <v>0.65277777777778001</v>
      </c>
      <c r="K1096" s="2">
        <v>20</v>
      </c>
      <c r="L1096" t="s">
        <v>5856</v>
      </c>
      <c r="M1096" t="s">
        <v>8843</v>
      </c>
      <c r="N1096" s="3">
        <v>43306</v>
      </c>
      <c r="O1096" s="3">
        <v>43302</v>
      </c>
      <c r="P1096" t="s">
        <v>5898</v>
      </c>
      <c r="Q1096" t="s">
        <v>8844</v>
      </c>
      <c r="R1096" t="s">
        <v>6036</v>
      </c>
      <c r="S1096" s="3">
        <v>43305</v>
      </c>
      <c r="T1096" t="s">
        <v>9938</v>
      </c>
      <c r="U1096" t="s">
        <v>8845</v>
      </c>
      <c r="V1096" t="s">
        <v>6045</v>
      </c>
      <c r="W1096" t="s">
        <v>5857</v>
      </c>
      <c r="X1096" s="2">
        <v>640</v>
      </c>
      <c r="Y1096" t="s">
        <v>5858</v>
      </c>
      <c r="Z1096" t="s">
        <v>6037</v>
      </c>
      <c r="AA1096" s="2">
        <v>5000</v>
      </c>
      <c r="AB1096" t="s">
        <v>5863</v>
      </c>
      <c r="AC1096" t="s">
        <v>9974</v>
      </c>
      <c r="AD1096" s="32">
        <v>43210</v>
      </c>
      <c r="AL1096" t="s">
        <v>11219</v>
      </c>
    </row>
    <row r="1097" spans="1:38">
      <c r="A1097" t="s">
        <v>8697</v>
      </c>
      <c r="B1097" t="s">
        <v>13423</v>
      </c>
      <c r="C1097" t="s">
        <v>9493</v>
      </c>
      <c r="D1097" t="s">
        <v>9494</v>
      </c>
      <c r="E1097" s="2">
        <v>1040</v>
      </c>
      <c r="F1097" s="2">
        <v>1040</v>
      </c>
      <c r="G1097" s="3">
        <v>43300</v>
      </c>
      <c r="H1097" s="4">
        <v>0.93229166666666996</v>
      </c>
      <c r="I1097" s="3">
        <v>43301</v>
      </c>
      <c r="J1097" s="4">
        <v>0</v>
      </c>
      <c r="K1097" s="2">
        <v>0</v>
      </c>
      <c r="L1097" t="s">
        <v>5856</v>
      </c>
      <c r="M1097" t="s">
        <v>6945</v>
      </c>
      <c r="N1097" s="3">
        <v>43308</v>
      </c>
      <c r="O1097" s="3">
        <v>43307</v>
      </c>
      <c r="P1097" t="s">
        <v>5876</v>
      </c>
      <c r="Q1097" t="s">
        <v>13424</v>
      </c>
      <c r="R1097" t="s">
        <v>6036</v>
      </c>
      <c r="S1097" s="3">
        <v>43308</v>
      </c>
      <c r="T1097" t="s">
        <v>9938</v>
      </c>
      <c r="U1097" t="s">
        <v>5877</v>
      </c>
      <c r="V1097" t="s">
        <v>9497</v>
      </c>
      <c r="W1097" t="s">
        <v>5857</v>
      </c>
      <c r="X1097" s="2">
        <v>640</v>
      </c>
      <c r="Y1097" t="s">
        <v>5858</v>
      </c>
      <c r="Z1097" t="s">
        <v>6037</v>
      </c>
      <c r="AA1097" s="2">
        <v>1000</v>
      </c>
      <c r="AB1097" t="s">
        <v>5863</v>
      </c>
      <c r="AC1097" t="s">
        <v>9976</v>
      </c>
      <c r="AD1097" s="32">
        <v>43280</v>
      </c>
      <c r="AJ1097" t="s">
        <v>9959</v>
      </c>
      <c r="AL1097" t="s">
        <v>14138</v>
      </c>
    </row>
    <row r="1098" spans="1:38">
      <c r="A1098" t="s">
        <v>8697</v>
      </c>
      <c r="B1098" t="s">
        <v>12391</v>
      </c>
      <c r="C1098" t="s">
        <v>8846</v>
      </c>
      <c r="D1098" t="s">
        <v>8847</v>
      </c>
      <c r="E1098" s="2">
        <v>520</v>
      </c>
      <c r="F1098" s="2">
        <v>520</v>
      </c>
      <c r="G1098" s="3">
        <v>43301</v>
      </c>
      <c r="H1098" s="4">
        <v>0.74739583333333004</v>
      </c>
      <c r="I1098" s="3">
        <v>43301</v>
      </c>
      <c r="J1098" s="4">
        <v>0.78125</v>
      </c>
      <c r="K1098" s="2">
        <v>20</v>
      </c>
      <c r="L1098" t="s">
        <v>5856</v>
      </c>
      <c r="M1098" t="s">
        <v>8848</v>
      </c>
      <c r="N1098" s="3">
        <v>43304</v>
      </c>
      <c r="O1098" s="3">
        <v>43303</v>
      </c>
      <c r="P1098" t="s">
        <v>7268</v>
      </c>
      <c r="Q1098" t="s">
        <v>8849</v>
      </c>
      <c r="R1098" t="s">
        <v>6036</v>
      </c>
      <c r="S1098" s="3">
        <v>43304</v>
      </c>
      <c r="T1098" t="s">
        <v>9938</v>
      </c>
      <c r="U1098" t="s">
        <v>6756</v>
      </c>
      <c r="V1098" t="s">
        <v>6045</v>
      </c>
      <c r="W1098" t="s">
        <v>5857</v>
      </c>
      <c r="X1098" s="2">
        <v>640</v>
      </c>
      <c r="Y1098" t="s">
        <v>5858</v>
      </c>
      <c r="Z1098" t="s">
        <v>6037</v>
      </c>
      <c r="AA1098" s="2">
        <v>500</v>
      </c>
      <c r="AB1098" t="s">
        <v>5863</v>
      </c>
      <c r="AC1098" t="s">
        <v>9978</v>
      </c>
      <c r="AD1098" s="32">
        <v>43276</v>
      </c>
      <c r="AJ1098" t="s">
        <v>9958</v>
      </c>
      <c r="AL1098" t="s">
        <v>11220</v>
      </c>
    </row>
    <row r="1099" spans="1:38">
      <c r="A1099" t="s">
        <v>8697</v>
      </c>
      <c r="B1099" t="s">
        <v>12392</v>
      </c>
      <c r="C1099" t="s">
        <v>7060</v>
      </c>
      <c r="D1099" t="s">
        <v>7061</v>
      </c>
      <c r="E1099" s="2">
        <v>10000</v>
      </c>
      <c r="F1099" s="2">
        <v>10000</v>
      </c>
      <c r="G1099" s="3">
        <v>43301</v>
      </c>
      <c r="H1099" s="4">
        <v>0.80208333333333004</v>
      </c>
      <c r="I1099" s="3">
        <v>43302</v>
      </c>
      <c r="J1099" s="4">
        <v>0.453125</v>
      </c>
      <c r="K1099" s="2">
        <v>20</v>
      </c>
      <c r="L1099" t="s">
        <v>5856</v>
      </c>
      <c r="M1099" t="s">
        <v>8850</v>
      </c>
      <c r="N1099" s="3">
        <v>43307</v>
      </c>
      <c r="O1099" s="3">
        <v>43304</v>
      </c>
      <c r="P1099" t="s">
        <v>5904</v>
      </c>
      <c r="Q1099" t="s">
        <v>8851</v>
      </c>
      <c r="R1099" t="s">
        <v>6036</v>
      </c>
      <c r="S1099" s="3">
        <v>43307</v>
      </c>
      <c r="T1099" t="s">
        <v>9938</v>
      </c>
      <c r="U1099" t="s">
        <v>6593</v>
      </c>
      <c r="V1099" t="s">
        <v>5899</v>
      </c>
      <c r="W1099" t="s">
        <v>5857</v>
      </c>
      <c r="X1099" s="2">
        <v>640</v>
      </c>
      <c r="Y1099" t="s">
        <v>5858</v>
      </c>
      <c r="Z1099" t="s">
        <v>6037</v>
      </c>
      <c r="AA1099" s="2">
        <v>10000</v>
      </c>
      <c r="AB1099" t="s">
        <v>5863</v>
      </c>
      <c r="AC1099" t="s">
        <v>9974</v>
      </c>
      <c r="AD1099" s="32">
        <v>43256</v>
      </c>
      <c r="AJ1099" t="s">
        <v>9958</v>
      </c>
      <c r="AL1099" t="s">
        <v>11221</v>
      </c>
    </row>
    <row r="1100" spans="1:38">
      <c r="A1100" t="s">
        <v>8697</v>
      </c>
      <c r="B1100" t="s">
        <v>12393</v>
      </c>
      <c r="C1100" t="s">
        <v>8766</v>
      </c>
      <c r="D1100" t="s">
        <v>8767</v>
      </c>
      <c r="E1100" s="2">
        <v>10000</v>
      </c>
      <c r="F1100" s="2">
        <v>10000</v>
      </c>
      <c r="G1100" s="3">
        <v>43302</v>
      </c>
      <c r="H1100" s="4">
        <v>0.47395833333332998</v>
      </c>
      <c r="I1100" s="3">
        <v>43303</v>
      </c>
      <c r="J1100" s="4">
        <v>0.125</v>
      </c>
      <c r="K1100" s="2">
        <v>0</v>
      </c>
      <c r="L1100" t="s">
        <v>5856</v>
      </c>
      <c r="M1100" t="s">
        <v>8850</v>
      </c>
      <c r="N1100" s="3">
        <v>43306</v>
      </c>
      <c r="O1100" s="3">
        <v>43305</v>
      </c>
      <c r="P1100" t="s">
        <v>5898</v>
      </c>
      <c r="Q1100" t="s">
        <v>8852</v>
      </c>
      <c r="R1100" t="s">
        <v>6036</v>
      </c>
      <c r="S1100" s="3">
        <v>43306</v>
      </c>
      <c r="T1100" t="s">
        <v>9938</v>
      </c>
      <c r="U1100" t="s">
        <v>8768</v>
      </c>
      <c r="V1100" t="s">
        <v>8541</v>
      </c>
      <c r="W1100" t="s">
        <v>5857</v>
      </c>
      <c r="X1100" s="2">
        <v>640</v>
      </c>
      <c r="Y1100" t="s">
        <v>5858</v>
      </c>
      <c r="Z1100" t="s">
        <v>6037</v>
      </c>
      <c r="AA1100" s="2">
        <v>10000</v>
      </c>
      <c r="AB1100" t="s">
        <v>5863</v>
      </c>
      <c r="AC1100" t="s">
        <v>9976</v>
      </c>
      <c r="AD1100" s="32">
        <v>43069</v>
      </c>
      <c r="AJ1100" t="s">
        <v>9957</v>
      </c>
      <c r="AL1100" t="s">
        <v>11222</v>
      </c>
    </row>
    <row r="1101" spans="1:38">
      <c r="A1101" t="s">
        <v>8697</v>
      </c>
      <c r="B1101" t="s">
        <v>12394</v>
      </c>
      <c r="C1101" t="s">
        <v>8725</v>
      </c>
      <c r="D1101" t="s">
        <v>8726</v>
      </c>
      <c r="E1101" s="2">
        <v>2000</v>
      </c>
      <c r="F1101" s="2">
        <v>2000</v>
      </c>
      <c r="G1101" s="3">
        <v>43304</v>
      </c>
      <c r="H1101" s="4">
        <v>0.73100694444444003</v>
      </c>
      <c r="I1101" s="3">
        <v>43304</v>
      </c>
      <c r="J1101" s="4">
        <v>0.86121527777777995</v>
      </c>
      <c r="K1101" s="2">
        <v>0</v>
      </c>
      <c r="L1101" t="s">
        <v>5856</v>
      </c>
      <c r="M1101" t="s">
        <v>8853</v>
      </c>
      <c r="N1101" s="3">
        <v>43307</v>
      </c>
      <c r="O1101" s="3">
        <v>43306</v>
      </c>
      <c r="P1101" t="s">
        <v>5904</v>
      </c>
      <c r="Q1101" t="s">
        <v>8854</v>
      </c>
      <c r="R1101" t="s">
        <v>6036</v>
      </c>
      <c r="S1101" s="3">
        <v>43307</v>
      </c>
      <c r="T1101" t="s">
        <v>9938</v>
      </c>
      <c r="U1101" t="s">
        <v>7004</v>
      </c>
      <c r="V1101" t="s">
        <v>8727</v>
      </c>
      <c r="W1101" t="s">
        <v>5857</v>
      </c>
      <c r="X1101" s="2">
        <v>640</v>
      </c>
      <c r="Y1101" t="s">
        <v>5858</v>
      </c>
      <c r="Z1101" t="s">
        <v>6037</v>
      </c>
      <c r="AA1101" s="2">
        <v>2000</v>
      </c>
      <c r="AB1101" t="s">
        <v>5863</v>
      </c>
      <c r="AC1101" t="s">
        <v>9974</v>
      </c>
      <c r="AD1101" s="32">
        <v>43249</v>
      </c>
      <c r="AJ1101" t="s">
        <v>9957</v>
      </c>
      <c r="AL1101" t="s">
        <v>11223</v>
      </c>
    </row>
    <row r="1102" spans="1:38">
      <c r="A1102" t="s">
        <v>8697</v>
      </c>
      <c r="B1102" t="s">
        <v>12395</v>
      </c>
      <c r="C1102" t="s">
        <v>8855</v>
      </c>
      <c r="D1102" t="s">
        <v>8856</v>
      </c>
      <c r="E1102" s="2">
        <v>500</v>
      </c>
      <c r="F1102" s="2">
        <v>500</v>
      </c>
      <c r="G1102" s="3">
        <v>43304</v>
      </c>
      <c r="H1102" s="4">
        <v>0.96744212962963005</v>
      </c>
      <c r="I1102" s="3">
        <v>43305</v>
      </c>
      <c r="J1102" s="4">
        <v>0</v>
      </c>
      <c r="K1102" s="2">
        <v>20</v>
      </c>
      <c r="L1102" t="s">
        <v>5856</v>
      </c>
      <c r="M1102" t="s">
        <v>8798</v>
      </c>
      <c r="N1102" s="3">
        <v>43307</v>
      </c>
      <c r="O1102" s="3">
        <v>43306</v>
      </c>
      <c r="P1102" t="s">
        <v>5862</v>
      </c>
      <c r="Q1102" t="s">
        <v>8857</v>
      </c>
      <c r="R1102" t="s">
        <v>6036</v>
      </c>
      <c r="S1102" s="3">
        <v>43307</v>
      </c>
      <c r="T1102" t="s">
        <v>9938</v>
      </c>
      <c r="U1102" t="s">
        <v>7041</v>
      </c>
      <c r="V1102" t="s">
        <v>8858</v>
      </c>
      <c r="W1102" t="s">
        <v>5857</v>
      </c>
      <c r="X1102" s="2">
        <v>640</v>
      </c>
      <c r="Y1102" t="s">
        <v>5858</v>
      </c>
      <c r="Z1102" t="s">
        <v>6037</v>
      </c>
      <c r="AA1102" s="2">
        <v>500</v>
      </c>
      <c r="AB1102" t="s">
        <v>5863</v>
      </c>
      <c r="AC1102" t="s">
        <v>9978</v>
      </c>
      <c r="AD1102" s="32">
        <v>43279</v>
      </c>
      <c r="AJ1102" t="s">
        <v>9958</v>
      </c>
      <c r="AL1102" t="s">
        <v>11224</v>
      </c>
    </row>
    <row r="1103" spans="1:38">
      <c r="A1103" t="s">
        <v>8697</v>
      </c>
      <c r="B1103" t="s">
        <v>12396</v>
      </c>
      <c r="C1103" t="s">
        <v>8859</v>
      </c>
      <c r="D1103" t="s">
        <v>8860</v>
      </c>
      <c r="E1103" s="2">
        <v>3000</v>
      </c>
      <c r="F1103" s="2">
        <v>3000</v>
      </c>
      <c r="G1103" s="3">
        <v>43308</v>
      </c>
      <c r="H1103" s="4">
        <v>0.16199074074073999</v>
      </c>
      <c r="I1103" s="3">
        <v>43308</v>
      </c>
      <c r="J1103" s="4">
        <v>0.35730324074073999</v>
      </c>
      <c r="K1103" s="2">
        <v>20</v>
      </c>
      <c r="L1103" t="s">
        <v>5856</v>
      </c>
      <c r="M1103" t="s">
        <v>8861</v>
      </c>
      <c r="N1103" s="3">
        <v>43342</v>
      </c>
      <c r="O1103" s="3">
        <v>43310</v>
      </c>
      <c r="P1103" t="s">
        <v>5924</v>
      </c>
      <c r="Q1103" t="s">
        <v>8862</v>
      </c>
      <c r="R1103" t="s">
        <v>6036</v>
      </c>
      <c r="S1103" s="3">
        <v>43342</v>
      </c>
      <c r="T1103" t="s">
        <v>9938</v>
      </c>
      <c r="U1103" t="s">
        <v>8412</v>
      </c>
      <c r="V1103" t="s">
        <v>8863</v>
      </c>
      <c r="W1103" t="s">
        <v>5857</v>
      </c>
      <c r="X1103" s="2">
        <v>640</v>
      </c>
      <c r="Y1103" t="s">
        <v>5858</v>
      </c>
      <c r="Z1103" t="s">
        <v>6037</v>
      </c>
      <c r="AA1103" s="2">
        <v>3000</v>
      </c>
      <c r="AB1103" t="s">
        <v>5863</v>
      </c>
      <c r="AC1103" t="s">
        <v>9974</v>
      </c>
      <c r="AD1103" s="32">
        <v>43076</v>
      </c>
      <c r="AJ1103" t="s">
        <v>9957</v>
      </c>
      <c r="AL1103" t="s">
        <v>11225</v>
      </c>
    </row>
    <row r="1104" spans="1:38">
      <c r="A1104" t="s">
        <v>8697</v>
      </c>
      <c r="B1104" t="s">
        <v>12397</v>
      </c>
      <c r="C1104" t="s">
        <v>8431</v>
      </c>
      <c r="D1104" t="s">
        <v>8432</v>
      </c>
      <c r="E1104" s="2">
        <v>2000</v>
      </c>
      <c r="F1104" s="2">
        <v>2000</v>
      </c>
      <c r="G1104" s="3">
        <v>43308</v>
      </c>
      <c r="H1104" s="4">
        <v>0.86979166666666996</v>
      </c>
      <c r="I1104" s="3">
        <v>43309</v>
      </c>
      <c r="J1104" s="4">
        <v>0</v>
      </c>
      <c r="K1104" s="2">
        <v>20</v>
      </c>
      <c r="L1104" t="s">
        <v>5856</v>
      </c>
      <c r="M1104" t="s">
        <v>8853</v>
      </c>
      <c r="N1104" s="3">
        <v>43311</v>
      </c>
      <c r="O1104" s="3">
        <v>43310</v>
      </c>
      <c r="P1104" t="s">
        <v>5924</v>
      </c>
      <c r="Q1104" t="s">
        <v>8864</v>
      </c>
      <c r="R1104" t="s">
        <v>6036</v>
      </c>
      <c r="S1104" s="3">
        <v>43311</v>
      </c>
      <c r="T1104" t="s">
        <v>9938</v>
      </c>
      <c r="U1104" t="s">
        <v>8412</v>
      </c>
      <c r="V1104" t="s">
        <v>8434</v>
      </c>
      <c r="W1104" t="s">
        <v>5857</v>
      </c>
      <c r="X1104" s="2">
        <v>640</v>
      </c>
      <c r="Y1104" t="s">
        <v>5858</v>
      </c>
      <c r="Z1104" t="s">
        <v>6037</v>
      </c>
      <c r="AA1104" s="2">
        <v>2000</v>
      </c>
      <c r="AB1104" t="s">
        <v>5863</v>
      </c>
      <c r="AC1104" t="s">
        <v>9974</v>
      </c>
      <c r="AD1104" s="32">
        <v>43222</v>
      </c>
      <c r="AJ1104" t="s">
        <v>9957</v>
      </c>
      <c r="AL1104" t="s">
        <v>11226</v>
      </c>
    </row>
    <row r="1105" spans="1:38">
      <c r="A1105" t="s">
        <v>8697</v>
      </c>
      <c r="B1105" t="s">
        <v>13425</v>
      </c>
      <c r="C1105" t="s">
        <v>7702</v>
      </c>
      <c r="D1105" t="s">
        <v>7703</v>
      </c>
      <c r="E1105" s="2">
        <v>1040</v>
      </c>
      <c r="F1105" s="2">
        <v>1040</v>
      </c>
      <c r="G1105" s="3">
        <v>43312</v>
      </c>
      <c r="H1105" s="4">
        <v>0.93229166666666996</v>
      </c>
      <c r="I1105" s="3">
        <v>43313</v>
      </c>
      <c r="J1105" s="4">
        <v>0</v>
      </c>
      <c r="K1105" s="2">
        <v>0</v>
      </c>
      <c r="L1105" t="s">
        <v>5856</v>
      </c>
      <c r="M1105" t="s">
        <v>6945</v>
      </c>
      <c r="N1105" s="3">
        <v>43315</v>
      </c>
      <c r="O1105" s="3">
        <v>43314</v>
      </c>
      <c r="P1105" t="s">
        <v>5960</v>
      </c>
      <c r="Q1105" t="s">
        <v>13426</v>
      </c>
      <c r="R1105" t="s">
        <v>6036</v>
      </c>
      <c r="S1105" s="3">
        <v>43315</v>
      </c>
      <c r="T1105" t="s">
        <v>9938</v>
      </c>
      <c r="U1105" t="s">
        <v>6600</v>
      </c>
      <c r="V1105" t="s">
        <v>7705</v>
      </c>
      <c r="W1105" t="s">
        <v>5857</v>
      </c>
      <c r="X1105" s="2">
        <v>640</v>
      </c>
      <c r="Y1105" t="s">
        <v>5858</v>
      </c>
      <c r="Z1105" t="s">
        <v>6037</v>
      </c>
      <c r="AA1105" s="2">
        <v>1000</v>
      </c>
      <c r="AB1105" t="s">
        <v>5863</v>
      </c>
      <c r="AC1105" t="s">
        <v>9976</v>
      </c>
      <c r="AD1105" s="32">
        <v>43280</v>
      </c>
      <c r="AJ1105" t="s">
        <v>9958</v>
      </c>
      <c r="AL1105" t="s">
        <v>14139</v>
      </c>
    </row>
    <row r="1106" spans="1:38">
      <c r="A1106" t="s">
        <v>8697</v>
      </c>
      <c r="B1106" t="s">
        <v>12399</v>
      </c>
      <c r="C1106" t="s">
        <v>6071</v>
      </c>
      <c r="D1106" t="s">
        <v>5944</v>
      </c>
      <c r="E1106" s="2">
        <v>10400</v>
      </c>
      <c r="F1106" s="2">
        <v>10400</v>
      </c>
      <c r="G1106" s="3">
        <v>43314</v>
      </c>
      <c r="H1106" s="4">
        <v>0.74651620370369998</v>
      </c>
      <c r="I1106" s="3">
        <v>43315</v>
      </c>
      <c r="J1106" s="4">
        <v>0.42359953703704001</v>
      </c>
      <c r="K1106" s="2">
        <v>20</v>
      </c>
      <c r="L1106" t="s">
        <v>5856</v>
      </c>
      <c r="M1106" t="s">
        <v>8724</v>
      </c>
      <c r="N1106" s="3">
        <v>43318</v>
      </c>
      <c r="O1106" s="3">
        <v>43317</v>
      </c>
      <c r="P1106" t="s">
        <v>8869</v>
      </c>
      <c r="Q1106" t="s">
        <v>8870</v>
      </c>
      <c r="R1106" t="s">
        <v>6036</v>
      </c>
      <c r="S1106" s="3">
        <v>43318</v>
      </c>
      <c r="T1106" t="s">
        <v>9938</v>
      </c>
      <c r="U1106" t="s">
        <v>5923</v>
      </c>
      <c r="V1106" t="s">
        <v>5945</v>
      </c>
      <c r="W1106" t="s">
        <v>5857</v>
      </c>
      <c r="X1106" s="2">
        <v>640</v>
      </c>
      <c r="Y1106" t="s">
        <v>5858</v>
      </c>
      <c r="Z1106" t="s">
        <v>6037</v>
      </c>
      <c r="AA1106" s="2">
        <v>10000</v>
      </c>
      <c r="AB1106" t="s">
        <v>5863</v>
      </c>
      <c r="AC1106" t="s">
        <v>9974</v>
      </c>
      <c r="AD1106" s="32">
        <v>43276</v>
      </c>
      <c r="AJ1106" t="s">
        <v>9959</v>
      </c>
      <c r="AL1106" t="s">
        <v>14140</v>
      </c>
    </row>
    <row r="1107" spans="1:38">
      <c r="A1107" t="s">
        <v>8697</v>
      </c>
      <c r="B1107" t="s">
        <v>12400</v>
      </c>
      <c r="C1107" t="s">
        <v>6670</v>
      </c>
      <c r="D1107" t="s">
        <v>6671</v>
      </c>
      <c r="E1107" s="2">
        <v>10000</v>
      </c>
      <c r="F1107" s="2">
        <v>10000</v>
      </c>
      <c r="G1107" s="3">
        <v>43315</v>
      </c>
      <c r="H1107" s="4">
        <v>0.44443287037036999</v>
      </c>
      <c r="I1107" s="3">
        <v>43316</v>
      </c>
      <c r="J1107" s="4">
        <v>9.5474537037039994E-2</v>
      </c>
      <c r="K1107" s="2">
        <v>0</v>
      </c>
      <c r="L1107" t="s">
        <v>5856</v>
      </c>
      <c r="M1107" t="s">
        <v>8850</v>
      </c>
      <c r="N1107" s="3"/>
      <c r="O1107" s="3">
        <v>43318</v>
      </c>
      <c r="P1107" t="s">
        <v>5889</v>
      </c>
      <c r="Q1107" t="s">
        <v>6808</v>
      </c>
      <c r="R1107" t="s">
        <v>6036</v>
      </c>
      <c r="S1107" s="3">
        <v>43314</v>
      </c>
      <c r="T1107" t="s">
        <v>9938</v>
      </c>
      <c r="U1107" t="s">
        <v>6675</v>
      </c>
      <c r="V1107" t="s">
        <v>6067</v>
      </c>
      <c r="W1107" t="s">
        <v>5857</v>
      </c>
      <c r="X1107" s="2">
        <v>0</v>
      </c>
      <c r="Y1107" t="s">
        <v>5858</v>
      </c>
      <c r="Z1107" t="s">
        <v>6037</v>
      </c>
      <c r="AA1107" s="2">
        <v>10000</v>
      </c>
      <c r="AB1107" t="s">
        <v>5861</v>
      </c>
      <c r="AC1107" t="s">
        <v>9979</v>
      </c>
      <c r="AD1107" s="32"/>
      <c r="AJ1107" t="s">
        <v>9958</v>
      </c>
      <c r="AL1107" t="s">
        <v>11229</v>
      </c>
    </row>
    <row r="1108" spans="1:38">
      <c r="A1108" t="s">
        <v>8697</v>
      </c>
      <c r="B1108" t="s">
        <v>13427</v>
      </c>
      <c r="C1108" t="s">
        <v>7209</v>
      </c>
      <c r="D1108" t="s">
        <v>7210</v>
      </c>
      <c r="E1108" s="2">
        <v>1040</v>
      </c>
      <c r="F1108" s="2">
        <v>1040</v>
      </c>
      <c r="G1108" s="3">
        <v>43315</v>
      </c>
      <c r="H1108" s="4">
        <v>0.61072916666666999</v>
      </c>
      <c r="I1108" s="3">
        <v>43315</v>
      </c>
      <c r="J1108" s="4">
        <v>0.67843750000000003</v>
      </c>
      <c r="K1108" s="2">
        <v>0</v>
      </c>
      <c r="L1108" t="s">
        <v>5856</v>
      </c>
      <c r="M1108" t="s">
        <v>6945</v>
      </c>
      <c r="N1108" s="3"/>
      <c r="O1108" s="3">
        <v>43317</v>
      </c>
      <c r="P1108" t="s">
        <v>5898</v>
      </c>
      <c r="Q1108" t="s">
        <v>7211</v>
      </c>
      <c r="R1108" t="s">
        <v>6036</v>
      </c>
      <c r="S1108" s="3">
        <v>43319</v>
      </c>
      <c r="T1108" t="s">
        <v>9938</v>
      </c>
      <c r="U1108" t="s">
        <v>7212</v>
      </c>
      <c r="V1108" t="s">
        <v>6045</v>
      </c>
      <c r="W1108" t="s">
        <v>5857</v>
      </c>
      <c r="X1108" s="2">
        <v>640</v>
      </c>
      <c r="Y1108" t="s">
        <v>5858</v>
      </c>
      <c r="Z1108" t="s">
        <v>6037</v>
      </c>
      <c r="AA1108" s="2">
        <v>1000</v>
      </c>
      <c r="AB1108" t="s">
        <v>5863</v>
      </c>
      <c r="AC1108" t="s">
        <v>9974</v>
      </c>
      <c r="AD1108" s="32">
        <v>43280</v>
      </c>
      <c r="AJ1108" t="s">
        <v>9959</v>
      </c>
      <c r="AL1108" t="s">
        <v>14141</v>
      </c>
    </row>
    <row r="1109" spans="1:38">
      <c r="A1109" t="s">
        <v>8697</v>
      </c>
      <c r="B1109" t="s">
        <v>12401</v>
      </c>
      <c r="C1109" t="s">
        <v>8872</v>
      </c>
      <c r="D1109" t="s">
        <v>8873</v>
      </c>
      <c r="E1109" s="2">
        <v>208</v>
      </c>
      <c r="F1109" s="2">
        <v>208</v>
      </c>
      <c r="G1109" s="3">
        <v>43316</v>
      </c>
      <c r="H1109" s="4">
        <v>0.93306712962963001</v>
      </c>
      <c r="I1109" s="3">
        <v>43316</v>
      </c>
      <c r="J1109" s="4">
        <v>0.94660879629630001</v>
      </c>
      <c r="K1109" s="2">
        <v>20</v>
      </c>
      <c r="L1109" t="s">
        <v>5856</v>
      </c>
      <c r="M1109" t="s">
        <v>8874</v>
      </c>
      <c r="N1109" s="3">
        <v>43319</v>
      </c>
      <c r="O1109" s="3">
        <v>43318</v>
      </c>
      <c r="P1109" t="s">
        <v>8875</v>
      </c>
      <c r="Q1109" t="s">
        <v>8876</v>
      </c>
      <c r="R1109" t="s">
        <v>6036</v>
      </c>
      <c r="S1109" s="3">
        <v>43319</v>
      </c>
      <c r="T1109" t="s">
        <v>9938</v>
      </c>
      <c r="U1109" t="s">
        <v>5903</v>
      </c>
      <c r="V1109" t="s">
        <v>8877</v>
      </c>
      <c r="W1109" t="s">
        <v>5857</v>
      </c>
      <c r="X1109" s="2">
        <v>640</v>
      </c>
      <c r="Y1109" t="s">
        <v>5858</v>
      </c>
      <c r="Z1109" t="s">
        <v>6037</v>
      </c>
      <c r="AA1109" s="2">
        <v>200</v>
      </c>
      <c r="AB1109" t="s">
        <v>5863</v>
      </c>
      <c r="AC1109" t="s">
        <v>9974</v>
      </c>
      <c r="AD1109" s="32">
        <v>43277</v>
      </c>
      <c r="AJ1109" t="s">
        <v>9959</v>
      </c>
      <c r="AL1109" t="s">
        <v>14142</v>
      </c>
    </row>
    <row r="1110" spans="1:38">
      <c r="A1110" t="s">
        <v>8697</v>
      </c>
      <c r="B1110" t="s">
        <v>12402</v>
      </c>
      <c r="C1110" t="s">
        <v>8878</v>
      </c>
      <c r="D1110" t="s">
        <v>8879</v>
      </c>
      <c r="E1110" s="2">
        <v>500</v>
      </c>
      <c r="F1110" s="2">
        <v>500</v>
      </c>
      <c r="G1110" s="3">
        <v>43316</v>
      </c>
      <c r="H1110" s="4">
        <v>0.96744212962963005</v>
      </c>
      <c r="I1110" s="3">
        <v>43317</v>
      </c>
      <c r="J1110" s="4">
        <v>0</v>
      </c>
      <c r="K1110" s="2">
        <v>20</v>
      </c>
      <c r="L1110" t="s">
        <v>5856</v>
      </c>
      <c r="M1110" t="s">
        <v>8798</v>
      </c>
      <c r="N1110" s="3">
        <v>43319</v>
      </c>
      <c r="O1110" s="3">
        <v>43318</v>
      </c>
      <c r="P1110" t="s">
        <v>5904</v>
      </c>
      <c r="Q1110" t="s">
        <v>8880</v>
      </c>
      <c r="R1110" t="s">
        <v>6036</v>
      </c>
      <c r="S1110" s="3">
        <v>43319</v>
      </c>
      <c r="T1110" t="s">
        <v>9938</v>
      </c>
      <c r="U1110" t="s">
        <v>7383</v>
      </c>
      <c r="V1110" t="s">
        <v>6048</v>
      </c>
      <c r="W1110" t="s">
        <v>5857</v>
      </c>
      <c r="X1110" s="2">
        <v>640</v>
      </c>
      <c r="Y1110" t="s">
        <v>5858</v>
      </c>
      <c r="Z1110" t="s">
        <v>6037</v>
      </c>
      <c r="AA1110" s="2">
        <v>500</v>
      </c>
      <c r="AB1110" t="s">
        <v>5863</v>
      </c>
      <c r="AC1110" t="s">
        <v>9974</v>
      </c>
      <c r="AD1110" s="32">
        <v>43264</v>
      </c>
      <c r="AI1110" t="s">
        <v>9942</v>
      </c>
      <c r="AJ1110" t="s">
        <v>9959</v>
      </c>
      <c r="AL1110" t="s">
        <v>11231</v>
      </c>
    </row>
    <row r="1111" spans="1:38">
      <c r="A1111" t="s">
        <v>8697</v>
      </c>
      <c r="B1111" t="s">
        <v>12403</v>
      </c>
      <c r="C1111" t="s">
        <v>8878</v>
      </c>
      <c r="D1111" t="s">
        <v>8879</v>
      </c>
      <c r="E1111" s="2">
        <v>500</v>
      </c>
      <c r="F1111" s="2">
        <v>500</v>
      </c>
      <c r="G1111" s="3">
        <v>43319</v>
      </c>
      <c r="H1111" s="4">
        <v>0.96744212962963005</v>
      </c>
      <c r="I1111" s="3">
        <v>43320</v>
      </c>
      <c r="J1111" s="4">
        <v>0</v>
      </c>
      <c r="K1111" s="2">
        <v>20</v>
      </c>
      <c r="L1111" t="s">
        <v>5856</v>
      </c>
      <c r="M1111" t="s">
        <v>8798</v>
      </c>
      <c r="N1111" s="3">
        <v>43322</v>
      </c>
      <c r="O1111" s="3">
        <v>43321</v>
      </c>
      <c r="P1111" t="s">
        <v>5904</v>
      </c>
      <c r="Q1111" t="s">
        <v>8881</v>
      </c>
      <c r="R1111" t="s">
        <v>6036</v>
      </c>
      <c r="S1111" s="3">
        <v>43322</v>
      </c>
      <c r="T1111" t="s">
        <v>9938</v>
      </c>
      <c r="U1111" t="s">
        <v>7383</v>
      </c>
      <c r="V1111" t="s">
        <v>6048</v>
      </c>
      <c r="W1111" t="s">
        <v>5857</v>
      </c>
      <c r="X1111" s="2">
        <v>640</v>
      </c>
      <c r="Y1111" t="s">
        <v>5858</v>
      </c>
      <c r="Z1111" t="s">
        <v>6037</v>
      </c>
      <c r="AA1111" s="2">
        <v>500</v>
      </c>
      <c r="AB1111" t="s">
        <v>5863</v>
      </c>
      <c r="AC1111" t="s">
        <v>9974</v>
      </c>
      <c r="AD1111" s="32">
        <v>43273</v>
      </c>
      <c r="AI1111" t="s">
        <v>9942</v>
      </c>
      <c r="AJ1111" t="s">
        <v>9959</v>
      </c>
      <c r="AL1111" t="s">
        <v>11232</v>
      </c>
    </row>
    <row r="1112" spans="1:38">
      <c r="A1112" t="s">
        <v>8697</v>
      </c>
      <c r="B1112" t="s">
        <v>13428</v>
      </c>
      <c r="C1112" t="s">
        <v>13429</v>
      </c>
      <c r="D1112" t="s">
        <v>13430</v>
      </c>
      <c r="E1112" s="2">
        <v>520</v>
      </c>
      <c r="F1112" s="2">
        <v>520</v>
      </c>
      <c r="G1112" s="3">
        <v>43321</v>
      </c>
      <c r="H1112" s="4">
        <v>0.96614583333333004</v>
      </c>
      <c r="I1112" s="3">
        <v>43322</v>
      </c>
      <c r="J1112" s="4">
        <v>0</v>
      </c>
      <c r="K1112" s="2">
        <v>0</v>
      </c>
      <c r="L1112" t="s">
        <v>5856</v>
      </c>
      <c r="M1112" t="s">
        <v>8848</v>
      </c>
      <c r="N1112" s="3">
        <v>43325</v>
      </c>
      <c r="O1112" s="3">
        <v>43323</v>
      </c>
      <c r="P1112" t="s">
        <v>13431</v>
      </c>
      <c r="Q1112" t="s">
        <v>13432</v>
      </c>
      <c r="R1112" t="s">
        <v>6042</v>
      </c>
      <c r="S1112" s="3">
        <v>43325</v>
      </c>
      <c r="T1112" t="s">
        <v>9938</v>
      </c>
      <c r="U1112" t="s">
        <v>5923</v>
      </c>
      <c r="V1112" t="s">
        <v>13433</v>
      </c>
      <c r="W1112" t="s">
        <v>5857</v>
      </c>
      <c r="X1112" s="2">
        <v>640</v>
      </c>
      <c r="Y1112" t="s">
        <v>5858</v>
      </c>
      <c r="Z1112" t="s">
        <v>6037</v>
      </c>
      <c r="AA1112" s="2">
        <v>500</v>
      </c>
      <c r="AB1112" t="s">
        <v>5863</v>
      </c>
      <c r="AC1112" t="s">
        <v>9974</v>
      </c>
      <c r="AD1112" s="32"/>
      <c r="AI1112" t="s">
        <v>9943</v>
      </c>
      <c r="AJ1112" t="s">
        <v>9959</v>
      </c>
      <c r="AL1112" t="s">
        <v>14143</v>
      </c>
    </row>
    <row r="1113" spans="1:38">
      <c r="A1113" t="s">
        <v>8697</v>
      </c>
      <c r="B1113" t="s">
        <v>12404</v>
      </c>
      <c r="C1113" t="s">
        <v>8766</v>
      </c>
      <c r="D1113" t="s">
        <v>8767</v>
      </c>
      <c r="E1113" s="2">
        <v>10000</v>
      </c>
      <c r="F1113" s="2">
        <v>10000</v>
      </c>
      <c r="G1113" s="3">
        <v>43322</v>
      </c>
      <c r="H1113" s="4">
        <v>6.300925925926E-2</v>
      </c>
      <c r="I1113" s="3">
        <v>43322</v>
      </c>
      <c r="J1113" s="4">
        <v>0.71405092592593</v>
      </c>
      <c r="K1113" s="2">
        <v>0</v>
      </c>
      <c r="L1113" t="s">
        <v>5856</v>
      </c>
      <c r="M1113" t="s">
        <v>8850</v>
      </c>
      <c r="N1113" s="3">
        <v>43328</v>
      </c>
      <c r="O1113" s="3">
        <v>43324</v>
      </c>
      <c r="P1113" t="s">
        <v>5898</v>
      </c>
      <c r="Q1113" t="s">
        <v>8882</v>
      </c>
      <c r="R1113" t="s">
        <v>6036</v>
      </c>
      <c r="S1113" s="3">
        <v>43328</v>
      </c>
      <c r="T1113" t="s">
        <v>9938</v>
      </c>
      <c r="U1113" t="s">
        <v>8768</v>
      </c>
      <c r="V1113" t="s">
        <v>8541</v>
      </c>
      <c r="W1113" t="s">
        <v>5857</v>
      </c>
      <c r="X1113" s="2">
        <v>640</v>
      </c>
      <c r="Y1113" t="s">
        <v>5858</v>
      </c>
      <c r="Z1113" t="s">
        <v>6037</v>
      </c>
      <c r="AA1113" s="2">
        <v>10000</v>
      </c>
      <c r="AB1113" t="s">
        <v>5863</v>
      </c>
      <c r="AC1113" t="s">
        <v>9976</v>
      </c>
      <c r="AD1113" s="32"/>
      <c r="AJ1113" t="s">
        <v>9957</v>
      </c>
      <c r="AL1113" t="s">
        <v>11233</v>
      </c>
    </row>
    <row r="1114" spans="1:38">
      <c r="A1114" t="s">
        <v>8697</v>
      </c>
      <c r="B1114" t="s">
        <v>12405</v>
      </c>
      <c r="C1114" t="s">
        <v>8536</v>
      </c>
      <c r="D1114" t="s">
        <v>8537</v>
      </c>
      <c r="E1114" s="2">
        <v>1000</v>
      </c>
      <c r="F1114" s="2">
        <v>1000</v>
      </c>
      <c r="G1114" s="3">
        <v>43330</v>
      </c>
      <c r="H1114" s="4">
        <v>0.93489583333333004</v>
      </c>
      <c r="I1114" s="3">
        <v>43331</v>
      </c>
      <c r="J1114" s="4">
        <v>0</v>
      </c>
      <c r="K1114" s="2">
        <v>20</v>
      </c>
      <c r="L1114" t="s">
        <v>5856</v>
      </c>
      <c r="M1114" t="s">
        <v>8784</v>
      </c>
      <c r="N1114" s="3">
        <v>43333</v>
      </c>
      <c r="O1114" s="3">
        <v>43332</v>
      </c>
      <c r="P1114" t="s">
        <v>5929</v>
      </c>
      <c r="Q1114" t="s">
        <v>8883</v>
      </c>
      <c r="R1114" t="s">
        <v>6036</v>
      </c>
      <c r="S1114" s="3">
        <v>43333</v>
      </c>
      <c r="T1114" t="s">
        <v>9938</v>
      </c>
      <c r="U1114" t="s">
        <v>8540</v>
      </c>
      <c r="V1114" t="s">
        <v>8541</v>
      </c>
      <c r="W1114" t="s">
        <v>5857</v>
      </c>
      <c r="X1114" s="2">
        <v>640</v>
      </c>
      <c r="Y1114" t="s">
        <v>5858</v>
      </c>
      <c r="Z1114" t="s">
        <v>6037</v>
      </c>
      <c r="AA1114" s="2">
        <v>1000</v>
      </c>
      <c r="AB1114" t="s">
        <v>5863</v>
      </c>
      <c r="AC1114" t="s">
        <v>9976</v>
      </c>
      <c r="AD1114" s="32"/>
      <c r="AJ1114" t="s">
        <v>9957</v>
      </c>
      <c r="AL1114" t="s">
        <v>11234</v>
      </c>
    </row>
    <row r="1115" spans="1:38">
      <c r="A1115" t="s">
        <v>8697</v>
      </c>
      <c r="B1115" t="s">
        <v>13434</v>
      </c>
      <c r="C1115" t="s">
        <v>13435</v>
      </c>
      <c r="D1115" t="s">
        <v>13436</v>
      </c>
      <c r="E1115" s="2">
        <v>1040</v>
      </c>
      <c r="F1115" s="2">
        <v>1040</v>
      </c>
      <c r="G1115" s="3">
        <v>43337</v>
      </c>
      <c r="H1115" s="4">
        <v>0.64791666666667003</v>
      </c>
      <c r="I1115" s="3">
        <v>43337</v>
      </c>
      <c r="J1115" s="4">
        <v>0.71562499999999996</v>
      </c>
      <c r="K1115" s="2">
        <v>20</v>
      </c>
      <c r="L1115" t="s">
        <v>5856</v>
      </c>
      <c r="M1115" t="s">
        <v>6945</v>
      </c>
      <c r="N1115" s="3">
        <v>43340</v>
      </c>
      <c r="O1115" s="3">
        <v>43339</v>
      </c>
      <c r="P1115" t="s">
        <v>9831</v>
      </c>
      <c r="Q1115" t="s">
        <v>13437</v>
      </c>
      <c r="R1115" t="s">
        <v>6036</v>
      </c>
      <c r="S1115" s="3">
        <v>43340</v>
      </c>
      <c r="T1115" t="s">
        <v>9938</v>
      </c>
      <c r="U1115" t="s">
        <v>5980</v>
      </c>
      <c r="V1115" t="s">
        <v>13438</v>
      </c>
      <c r="W1115" t="s">
        <v>5857</v>
      </c>
      <c r="X1115" s="2">
        <v>0</v>
      </c>
      <c r="Y1115" t="s">
        <v>5858</v>
      </c>
      <c r="Z1115" t="s">
        <v>6037</v>
      </c>
      <c r="AA1115" s="2">
        <v>1000</v>
      </c>
      <c r="AB1115" t="s">
        <v>5861</v>
      </c>
      <c r="AD1115" s="32"/>
      <c r="AJ1115" t="s">
        <v>9958</v>
      </c>
      <c r="AL1115" t="s">
        <v>14144</v>
      </c>
    </row>
    <row r="1116" spans="1:38">
      <c r="A1116" t="s">
        <v>8697</v>
      </c>
      <c r="B1116" t="s">
        <v>13439</v>
      </c>
      <c r="C1116" t="s">
        <v>7225</v>
      </c>
      <c r="D1116" t="s">
        <v>7226</v>
      </c>
      <c r="E1116" s="2">
        <v>1040</v>
      </c>
      <c r="F1116" s="2">
        <v>1040</v>
      </c>
      <c r="G1116" s="3">
        <v>43347</v>
      </c>
      <c r="H1116" s="4">
        <v>0.77916666666667</v>
      </c>
      <c r="I1116" s="3">
        <v>43347</v>
      </c>
      <c r="J1116" s="4">
        <v>0.84687500000000004</v>
      </c>
      <c r="K1116" s="2">
        <v>20</v>
      </c>
      <c r="L1116" t="s">
        <v>5856</v>
      </c>
      <c r="M1116" t="s">
        <v>6945</v>
      </c>
      <c r="N1116" s="3">
        <v>43350</v>
      </c>
      <c r="O1116" s="3">
        <v>43349</v>
      </c>
      <c r="P1116" t="s">
        <v>6673</v>
      </c>
      <c r="Q1116" t="s">
        <v>13440</v>
      </c>
      <c r="R1116" t="s">
        <v>6036</v>
      </c>
      <c r="S1116" s="3">
        <v>43350</v>
      </c>
      <c r="T1116" t="s">
        <v>9938</v>
      </c>
      <c r="U1116" t="s">
        <v>7228</v>
      </c>
      <c r="V1116" t="s">
        <v>6067</v>
      </c>
      <c r="W1116" t="s">
        <v>5857</v>
      </c>
      <c r="X1116" s="2">
        <v>0</v>
      </c>
      <c r="Y1116" t="s">
        <v>5858</v>
      </c>
      <c r="Z1116" t="s">
        <v>6037</v>
      </c>
      <c r="AA1116" s="2">
        <v>1000</v>
      </c>
      <c r="AB1116" t="s">
        <v>5861</v>
      </c>
      <c r="AC1116" t="s">
        <v>9978</v>
      </c>
      <c r="AD1116" s="32"/>
      <c r="AI1116" t="s">
        <v>9950</v>
      </c>
      <c r="AJ1116" t="s">
        <v>9958</v>
      </c>
      <c r="AL1116" t="s">
        <v>14145</v>
      </c>
    </row>
    <row r="1117" spans="1:38">
      <c r="A1117" t="s">
        <v>8697</v>
      </c>
      <c r="B1117" t="s">
        <v>12406</v>
      </c>
      <c r="C1117" t="s">
        <v>8884</v>
      </c>
      <c r="D1117" t="s">
        <v>8885</v>
      </c>
      <c r="E1117" s="2">
        <v>2000</v>
      </c>
      <c r="F1117" s="2">
        <v>2000</v>
      </c>
      <c r="G1117" s="3">
        <v>43349</v>
      </c>
      <c r="H1117" s="4">
        <v>0.76996527777778001</v>
      </c>
      <c r="I1117" s="3">
        <v>43349</v>
      </c>
      <c r="J1117" s="4">
        <v>0.90017361111111005</v>
      </c>
      <c r="K1117" s="2">
        <v>0</v>
      </c>
      <c r="L1117" t="s">
        <v>5856</v>
      </c>
      <c r="M1117" t="s">
        <v>8853</v>
      </c>
      <c r="N1117" s="3">
        <v>43353</v>
      </c>
      <c r="O1117" s="3">
        <v>43351</v>
      </c>
      <c r="P1117" t="s">
        <v>8886</v>
      </c>
      <c r="Q1117" t="s">
        <v>8887</v>
      </c>
      <c r="R1117" t="s">
        <v>6036</v>
      </c>
      <c r="S1117" s="3">
        <v>43353</v>
      </c>
      <c r="T1117" t="s">
        <v>9938</v>
      </c>
      <c r="U1117" t="s">
        <v>8888</v>
      </c>
      <c r="V1117" t="s">
        <v>8889</v>
      </c>
      <c r="W1117" t="s">
        <v>5857</v>
      </c>
      <c r="X1117" s="2">
        <v>640</v>
      </c>
      <c r="Y1117" t="s">
        <v>5858</v>
      </c>
      <c r="Z1117" t="s">
        <v>6037</v>
      </c>
      <c r="AA1117" s="2">
        <v>2000</v>
      </c>
      <c r="AB1117" t="s">
        <v>5863</v>
      </c>
      <c r="AD1117" s="32"/>
      <c r="AJ1117" t="s">
        <v>9957</v>
      </c>
      <c r="AL1117" t="s">
        <v>11235</v>
      </c>
    </row>
    <row r="1118" spans="1:38">
      <c r="A1118" t="s">
        <v>8697</v>
      </c>
      <c r="B1118" t="s">
        <v>12407</v>
      </c>
      <c r="C1118" t="s">
        <v>8890</v>
      </c>
      <c r="D1118" t="s">
        <v>8891</v>
      </c>
      <c r="E1118" s="2">
        <v>2000</v>
      </c>
      <c r="F1118" s="2">
        <v>2000</v>
      </c>
      <c r="G1118" s="3">
        <v>43352</v>
      </c>
      <c r="H1118" s="4">
        <v>0.87959490740740998</v>
      </c>
      <c r="I1118" s="3">
        <v>43353</v>
      </c>
      <c r="J1118" s="4">
        <v>9.8032407407400001E-3</v>
      </c>
      <c r="K1118" s="2">
        <v>20</v>
      </c>
      <c r="L1118" t="s">
        <v>5856</v>
      </c>
      <c r="M1118" t="s">
        <v>8853</v>
      </c>
      <c r="N1118" s="3">
        <v>43356</v>
      </c>
      <c r="O1118" s="3">
        <v>43355</v>
      </c>
      <c r="P1118" t="s">
        <v>5949</v>
      </c>
      <c r="Q1118" t="s">
        <v>8892</v>
      </c>
      <c r="R1118" t="s">
        <v>6036</v>
      </c>
      <c r="S1118" s="3">
        <v>43356</v>
      </c>
      <c r="T1118" t="s">
        <v>9938</v>
      </c>
      <c r="U1118" t="s">
        <v>8893</v>
      </c>
      <c r="V1118" t="s">
        <v>5950</v>
      </c>
      <c r="W1118" t="s">
        <v>5857</v>
      </c>
      <c r="X1118" s="2">
        <v>640</v>
      </c>
      <c r="Y1118" t="s">
        <v>5858</v>
      </c>
      <c r="Z1118" t="s">
        <v>6037</v>
      </c>
      <c r="AA1118" s="2">
        <v>2000</v>
      </c>
      <c r="AB1118" t="s">
        <v>5863</v>
      </c>
      <c r="AD1118" s="32"/>
      <c r="AI1118" t="s">
        <v>9941</v>
      </c>
      <c r="AJ1118" t="s">
        <v>9959</v>
      </c>
      <c r="AL1118" t="s">
        <v>11236</v>
      </c>
    </row>
    <row r="1119" spans="1:38">
      <c r="A1119" t="s">
        <v>8697</v>
      </c>
      <c r="B1119" t="s">
        <v>13441</v>
      </c>
      <c r="C1119" t="s">
        <v>8730</v>
      </c>
      <c r="D1119" t="s">
        <v>8731</v>
      </c>
      <c r="E1119" s="2">
        <v>3120</v>
      </c>
      <c r="F1119" s="2">
        <v>3120</v>
      </c>
      <c r="G1119" s="3">
        <v>43359</v>
      </c>
      <c r="H1119" s="4">
        <v>0.79686342592592996</v>
      </c>
      <c r="I1119" s="3">
        <v>43359</v>
      </c>
      <c r="J1119" s="4">
        <v>0.99998842592592996</v>
      </c>
      <c r="K1119" s="2">
        <v>0</v>
      </c>
      <c r="L1119" t="s">
        <v>5856</v>
      </c>
      <c r="M1119" t="s">
        <v>8710</v>
      </c>
      <c r="N1119" s="3">
        <v>43361</v>
      </c>
      <c r="O1119" s="3">
        <v>43361</v>
      </c>
      <c r="P1119" t="s">
        <v>5904</v>
      </c>
      <c r="Q1119" t="s">
        <v>6038</v>
      </c>
      <c r="R1119" t="s">
        <v>6040</v>
      </c>
      <c r="S1119" s="3">
        <v>43344</v>
      </c>
      <c r="T1119" t="s">
        <v>9938</v>
      </c>
      <c r="U1119" t="s">
        <v>8733</v>
      </c>
      <c r="V1119" t="s">
        <v>8734</v>
      </c>
      <c r="W1119" t="s">
        <v>5857</v>
      </c>
      <c r="X1119" s="2">
        <v>0</v>
      </c>
      <c r="Y1119" t="s">
        <v>5858</v>
      </c>
      <c r="Z1119" t="s">
        <v>6037</v>
      </c>
      <c r="AA1119" s="2">
        <v>3000</v>
      </c>
      <c r="AB1119" t="s">
        <v>5861</v>
      </c>
      <c r="AC1119" t="s">
        <v>9974</v>
      </c>
      <c r="AD1119" s="32"/>
      <c r="AJ1119" t="s">
        <v>9957</v>
      </c>
      <c r="AL1119" t="s">
        <v>14146</v>
      </c>
    </row>
    <row r="1120" spans="1:38">
      <c r="A1120" t="s">
        <v>8697</v>
      </c>
      <c r="B1120" t="s">
        <v>12408</v>
      </c>
      <c r="C1120" t="s">
        <v>8730</v>
      </c>
      <c r="D1120" t="s">
        <v>8731</v>
      </c>
      <c r="E1120" s="2">
        <v>1092</v>
      </c>
      <c r="F1120" s="2">
        <v>1092</v>
      </c>
      <c r="G1120" s="3">
        <v>43363</v>
      </c>
      <c r="H1120" s="4">
        <v>0.2309837962963</v>
      </c>
      <c r="I1120" s="3">
        <v>43363</v>
      </c>
      <c r="J1120" s="4">
        <v>0.30208333333332998</v>
      </c>
      <c r="K1120" s="2">
        <v>20</v>
      </c>
      <c r="L1120" t="s">
        <v>5856</v>
      </c>
      <c r="M1120" t="s">
        <v>8910</v>
      </c>
      <c r="N1120" s="3">
        <v>43367</v>
      </c>
      <c r="O1120" s="3">
        <v>43365</v>
      </c>
      <c r="P1120" t="s">
        <v>5904</v>
      </c>
      <c r="Q1120" t="s">
        <v>8894</v>
      </c>
      <c r="R1120" t="s">
        <v>6036</v>
      </c>
      <c r="S1120" s="3">
        <v>43367</v>
      </c>
      <c r="T1120" t="s">
        <v>9938</v>
      </c>
      <c r="U1120" t="s">
        <v>8733</v>
      </c>
      <c r="V1120" t="s">
        <v>8734</v>
      </c>
      <c r="W1120" t="s">
        <v>5857</v>
      </c>
      <c r="X1120" s="2">
        <v>640</v>
      </c>
      <c r="Y1120" t="s">
        <v>5858</v>
      </c>
      <c r="Z1120" t="s">
        <v>6037</v>
      </c>
      <c r="AA1120" s="2">
        <v>1050</v>
      </c>
      <c r="AB1120" t="s">
        <v>5863</v>
      </c>
      <c r="AC1120" t="s">
        <v>9974</v>
      </c>
      <c r="AD1120" s="32"/>
      <c r="AJ1120" t="s">
        <v>9957</v>
      </c>
      <c r="AL1120" t="s">
        <v>14147</v>
      </c>
    </row>
    <row r="1121" spans="1:38">
      <c r="A1121" t="s">
        <v>8697</v>
      </c>
      <c r="B1121" t="s">
        <v>12409</v>
      </c>
      <c r="C1121" t="s">
        <v>8766</v>
      </c>
      <c r="D1121" t="s">
        <v>8767</v>
      </c>
      <c r="E1121" s="2">
        <v>10400</v>
      </c>
      <c r="F1121" s="2">
        <v>10400</v>
      </c>
      <c r="G1121" s="3">
        <v>43363</v>
      </c>
      <c r="H1121" s="4">
        <v>0.32291666666667002</v>
      </c>
      <c r="I1121" s="3">
        <v>43364</v>
      </c>
      <c r="J1121" s="4">
        <v>0</v>
      </c>
      <c r="K1121" s="2">
        <v>0</v>
      </c>
      <c r="L1121" t="s">
        <v>5856</v>
      </c>
      <c r="M1121" t="s">
        <v>8724</v>
      </c>
      <c r="N1121" s="3">
        <v>43367</v>
      </c>
      <c r="O1121" s="3">
        <v>43365</v>
      </c>
      <c r="P1121" t="s">
        <v>5898</v>
      </c>
      <c r="Q1121" t="s">
        <v>8895</v>
      </c>
      <c r="R1121" t="s">
        <v>6036</v>
      </c>
      <c r="S1121" s="3">
        <v>43367</v>
      </c>
      <c r="T1121" t="s">
        <v>9938</v>
      </c>
      <c r="U1121" t="s">
        <v>8768</v>
      </c>
      <c r="V1121" t="s">
        <v>8541</v>
      </c>
      <c r="W1121" t="s">
        <v>5857</v>
      </c>
      <c r="X1121" s="2">
        <v>640</v>
      </c>
      <c r="Y1121" t="s">
        <v>5858</v>
      </c>
      <c r="Z1121" t="s">
        <v>6037</v>
      </c>
      <c r="AA1121" s="2">
        <v>10000</v>
      </c>
      <c r="AB1121" t="s">
        <v>5863</v>
      </c>
      <c r="AC1121" t="s">
        <v>9976</v>
      </c>
      <c r="AD1121" s="32"/>
      <c r="AJ1121" t="s">
        <v>9957</v>
      </c>
      <c r="AL1121" t="s">
        <v>11238</v>
      </c>
    </row>
    <row r="1122" spans="1:38">
      <c r="A1122" t="s">
        <v>8697</v>
      </c>
      <c r="B1122" t="s">
        <v>12410</v>
      </c>
      <c r="C1122" t="s">
        <v>8817</v>
      </c>
      <c r="D1122" t="s">
        <v>8818</v>
      </c>
      <c r="E1122" s="2">
        <v>1768</v>
      </c>
      <c r="F1122" s="2">
        <v>1768</v>
      </c>
      <c r="G1122" s="3">
        <v>43365</v>
      </c>
      <c r="H1122" s="4">
        <v>0.79635416666667003</v>
      </c>
      <c r="I1122" s="3">
        <v>43365</v>
      </c>
      <c r="J1122" s="4">
        <v>0.91145833333333004</v>
      </c>
      <c r="K1122" s="2">
        <v>0</v>
      </c>
      <c r="L1122" t="s">
        <v>5856</v>
      </c>
      <c r="M1122" t="s">
        <v>8896</v>
      </c>
      <c r="N1122" s="3">
        <v>43368</v>
      </c>
      <c r="O1122" s="3">
        <v>43367</v>
      </c>
      <c r="P1122" t="s">
        <v>5862</v>
      </c>
      <c r="Q1122" t="s">
        <v>8897</v>
      </c>
      <c r="R1122" t="s">
        <v>6036</v>
      </c>
      <c r="S1122" s="3">
        <v>43368</v>
      </c>
      <c r="T1122" t="s">
        <v>9938</v>
      </c>
      <c r="U1122" t="s">
        <v>8733</v>
      </c>
      <c r="V1122" t="s">
        <v>5941</v>
      </c>
      <c r="W1122" t="s">
        <v>5857</v>
      </c>
      <c r="X1122" s="2">
        <v>640</v>
      </c>
      <c r="Y1122" t="s">
        <v>5858</v>
      </c>
      <c r="Z1122" t="s">
        <v>6037</v>
      </c>
      <c r="AA1122" s="2">
        <v>1700</v>
      </c>
      <c r="AB1122" t="s">
        <v>5863</v>
      </c>
      <c r="AC1122" t="s">
        <v>9974</v>
      </c>
      <c r="AD1122" s="32"/>
      <c r="AJ1122" t="s">
        <v>9957</v>
      </c>
      <c r="AL1122" t="s">
        <v>11239</v>
      </c>
    </row>
    <row r="1123" spans="1:38">
      <c r="A1123" t="s">
        <v>8697</v>
      </c>
      <c r="B1123" t="s">
        <v>12411</v>
      </c>
      <c r="C1123" t="s">
        <v>8898</v>
      </c>
      <c r="D1123" t="s">
        <v>8899</v>
      </c>
      <c r="E1123" s="2">
        <v>1040</v>
      </c>
      <c r="F1123" s="2">
        <v>1040</v>
      </c>
      <c r="G1123" s="3">
        <v>43365</v>
      </c>
      <c r="H1123" s="4">
        <v>0.93229166666666996</v>
      </c>
      <c r="I1123" s="3">
        <v>43366</v>
      </c>
      <c r="J1123" s="4">
        <v>0</v>
      </c>
      <c r="K1123" s="2">
        <v>20</v>
      </c>
      <c r="L1123" t="s">
        <v>5856</v>
      </c>
      <c r="M1123" t="s">
        <v>6945</v>
      </c>
      <c r="N1123" s="3">
        <v>43368</v>
      </c>
      <c r="O1123" s="3">
        <v>43367</v>
      </c>
      <c r="P1123" t="s">
        <v>5929</v>
      </c>
      <c r="Q1123" t="s">
        <v>8900</v>
      </c>
      <c r="R1123" t="s">
        <v>6036</v>
      </c>
      <c r="S1123" s="3">
        <v>43368</v>
      </c>
      <c r="T1123" t="s">
        <v>9938</v>
      </c>
      <c r="U1123" t="s">
        <v>8901</v>
      </c>
      <c r="V1123" t="s">
        <v>7000</v>
      </c>
      <c r="W1123" t="s">
        <v>5857</v>
      </c>
      <c r="X1123" s="2">
        <v>640</v>
      </c>
      <c r="Y1123" t="s">
        <v>5858</v>
      </c>
      <c r="Z1123" t="s">
        <v>6037</v>
      </c>
      <c r="AA1123" s="2">
        <v>1000</v>
      </c>
      <c r="AB1123" t="s">
        <v>5863</v>
      </c>
      <c r="AC1123" t="s">
        <v>9976</v>
      </c>
      <c r="AD1123" s="32"/>
      <c r="AJ1123" t="s">
        <v>9957</v>
      </c>
      <c r="AL1123" t="s">
        <v>14148</v>
      </c>
    </row>
    <row r="1124" spans="1:38">
      <c r="A1124" t="s">
        <v>8902</v>
      </c>
      <c r="B1124" t="s">
        <v>12412</v>
      </c>
      <c r="C1124" t="s">
        <v>8906</v>
      </c>
      <c r="D1124" t="s">
        <v>8907</v>
      </c>
      <c r="E1124" s="2">
        <v>459</v>
      </c>
      <c r="F1124" s="2">
        <v>3484</v>
      </c>
      <c r="G1124" s="3">
        <v>43278</v>
      </c>
      <c r="H1124" s="4">
        <v>2.0833333333330002E-2</v>
      </c>
      <c r="I1124" s="3">
        <v>43278</v>
      </c>
      <c r="J1124" s="4">
        <v>0.24766203703704001</v>
      </c>
      <c r="K1124" s="2">
        <v>0</v>
      </c>
      <c r="L1124" t="s">
        <v>5856</v>
      </c>
      <c r="M1124" t="s">
        <v>8908</v>
      </c>
      <c r="N1124" s="3">
        <v>43280</v>
      </c>
      <c r="O1124" s="3">
        <v>43280</v>
      </c>
      <c r="P1124" t="s">
        <v>6026</v>
      </c>
      <c r="Q1124" t="s">
        <v>6038</v>
      </c>
      <c r="R1124" t="s">
        <v>6039</v>
      </c>
      <c r="S1124" s="3"/>
      <c r="T1124" t="s">
        <v>9938</v>
      </c>
      <c r="U1124" t="s">
        <v>6582</v>
      </c>
      <c r="V1124" t="s">
        <v>6825</v>
      </c>
      <c r="W1124" t="s">
        <v>5857</v>
      </c>
      <c r="X1124" s="2">
        <v>640</v>
      </c>
      <c r="Y1124" t="s">
        <v>5858</v>
      </c>
      <c r="Z1124" t="s">
        <v>6037</v>
      </c>
      <c r="AA1124" s="2">
        <v>459</v>
      </c>
      <c r="AB1124" t="s">
        <v>5859</v>
      </c>
      <c r="AC1124" t="s">
        <v>9976</v>
      </c>
      <c r="AD1124" s="32">
        <v>43263</v>
      </c>
      <c r="AJ1124" t="s">
        <v>9958</v>
      </c>
      <c r="AL1124" t="s">
        <v>11241</v>
      </c>
    </row>
    <row r="1125" spans="1:38">
      <c r="A1125" t="s">
        <v>8902</v>
      </c>
      <c r="B1125" t="s">
        <v>12413</v>
      </c>
      <c r="C1125" t="s">
        <v>6701</v>
      </c>
      <c r="D1125" t="s">
        <v>6702</v>
      </c>
      <c r="E1125" s="2">
        <v>5356</v>
      </c>
      <c r="F1125" s="2">
        <v>5356</v>
      </c>
      <c r="G1125" s="3">
        <v>43278</v>
      </c>
      <c r="H1125" s="4">
        <v>0.3197337962963</v>
      </c>
      <c r="I1125" s="3">
        <v>43278</v>
      </c>
      <c r="J1125" s="4">
        <v>0.66843750000000002</v>
      </c>
      <c r="K1125" s="2">
        <v>4</v>
      </c>
      <c r="L1125" t="s">
        <v>5856</v>
      </c>
      <c r="M1125" t="s">
        <v>8909</v>
      </c>
      <c r="N1125" s="3">
        <v>43280</v>
      </c>
      <c r="O1125" s="3">
        <v>43280</v>
      </c>
      <c r="P1125" t="s">
        <v>5913</v>
      </c>
      <c r="Q1125" t="s">
        <v>6038</v>
      </c>
      <c r="R1125" t="s">
        <v>6039</v>
      </c>
      <c r="S1125" s="3"/>
      <c r="T1125" t="s">
        <v>9938</v>
      </c>
      <c r="U1125" t="s">
        <v>6703</v>
      </c>
      <c r="V1125" t="s">
        <v>6704</v>
      </c>
      <c r="W1125" t="s">
        <v>6038</v>
      </c>
      <c r="X1125" s="2">
        <v>640</v>
      </c>
      <c r="Y1125" t="s">
        <v>5858</v>
      </c>
      <c r="Z1125" t="s">
        <v>6037</v>
      </c>
      <c r="AA1125" s="2">
        <v>5150</v>
      </c>
      <c r="AB1125" t="s">
        <v>5859</v>
      </c>
      <c r="AC1125" t="s">
        <v>9976</v>
      </c>
      <c r="AD1125" s="32">
        <v>43255</v>
      </c>
      <c r="AJ1125" t="s">
        <v>9959</v>
      </c>
      <c r="AL1125" t="s">
        <v>11242</v>
      </c>
    </row>
    <row r="1126" spans="1:38">
      <c r="A1126" t="s">
        <v>8902</v>
      </c>
      <c r="B1126" t="s">
        <v>12414</v>
      </c>
      <c r="C1126" t="s">
        <v>8911</v>
      </c>
      <c r="D1126" t="s">
        <v>8912</v>
      </c>
      <c r="E1126" s="2">
        <v>2080</v>
      </c>
      <c r="F1126" s="2">
        <v>2080</v>
      </c>
      <c r="G1126" s="3">
        <v>43278</v>
      </c>
      <c r="H1126" s="4">
        <v>0.84612268518518996</v>
      </c>
      <c r="I1126" s="3">
        <v>43278</v>
      </c>
      <c r="J1126" s="4">
        <v>0.98153935185185004</v>
      </c>
      <c r="K1126" s="2">
        <v>20</v>
      </c>
      <c r="L1126" t="s">
        <v>5856</v>
      </c>
      <c r="M1126" t="s">
        <v>8700</v>
      </c>
      <c r="N1126" s="3">
        <v>43314</v>
      </c>
      <c r="O1126" s="3">
        <v>43280</v>
      </c>
      <c r="P1126" t="s">
        <v>5967</v>
      </c>
      <c r="Q1126" t="s">
        <v>8913</v>
      </c>
      <c r="R1126" t="s">
        <v>6036</v>
      </c>
      <c r="S1126" s="3">
        <v>43314</v>
      </c>
      <c r="T1126" t="s">
        <v>9938</v>
      </c>
      <c r="U1126" t="s">
        <v>8914</v>
      </c>
      <c r="V1126" t="s">
        <v>8915</v>
      </c>
      <c r="W1126" t="s">
        <v>5857</v>
      </c>
      <c r="X1126" s="2">
        <v>640</v>
      </c>
      <c r="Y1126" t="s">
        <v>5858</v>
      </c>
      <c r="Z1126" t="s">
        <v>6037</v>
      </c>
      <c r="AA1126" s="2">
        <v>2080</v>
      </c>
      <c r="AB1126" t="s">
        <v>5859</v>
      </c>
      <c r="AC1126" t="s">
        <v>9981</v>
      </c>
      <c r="AD1126" s="32">
        <v>43262</v>
      </c>
      <c r="AJ1126" t="s">
        <v>9958</v>
      </c>
      <c r="AL1126" t="s">
        <v>11243</v>
      </c>
    </row>
    <row r="1127" spans="1:38">
      <c r="A1127" t="s">
        <v>8902</v>
      </c>
      <c r="B1127" t="s">
        <v>12415</v>
      </c>
      <c r="C1127" t="s">
        <v>8916</v>
      </c>
      <c r="D1127" t="s">
        <v>8917</v>
      </c>
      <c r="E1127" s="2">
        <v>40</v>
      </c>
      <c r="F1127" s="2">
        <v>1040</v>
      </c>
      <c r="G1127" s="3">
        <v>43279</v>
      </c>
      <c r="H1127" s="4">
        <v>2.0833333333330002E-2</v>
      </c>
      <c r="I1127" s="3">
        <v>43279</v>
      </c>
      <c r="J1127" s="4">
        <v>8.8541666666670002E-2</v>
      </c>
      <c r="K1127" s="2">
        <v>20</v>
      </c>
      <c r="L1127" t="s">
        <v>5856</v>
      </c>
      <c r="M1127" t="s">
        <v>6945</v>
      </c>
      <c r="N1127" s="3">
        <v>43283</v>
      </c>
      <c r="O1127" s="3">
        <v>43281</v>
      </c>
      <c r="P1127" t="s">
        <v>5971</v>
      </c>
      <c r="Q1127" t="s">
        <v>6038</v>
      </c>
      <c r="R1127" t="s">
        <v>6039</v>
      </c>
      <c r="S1127" s="3"/>
      <c r="T1127" t="s">
        <v>9938</v>
      </c>
      <c r="U1127" t="s">
        <v>8919</v>
      </c>
      <c r="V1127" t="s">
        <v>8920</v>
      </c>
      <c r="W1127" t="s">
        <v>5857</v>
      </c>
      <c r="X1127" s="2">
        <v>640</v>
      </c>
      <c r="Y1127" t="s">
        <v>5858</v>
      </c>
      <c r="Z1127" t="s">
        <v>6037</v>
      </c>
      <c r="AA1127" s="2">
        <v>0</v>
      </c>
      <c r="AB1127" t="s">
        <v>5859</v>
      </c>
      <c r="AC1127" t="s">
        <v>9974</v>
      </c>
      <c r="AD1127" s="32">
        <v>43252</v>
      </c>
      <c r="AJ1127" t="s">
        <v>9958</v>
      </c>
      <c r="AL1127" t="s">
        <v>11244</v>
      </c>
    </row>
    <row r="1128" spans="1:38">
      <c r="A1128" t="s">
        <v>8902</v>
      </c>
      <c r="B1128" t="s">
        <v>12416</v>
      </c>
      <c r="C1128" t="s">
        <v>8926</v>
      </c>
      <c r="D1128" t="s">
        <v>8927</v>
      </c>
      <c r="E1128" s="2">
        <v>40</v>
      </c>
      <c r="F1128" s="2">
        <v>1040</v>
      </c>
      <c r="G1128" s="3">
        <v>43280</v>
      </c>
      <c r="H1128" s="4">
        <v>2.0833333333330002E-2</v>
      </c>
      <c r="I1128" s="3">
        <v>43280</v>
      </c>
      <c r="J1128" s="4">
        <v>8.8541666666670002E-2</v>
      </c>
      <c r="K1128" s="2">
        <v>0</v>
      </c>
      <c r="L1128" t="s">
        <v>5856</v>
      </c>
      <c r="M1128" t="s">
        <v>6945</v>
      </c>
      <c r="N1128" s="3">
        <v>43283</v>
      </c>
      <c r="O1128" s="3">
        <v>43282</v>
      </c>
      <c r="P1128" t="s">
        <v>5971</v>
      </c>
      <c r="Q1128" t="s">
        <v>6038</v>
      </c>
      <c r="R1128" t="s">
        <v>6039</v>
      </c>
      <c r="S1128" s="3"/>
      <c r="T1128" t="s">
        <v>9938</v>
      </c>
      <c r="U1128" t="s">
        <v>6093</v>
      </c>
      <c r="V1128" t="s">
        <v>8928</v>
      </c>
      <c r="W1128" t="s">
        <v>5857</v>
      </c>
      <c r="X1128" s="2">
        <v>640</v>
      </c>
      <c r="Y1128" t="s">
        <v>5858</v>
      </c>
      <c r="Z1128" t="s">
        <v>6037</v>
      </c>
      <c r="AA1128" s="2">
        <v>0</v>
      </c>
      <c r="AB1128" t="s">
        <v>5859</v>
      </c>
      <c r="AC1128" t="s">
        <v>9974</v>
      </c>
      <c r="AD1128" s="32">
        <v>43262</v>
      </c>
      <c r="AJ1128" t="s">
        <v>9959</v>
      </c>
      <c r="AL1128" t="s">
        <v>11245</v>
      </c>
    </row>
    <row r="1129" spans="1:38">
      <c r="A1129" t="s">
        <v>8902</v>
      </c>
      <c r="B1129" t="s">
        <v>12419</v>
      </c>
      <c r="C1129" t="s">
        <v>8932</v>
      </c>
      <c r="D1129" t="s">
        <v>8933</v>
      </c>
      <c r="E1129" s="2">
        <v>130</v>
      </c>
      <c r="F1129" s="2">
        <v>2080</v>
      </c>
      <c r="G1129" s="3">
        <v>43281</v>
      </c>
      <c r="H1129" s="4">
        <v>2.0833333333330002E-2</v>
      </c>
      <c r="I1129" s="3">
        <v>43281</v>
      </c>
      <c r="J1129" s="4">
        <v>0.15625</v>
      </c>
      <c r="K1129" s="2">
        <v>20</v>
      </c>
      <c r="L1129" t="s">
        <v>5856</v>
      </c>
      <c r="M1129" t="s">
        <v>8700</v>
      </c>
      <c r="N1129" s="3">
        <v>43284</v>
      </c>
      <c r="O1129" s="3">
        <v>43283</v>
      </c>
      <c r="P1129" t="s">
        <v>5913</v>
      </c>
      <c r="Q1129" t="s">
        <v>8934</v>
      </c>
      <c r="R1129" t="s">
        <v>6036</v>
      </c>
      <c r="S1129" s="3">
        <v>43284</v>
      </c>
      <c r="T1129" t="s">
        <v>9938</v>
      </c>
      <c r="U1129" t="s">
        <v>5927</v>
      </c>
      <c r="V1129" t="s">
        <v>8935</v>
      </c>
      <c r="W1129" t="s">
        <v>5857</v>
      </c>
      <c r="X1129" s="2">
        <v>640</v>
      </c>
      <c r="Y1129" t="s">
        <v>5858</v>
      </c>
      <c r="Z1129" t="s">
        <v>6037</v>
      </c>
      <c r="AA1129" s="2">
        <v>50</v>
      </c>
      <c r="AB1129" t="s">
        <v>5859</v>
      </c>
      <c r="AC1129" t="s">
        <v>9974</v>
      </c>
      <c r="AD1129" s="32">
        <v>43264</v>
      </c>
      <c r="AJ1129" t="s">
        <v>9959</v>
      </c>
      <c r="AL1129" t="s">
        <v>11248</v>
      </c>
    </row>
    <row r="1130" spans="1:38">
      <c r="A1130" t="s">
        <v>8902</v>
      </c>
      <c r="B1130" t="s">
        <v>12417</v>
      </c>
      <c r="C1130" t="s">
        <v>8929</v>
      </c>
      <c r="D1130" t="s">
        <v>8930</v>
      </c>
      <c r="E1130" s="2">
        <v>40</v>
      </c>
      <c r="F1130" s="2">
        <v>1040</v>
      </c>
      <c r="G1130" s="3">
        <v>43281</v>
      </c>
      <c r="H1130" s="4">
        <v>0.44444444444443998</v>
      </c>
      <c r="I1130" s="3">
        <v>43281</v>
      </c>
      <c r="J1130" s="4">
        <v>0.51215277777778001</v>
      </c>
      <c r="K1130" s="2">
        <v>20</v>
      </c>
      <c r="L1130" t="s">
        <v>5856</v>
      </c>
      <c r="M1130" t="s">
        <v>6945</v>
      </c>
      <c r="N1130" s="3">
        <v>43286</v>
      </c>
      <c r="O1130" s="3">
        <v>43283</v>
      </c>
      <c r="P1130" t="s">
        <v>6026</v>
      </c>
      <c r="Q1130" t="s">
        <v>6038</v>
      </c>
      <c r="R1130" t="s">
        <v>6039</v>
      </c>
      <c r="S1130" s="3"/>
      <c r="T1130" t="s">
        <v>9938</v>
      </c>
      <c r="U1130" t="s">
        <v>5956</v>
      </c>
      <c r="V1130" t="s">
        <v>6864</v>
      </c>
      <c r="W1130" t="s">
        <v>5857</v>
      </c>
      <c r="X1130" s="2">
        <v>640</v>
      </c>
      <c r="Y1130" t="s">
        <v>5858</v>
      </c>
      <c r="Z1130" t="s">
        <v>6037</v>
      </c>
      <c r="AA1130" s="2">
        <v>0</v>
      </c>
      <c r="AB1130" t="s">
        <v>5859</v>
      </c>
      <c r="AC1130" t="s">
        <v>9976</v>
      </c>
      <c r="AD1130" s="32">
        <v>43245</v>
      </c>
      <c r="AJ1130" t="s">
        <v>9958</v>
      </c>
      <c r="AL1130" t="s">
        <v>11246</v>
      </c>
    </row>
    <row r="1131" spans="1:38">
      <c r="A1131" t="s">
        <v>8902</v>
      </c>
      <c r="B1131" t="s">
        <v>12418</v>
      </c>
      <c r="C1131" t="s">
        <v>6791</v>
      </c>
      <c r="D1131" t="s">
        <v>6792</v>
      </c>
      <c r="E1131" s="2">
        <v>3120</v>
      </c>
      <c r="F1131" s="2">
        <v>3120</v>
      </c>
      <c r="G1131" s="3">
        <v>43281</v>
      </c>
      <c r="H1131" s="4">
        <v>0.53298611111111005</v>
      </c>
      <c r="I1131" s="3">
        <v>43281</v>
      </c>
      <c r="J1131" s="4">
        <v>0.73611111111111005</v>
      </c>
      <c r="K1131" s="2">
        <v>0</v>
      </c>
      <c r="L1131" t="s">
        <v>5856</v>
      </c>
      <c r="M1131" t="s">
        <v>8710</v>
      </c>
      <c r="N1131" s="3">
        <v>43284</v>
      </c>
      <c r="O1131" s="3">
        <v>43283</v>
      </c>
      <c r="P1131" t="s">
        <v>5889</v>
      </c>
      <c r="Q1131" t="s">
        <v>8931</v>
      </c>
      <c r="R1131" t="s">
        <v>6036</v>
      </c>
      <c r="S1131" s="3">
        <v>43284</v>
      </c>
      <c r="T1131" t="s">
        <v>9938</v>
      </c>
      <c r="U1131" t="s">
        <v>5893</v>
      </c>
      <c r="V1131" t="s">
        <v>6794</v>
      </c>
      <c r="W1131" t="s">
        <v>5857</v>
      </c>
      <c r="X1131" s="2">
        <v>640</v>
      </c>
      <c r="Y1131" t="s">
        <v>5858</v>
      </c>
      <c r="Z1131" t="s">
        <v>6037</v>
      </c>
      <c r="AA1131" s="2">
        <v>3000</v>
      </c>
      <c r="AB1131" t="s">
        <v>5859</v>
      </c>
      <c r="AC1131" t="s">
        <v>9978</v>
      </c>
      <c r="AD1131" s="32">
        <v>43245</v>
      </c>
      <c r="AJ1131" t="s">
        <v>9958</v>
      </c>
      <c r="AL1131" t="s">
        <v>11247</v>
      </c>
    </row>
    <row r="1132" spans="1:38">
      <c r="A1132" t="s">
        <v>8902</v>
      </c>
      <c r="B1132" t="s">
        <v>12420</v>
      </c>
      <c r="C1132" t="s">
        <v>6104</v>
      </c>
      <c r="D1132" t="s">
        <v>6029</v>
      </c>
      <c r="E1132" s="2">
        <v>92</v>
      </c>
      <c r="F1132" s="2">
        <v>2392</v>
      </c>
      <c r="G1132" s="3">
        <v>43282</v>
      </c>
      <c r="H1132" s="4">
        <v>0.37311342592593</v>
      </c>
      <c r="I1132" s="3">
        <v>43282</v>
      </c>
      <c r="J1132" s="4">
        <v>0.52885416666666996</v>
      </c>
      <c r="K1132" s="2">
        <v>0</v>
      </c>
      <c r="L1132" t="s">
        <v>5856</v>
      </c>
      <c r="M1132" t="s">
        <v>8938</v>
      </c>
      <c r="N1132" s="3">
        <v>43285</v>
      </c>
      <c r="O1132" s="3">
        <v>43284</v>
      </c>
      <c r="P1132" t="s">
        <v>5889</v>
      </c>
      <c r="Q1132" t="s">
        <v>6038</v>
      </c>
      <c r="R1132" t="s">
        <v>6039</v>
      </c>
      <c r="S1132" s="3"/>
      <c r="T1132" t="s">
        <v>9938</v>
      </c>
      <c r="U1132" t="s">
        <v>5987</v>
      </c>
      <c r="V1132" t="s">
        <v>6041</v>
      </c>
      <c r="W1132" t="s">
        <v>5857</v>
      </c>
      <c r="X1132" s="2">
        <v>640</v>
      </c>
      <c r="Y1132" t="s">
        <v>5858</v>
      </c>
      <c r="Z1132" t="s">
        <v>6037</v>
      </c>
      <c r="AA1132" s="2">
        <v>0</v>
      </c>
      <c r="AB1132" t="s">
        <v>5859</v>
      </c>
      <c r="AC1132" t="s">
        <v>9978</v>
      </c>
      <c r="AD1132" s="32">
        <v>43257</v>
      </c>
      <c r="AJ1132" t="s">
        <v>9958</v>
      </c>
      <c r="AL1132" t="s">
        <v>11249</v>
      </c>
    </row>
    <row r="1133" spans="1:38">
      <c r="A1133" t="s">
        <v>8902</v>
      </c>
      <c r="B1133" t="s">
        <v>12425</v>
      </c>
      <c r="C1133" t="s">
        <v>8945</v>
      </c>
      <c r="D1133" t="s">
        <v>8946</v>
      </c>
      <c r="E1133" s="2">
        <v>85</v>
      </c>
      <c r="F1133" s="2">
        <v>1560</v>
      </c>
      <c r="G1133" s="3">
        <v>43282</v>
      </c>
      <c r="H1133" s="4">
        <v>0.37311342592593</v>
      </c>
      <c r="I1133" s="3">
        <v>43282</v>
      </c>
      <c r="J1133" s="4">
        <v>0.47468749999999998</v>
      </c>
      <c r="K1133" s="2">
        <v>0</v>
      </c>
      <c r="L1133" t="s">
        <v>5856</v>
      </c>
      <c r="M1133" t="s">
        <v>8943</v>
      </c>
      <c r="N1133" s="3">
        <v>43293</v>
      </c>
      <c r="O1133" s="3">
        <v>43284</v>
      </c>
      <c r="P1133" t="s">
        <v>6026</v>
      </c>
      <c r="Q1133" t="s">
        <v>8947</v>
      </c>
      <c r="R1133" t="s">
        <v>6036</v>
      </c>
      <c r="S1133" s="3">
        <v>43293</v>
      </c>
      <c r="T1133" t="s">
        <v>9938</v>
      </c>
      <c r="U1133" t="s">
        <v>5961</v>
      </c>
      <c r="V1133" t="s">
        <v>8948</v>
      </c>
      <c r="W1133" t="s">
        <v>5857</v>
      </c>
      <c r="X1133" s="2">
        <v>640</v>
      </c>
      <c r="Y1133" t="s">
        <v>5858</v>
      </c>
      <c r="Z1133" t="s">
        <v>6037</v>
      </c>
      <c r="AA1133" s="2">
        <v>25</v>
      </c>
      <c r="AB1133" t="s">
        <v>5859</v>
      </c>
      <c r="AC1133" t="s">
        <v>9976</v>
      </c>
      <c r="AD1133" s="32">
        <v>43263</v>
      </c>
      <c r="AJ1133" t="s">
        <v>9958</v>
      </c>
      <c r="AL1133" t="s">
        <v>11254</v>
      </c>
    </row>
    <row r="1134" spans="1:38">
      <c r="A1134" t="s">
        <v>8902</v>
      </c>
      <c r="B1134" t="s">
        <v>12423</v>
      </c>
      <c r="C1134" t="s">
        <v>7063</v>
      </c>
      <c r="D1134" t="s">
        <v>7064</v>
      </c>
      <c r="E1134" s="2">
        <v>40</v>
      </c>
      <c r="F1134" s="2">
        <v>1040</v>
      </c>
      <c r="G1134" s="3">
        <v>43282</v>
      </c>
      <c r="H1134" s="4">
        <v>0.88482638888888998</v>
      </c>
      <c r="I1134" s="3">
        <v>43282</v>
      </c>
      <c r="J1134" s="4">
        <v>0.95253472222222002</v>
      </c>
      <c r="K1134" s="2">
        <v>0</v>
      </c>
      <c r="L1134" t="s">
        <v>5856</v>
      </c>
      <c r="M1134" t="s">
        <v>6945</v>
      </c>
      <c r="N1134" s="3">
        <v>43285</v>
      </c>
      <c r="O1134" s="3">
        <v>43284</v>
      </c>
      <c r="P1134" t="s">
        <v>5889</v>
      </c>
      <c r="Q1134" t="s">
        <v>6038</v>
      </c>
      <c r="R1134" t="s">
        <v>6039</v>
      </c>
      <c r="S1134" s="3"/>
      <c r="T1134" t="s">
        <v>9938</v>
      </c>
      <c r="U1134" t="s">
        <v>5987</v>
      </c>
      <c r="V1134" t="s">
        <v>7066</v>
      </c>
      <c r="W1134" t="s">
        <v>5857</v>
      </c>
      <c r="X1134" s="2">
        <v>640</v>
      </c>
      <c r="Y1134" t="s">
        <v>5858</v>
      </c>
      <c r="Z1134" t="s">
        <v>6037</v>
      </c>
      <c r="AA1134" s="2">
        <v>0</v>
      </c>
      <c r="AB1134" t="s">
        <v>5859</v>
      </c>
      <c r="AC1134" t="s">
        <v>9978</v>
      </c>
      <c r="AD1134" s="32">
        <v>43224</v>
      </c>
      <c r="AJ1134" t="s">
        <v>9958</v>
      </c>
      <c r="AL1134" t="s">
        <v>11252</v>
      </c>
    </row>
    <row r="1135" spans="1:38">
      <c r="A1135" t="s">
        <v>8902</v>
      </c>
      <c r="B1135" t="s">
        <v>12430</v>
      </c>
      <c r="C1135" t="s">
        <v>8926</v>
      </c>
      <c r="D1135" t="s">
        <v>8927</v>
      </c>
      <c r="E1135" s="2">
        <v>40</v>
      </c>
      <c r="F1135" s="2">
        <v>1040</v>
      </c>
      <c r="G1135" s="3">
        <v>43283</v>
      </c>
      <c r="H1135" s="4">
        <v>0.42098379629630001</v>
      </c>
      <c r="I1135" s="3">
        <v>43283</v>
      </c>
      <c r="J1135" s="4">
        <v>0.48869212962962999</v>
      </c>
      <c r="K1135" s="2">
        <v>20</v>
      </c>
      <c r="L1135" t="s">
        <v>5856</v>
      </c>
      <c r="M1135" t="s">
        <v>6945</v>
      </c>
      <c r="N1135" s="3">
        <v>43293</v>
      </c>
      <c r="O1135" s="3">
        <v>43285</v>
      </c>
      <c r="P1135" t="s">
        <v>5971</v>
      </c>
      <c r="Q1135" t="s">
        <v>6038</v>
      </c>
      <c r="R1135" t="s">
        <v>6039</v>
      </c>
      <c r="S1135" s="3"/>
      <c r="T1135" t="s">
        <v>9938</v>
      </c>
      <c r="U1135" t="s">
        <v>6093</v>
      </c>
      <c r="V1135" t="s">
        <v>8928</v>
      </c>
      <c r="W1135" t="s">
        <v>5857</v>
      </c>
      <c r="X1135" s="2">
        <v>640</v>
      </c>
      <c r="Y1135" t="s">
        <v>5858</v>
      </c>
      <c r="Z1135" t="s">
        <v>6037</v>
      </c>
      <c r="AA1135" s="2">
        <v>0</v>
      </c>
      <c r="AB1135" t="s">
        <v>5859</v>
      </c>
      <c r="AC1135" t="s">
        <v>9974</v>
      </c>
      <c r="AD1135" s="32">
        <v>43262</v>
      </c>
      <c r="AJ1135" t="s">
        <v>9959</v>
      </c>
      <c r="AL1135" t="s">
        <v>11259</v>
      </c>
    </row>
    <row r="1136" spans="1:38">
      <c r="A1136" t="s">
        <v>8902</v>
      </c>
      <c r="B1136" t="s">
        <v>12427</v>
      </c>
      <c r="C1136" t="s">
        <v>8955</v>
      </c>
      <c r="D1136" t="s">
        <v>8956</v>
      </c>
      <c r="E1136" s="2">
        <v>80</v>
      </c>
      <c r="F1136" s="2">
        <v>2080</v>
      </c>
      <c r="G1136" s="3">
        <v>43283</v>
      </c>
      <c r="H1136" s="4">
        <v>0.42098379629630001</v>
      </c>
      <c r="I1136" s="3">
        <v>43283</v>
      </c>
      <c r="J1136" s="4">
        <v>0.55640046296295997</v>
      </c>
      <c r="K1136" s="2">
        <v>20</v>
      </c>
      <c r="L1136" t="s">
        <v>5856</v>
      </c>
      <c r="M1136" t="s">
        <v>8700</v>
      </c>
      <c r="N1136" s="3">
        <v>43286</v>
      </c>
      <c r="O1136" s="3">
        <v>43285</v>
      </c>
      <c r="P1136" t="s">
        <v>6026</v>
      </c>
      <c r="Q1136" t="s">
        <v>6038</v>
      </c>
      <c r="R1136" t="s">
        <v>6039</v>
      </c>
      <c r="S1136" s="3"/>
      <c r="T1136" t="s">
        <v>9938</v>
      </c>
      <c r="U1136" t="s">
        <v>8957</v>
      </c>
      <c r="V1136" t="s">
        <v>8958</v>
      </c>
      <c r="W1136" t="s">
        <v>5857</v>
      </c>
      <c r="X1136" s="2">
        <v>640</v>
      </c>
      <c r="Y1136" t="s">
        <v>5858</v>
      </c>
      <c r="Z1136" t="s">
        <v>6037</v>
      </c>
      <c r="AA1136" s="2">
        <v>0</v>
      </c>
      <c r="AB1136" t="s">
        <v>5859</v>
      </c>
      <c r="AC1136" t="s">
        <v>9976</v>
      </c>
      <c r="AD1136" s="32">
        <v>43263</v>
      </c>
      <c r="AJ1136" t="s">
        <v>9972</v>
      </c>
      <c r="AL1136" t="s">
        <v>11256</v>
      </c>
    </row>
    <row r="1137" spans="1:38">
      <c r="A1137" t="s">
        <v>8902</v>
      </c>
      <c r="B1137" t="s">
        <v>12428</v>
      </c>
      <c r="C1137" t="s">
        <v>8567</v>
      </c>
      <c r="D1137" t="s">
        <v>8568</v>
      </c>
      <c r="E1137" s="2">
        <v>80</v>
      </c>
      <c r="F1137" s="2">
        <v>2080</v>
      </c>
      <c r="G1137" s="3">
        <v>43283</v>
      </c>
      <c r="H1137" s="4">
        <v>0.48869212962962999</v>
      </c>
      <c r="I1137" s="3">
        <v>43283</v>
      </c>
      <c r="J1137" s="4">
        <v>0.62410879629630001</v>
      </c>
      <c r="K1137" s="2">
        <v>20</v>
      </c>
      <c r="L1137" t="s">
        <v>5856</v>
      </c>
      <c r="M1137" t="s">
        <v>8700</v>
      </c>
      <c r="N1137" s="3">
        <v>43285</v>
      </c>
      <c r="O1137" s="3">
        <v>43285</v>
      </c>
      <c r="P1137" t="s">
        <v>8549</v>
      </c>
      <c r="Q1137" t="s">
        <v>6038</v>
      </c>
      <c r="R1137" t="s">
        <v>6039</v>
      </c>
      <c r="S1137" s="3"/>
      <c r="T1137" t="s">
        <v>9938</v>
      </c>
      <c r="U1137" t="s">
        <v>8551</v>
      </c>
      <c r="V1137" t="s">
        <v>8571</v>
      </c>
      <c r="W1137" t="s">
        <v>5857</v>
      </c>
      <c r="X1137" s="2">
        <v>640</v>
      </c>
      <c r="Y1137" t="s">
        <v>5858</v>
      </c>
      <c r="Z1137" t="s">
        <v>6037</v>
      </c>
      <c r="AA1137" s="2">
        <v>0</v>
      </c>
      <c r="AB1137" t="s">
        <v>5859</v>
      </c>
      <c r="AC1137" t="s">
        <v>9987</v>
      </c>
      <c r="AD1137" s="32">
        <v>43207</v>
      </c>
      <c r="AJ1137" t="s">
        <v>9958</v>
      </c>
      <c r="AL1137" t="s">
        <v>11257</v>
      </c>
    </row>
    <row r="1138" spans="1:38">
      <c r="A1138" t="s">
        <v>8902</v>
      </c>
      <c r="B1138" t="s">
        <v>12429</v>
      </c>
      <c r="C1138" t="s">
        <v>8960</v>
      </c>
      <c r="D1138" t="s">
        <v>8961</v>
      </c>
      <c r="E1138" s="2">
        <v>40</v>
      </c>
      <c r="F1138" s="2">
        <v>1040</v>
      </c>
      <c r="G1138" s="3">
        <v>43283</v>
      </c>
      <c r="H1138" s="4">
        <v>0.64494212962963005</v>
      </c>
      <c r="I1138" s="3">
        <v>43283</v>
      </c>
      <c r="J1138" s="4">
        <v>0.71265046296295997</v>
      </c>
      <c r="K1138" s="2">
        <v>0</v>
      </c>
      <c r="L1138" t="s">
        <v>5856</v>
      </c>
      <c r="M1138" t="s">
        <v>6945</v>
      </c>
      <c r="N1138" s="3">
        <v>43285</v>
      </c>
      <c r="O1138" s="3">
        <v>43285</v>
      </c>
      <c r="P1138" t="s">
        <v>5971</v>
      </c>
      <c r="Q1138" t="s">
        <v>6038</v>
      </c>
      <c r="R1138" t="s">
        <v>6039</v>
      </c>
      <c r="S1138" s="3"/>
      <c r="T1138" t="s">
        <v>9938</v>
      </c>
      <c r="U1138" t="s">
        <v>5867</v>
      </c>
      <c r="V1138" t="s">
        <v>8962</v>
      </c>
      <c r="W1138" t="s">
        <v>5857</v>
      </c>
      <c r="X1138" s="2">
        <v>640</v>
      </c>
      <c r="Y1138" t="s">
        <v>5858</v>
      </c>
      <c r="Z1138" t="s">
        <v>6037</v>
      </c>
      <c r="AA1138" s="2">
        <v>0</v>
      </c>
      <c r="AB1138" t="s">
        <v>5859</v>
      </c>
      <c r="AC1138" t="s">
        <v>9974</v>
      </c>
      <c r="AD1138" s="32">
        <v>43243</v>
      </c>
      <c r="AJ1138" t="s">
        <v>9959</v>
      </c>
      <c r="AL1138" t="s">
        <v>11258</v>
      </c>
    </row>
    <row r="1139" spans="1:38">
      <c r="A1139" t="s">
        <v>8902</v>
      </c>
      <c r="B1139" t="s">
        <v>12421</v>
      </c>
      <c r="C1139" t="s">
        <v>8227</v>
      </c>
      <c r="D1139" t="s">
        <v>8228</v>
      </c>
      <c r="E1139" s="2">
        <v>3120</v>
      </c>
      <c r="F1139" s="2">
        <v>3120</v>
      </c>
      <c r="G1139" s="3">
        <v>43284</v>
      </c>
      <c r="H1139" s="4">
        <v>0.34375</v>
      </c>
      <c r="I1139" s="3">
        <v>43284</v>
      </c>
      <c r="J1139" s="4">
        <v>0.546875</v>
      </c>
      <c r="K1139" s="2">
        <v>0</v>
      </c>
      <c r="L1139" t="s">
        <v>5856</v>
      </c>
      <c r="M1139" t="s">
        <v>8710</v>
      </c>
      <c r="N1139" s="3">
        <v>43286</v>
      </c>
      <c r="O1139" s="3">
        <v>43286</v>
      </c>
      <c r="P1139" t="s">
        <v>5883</v>
      </c>
      <c r="Q1139" t="s">
        <v>8939</v>
      </c>
      <c r="R1139" t="s">
        <v>6036</v>
      </c>
      <c r="S1139" s="3">
        <v>43286</v>
      </c>
      <c r="T1139" t="s">
        <v>9938</v>
      </c>
      <c r="U1139" t="s">
        <v>7483</v>
      </c>
      <c r="V1139" t="s">
        <v>8230</v>
      </c>
      <c r="W1139" t="s">
        <v>5857</v>
      </c>
      <c r="X1139" s="2">
        <v>640</v>
      </c>
      <c r="Y1139" t="s">
        <v>5858</v>
      </c>
      <c r="Z1139" t="s">
        <v>6037</v>
      </c>
      <c r="AA1139" s="2">
        <v>3000</v>
      </c>
      <c r="AB1139" t="s">
        <v>5859</v>
      </c>
      <c r="AC1139" t="s">
        <v>9978</v>
      </c>
      <c r="AD1139" s="32">
        <v>43258</v>
      </c>
      <c r="AJ1139" t="s">
        <v>9958</v>
      </c>
      <c r="AL1139" t="s">
        <v>11250</v>
      </c>
    </row>
    <row r="1140" spans="1:38">
      <c r="A1140" t="s">
        <v>8902</v>
      </c>
      <c r="B1140" t="s">
        <v>12422</v>
      </c>
      <c r="C1140" t="s">
        <v>6734</v>
      </c>
      <c r="D1140" t="s">
        <v>6735</v>
      </c>
      <c r="E1140" s="2">
        <v>7540</v>
      </c>
      <c r="F1140" s="2">
        <v>7540</v>
      </c>
      <c r="G1140" s="3">
        <v>43284</v>
      </c>
      <c r="H1140" s="4">
        <v>0.56770833333333004</v>
      </c>
      <c r="I1140" s="3">
        <v>43285</v>
      </c>
      <c r="J1140" s="4">
        <v>5.8587962962959997E-2</v>
      </c>
      <c r="K1140" s="2">
        <v>20</v>
      </c>
      <c r="L1140" t="s">
        <v>5856</v>
      </c>
      <c r="M1140" t="s">
        <v>8940</v>
      </c>
      <c r="N1140" s="3">
        <v>43284</v>
      </c>
      <c r="O1140" s="3">
        <v>43287</v>
      </c>
      <c r="P1140" t="s">
        <v>5881</v>
      </c>
      <c r="Q1140" t="s">
        <v>8941</v>
      </c>
      <c r="R1140" t="s">
        <v>6036</v>
      </c>
      <c r="S1140" s="3">
        <v>43283</v>
      </c>
      <c r="T1140" t="s">
        <v>9938</v>
      </c>
      <c r="U1140" t="s">
        <v>5893</v>
      </c>
      <c r="V1140" t="s">
        <v>6738</v>
      </c>
      <c r="W1140" t="s">
        <v>6038</v>
      </c>
      <c r="X1140" s="2">
        <v>640</v>
      </c>
      <c r="Y1140" t="s">
        <v>5858</v>
      </c>
      <c r="Z1140" t="s">
        <v>6037</v>
      </c>
      <c r="AA1140" s="2">
        <v>7250</v>
      </c>
      <c r="AB1140" t="s">
        <v>5859</v>
      </c>
      <c r="AC1140" t="s">
        <v>9978</v>
      </c>
      <c r="AD1140" s="32">
        <v>43257</v>
      </c>
      <c r="AJ1140" t="s">
        <v>9958</v>
      </c>
      <c r="AL1140" t="s">
        <v>11251</v>
      </c>
    </row>
    <row r="1141" spans="1:38">
      <c r="A1141" t="s">
        <v>8902</v>
      </c>
      <c r="B1141" t="s">
        <v>12424</v>
      </c>
      <c r="C1141" t="s">
        <v>7107</v>
      </c>
      <c r="D1141" t="s">
        <v>7108</v>
      </c>
      <c r="E1141" s="2">
        <v>1560</v>
      </c>
      <c r="F1141" s="2">
        <v>1560</v>
      </c>
      <c r="G1141" s="3">
        <v>43285</v>
      </c>
      <c r="H1141" s="4">
        <v>0.16796296296296001</v>
      </c>
      <c r="I1141" s="3">
        <v>43285</v>
      </c>
      <c r="J1141" s="4">
        <v>0.26953703703704002</v>
      </c>
      <c r="K1141" s="2">
        <v>20</v>
      </c>
      <c r="L1141" t="s">
        <v>5856</v>
      </c>
      <c r="M1141" t="s">
        <v>8943</v>
      </c>
      <c r="N1141" s="3">
        <v>43286</v>
      </c>
      <c r="O1141" s="3">
        <v>43287</v>
      </c>
      <c r="P1141" t="s">
        <v>5881</v>
      </c>
      <c r="Q1141" t="s">
        <v>8944</v>
      </c>
      <c r="R1141" t="s">
        <v>6036</v>
      </c>
      <c r="S1141" s="3">
        <v>43286</v>
      </c>
      <c r="T1141" t="s">
        <v>9938</v>
      </c>
      <c r="U1141" t="s">
        <v>5893</v>
      </c>
      <c r="V1141" t="s">
        <v>6838</v>
      </c>
      <c r="W1141" t="s">
        <v>5857</v>
      </c>
      <c r="X1141" s="2">
        <v>640</v>
      </c>
      <c r="Y1141" t="s">
        <v>5858</v>
      </c>
      <c r="Z1141" t="s">
        <v>6037</v>
      </c>
      <c r="AA1141" s="2">
        <v>1500</v>
      </c>
      <c r="AB1141" t="s">
        <v>5859</v>
      </c>
      <c r="AC1141" t="s">
        <v>9978</v>
      </c>
      <c r="AD1141" s="32">
        <v>43248</v>
      </c>
      <c r="AI1141" t="s">
        <v>9939</v>
      </c>
      <c r="AJ1141" t="s">
        <v>9958</v>
      </c>
      <c r="AL1141" t="s">
        <v>11253</v>
      </c>
    </row>
    <row r="1142" spans="1:38">
      <c r="A1142" t="s">
        <v>8902</v>
      </c>
      <c r="B1142" t="s">
        <v>12426</v>
      </c>
      <c r="C1142" t="s">
        <v>8949</v>
      </c>
      <c r="D1142" t="s">
        <v>8950</v>
      </c>
      <c r="E1142" s="2">
        <v>325</v>
      </c>
      <c r="F1142" s="2">
        <v>325</v>
      </c>
      <c r="G1142" s="3">
        <v>43285</v>
      </c>
      <c r="H1142" s="4">
        <v>0.41277777777778002</v>
      </c>
      <c r="I1142" s="3">
        <v>43285</v>
      </c>
      <c r="J1142" s="4">
        <v>0.43393518518518998</v>
      </c>
      <c r="K1142" s="2">
        <v>4</v>
      </c>
      <c r="L1142" t="s">
        <v>5856</v>
      </c>
      <c r="M1142" t="s">
        <v>8951</v>
      </c>
      <c r="N1142" s="3">
        <v>43290</v>
      </c>
      <c r="O1142" s="3">
        <v>43287</v>
      </c>
      <c r="P1142" t="s">
        <v>5862</v>
      </c>
      <c r="Q1142" t="s">
        <v>8952</v>
      </c>
      <c r="R1142" t="s">
        <v>6036</v>
      </c>
      <c r="S1142" s="3">
        <v>43290</v>
      </c>
      <c r="T1142" t="s">
        <v>9938</v>
      </c>
      <c r="U1142" t="s">
        <v>8953</v>
      </c>
      <c r="V1142" t="s">
        <v>8954</v>
      </c>
      <c r="W1142" t="s">
        <v>5857</v>
      </c>
      <c r="X1142" s="2">
        <v>640</v>
      </c>
      <c r="Y1142" t="s">
        <v>5858</v>
      </c>
      <c r="Z1142" t="s">
        <v>6037</v>
      </c>
      <c r="AA1142" s="2">
        <v>325</v>
      </c>
      <c r="AB1142" t="s">
        <v>5863</v>
      </c>
      <c r="AC1142" t="s">
        <v>9982</v>
      </c>
      <c r="AD1142" s="32">
        <v>43274</v>
      </c>
      <c r="AJ1142" t="s">
        <v>9958</v>
      </c>
      <c r="AL1142" t="s">
        <v>11255</v>
      </c>
    </row>
    <row r="1143" spans="1:38">
      <c r="A1143" t="s">
        <v>8902</v>
      </c>
      <c r="B1143" t="s">
        <v>11711</v>
      </c>
      <c r="C1143" t="s">
        <v>7063</v>
      </c>
      <c r="D1143" t="s">
        <v>7064</v>
      </c>
      <c r="E1143" s="2">
        <v>1040</v>
      </c>
      <c r="F1143" s="2">
        <v>1040</v>
      </c>
      <c r="G1143" s="3">
        <v>43285</v>
      </c>
      <c r="H1143" s="4">
        <v>0.94435185185185</v>
      </c>
      <c r="I1143" s="3">
        <v>43286</v>
      </c>
      <c r="J1143" s="4">
        <v>1.206018518519E-2</v>
      </c>
      <c r="K1143" s="2">
        <v>0</v>
      </c>
      <c r="L1143" t="s">
        <v>5856</v>
      </c>
      <c r="M1143" t="s">
        <v>6945</v>
      </c>
      <c r="N1143" s="3">
        <v>43298</v>
      </c>
      <c r="O1143" s="3">
        <v>43288</v>
      </c>
      <c r="P1143" t="s">
        <v>5889</v>
      </c>
      <c r="Q1143" t="s">
        <v>7067</v>
      </c>
      <c r="R1143" t="s">
        <v>6036</v>
      </c>
      <c r="S1143" s="3">
        <v>43298</v>
      </c>
      <c r="T1143" t="s">
        <v>9938</v>
      </c>
      <c r="U1143" t="s">
        <v>5987</v>
      </c>
      <c r="V1143" t="s">
        <v>7066</v>
      </c>
      <c r="W1143" t="s">
        <v>5857</v>
      </c>
      <c r="X1143" s="2">
        <v>640</v>
      </c>
      <c r="Y1143" t="s">
        <v>5858</v>
      </c>
      <c r="Z1143" t="s">
        <v>6037</v>
      </c>
      <c r="AA1143" s="2">
        <v>1000</v>
      </c>
      <c r="AB1143" t="s">
        <v>5859</v>
      </c>
      <c r="AC1143" t="s">
        <v>9978</v>
      </c>
      <c r="AD1143" s="32">
        <v>43230</v>
      </c>
      <c r="AJ1143" t="s">
        <v>9958</v>
      </c>
      <c r="AL1143" t="s">
        <v>14149</v>
      </c>
    </row>
    <row r="1144" spans="1:38">
      <c r="A1144" t="s">
        <v>8902</v>
      </c>
      <c r="B1144" t="s">
        <v>12432</v>
      </c>
      <c r="C1144" t="s">
        <v>8964</v>
      </c>
      <c r="D1144" t="s">
        <v>8965</v>
      </c>
      <c r="E1144" s="2">
        <v>5200</v>
      </c>
      <c r="F1144" s="2">
        <v>5200</v>
      </c>
      <c r="G1144" s="3">
        <v>43286</v>
      </c>
      <c r="H1144" s="4">
        <v>3.2893518518520001E-2</v>
      </c>
      <c r="I1144" s="3">
        <v>43286</v>
      </c>
      <c r="J1144" s="4">
        <v>0.37143518518518998</v>
      </c>
      <c r="K1144" s="2">
        <v>20</v>
      </c>
      <c r="L1144" t="s">
        <v>5856</v>
      </c>
      <c r="M1144" t="s">
        <v>8746</v>
      </c>
      <c r="N1144" s="3">
        <v>43319</v>
      </c>
      <c r="O1144" s="3">
        <v>43288</v>
      </c>
      <c r="P1144" t="s">
        <v>6018</v>
      </c>
      <c r="Q1144" t="s">
        <v>8966</v>
      </c>
      <c r="R1144" t="s">
        <v>6036</v>
      </c>
      <c r="S1144" s="3">
        <v>43293</v>
      </c>
      <c r="T1144" t="s">
        <v>9938</v>
      </c>
      <c r="U1144" t="s">
        <v>5963</v>
      </c>
      <c r="V1144" t="s">
        <v>5999</v>
      </c>
      <c r="W1144" t="s">
        <v>5857</v>
      </c>
      <c r="X1144" s="2">
        <v>640</v>
      </c>
      <c r="Y1144" t="s">
        <v>5858</v>
      </c>
      <c r="Z1144" t="s">
        <v>6037</v>
      </c>
      <c r="AA1144" s="2">
        <v>5000</v>
      </c>
      <c r="AB1144" t="s">
        <v>5859</v>
      </c>
      <c r="AC1144" t="s">
        <v>9978</v>
      </c>
      <c r="AD1144" s="32">
        <v>43277</v>
      </c>
      <c r="AJ1144" t="s">
        <v>9958</v>
      </c>
      <c r="AL1144" t="s">
        <v>11260</v>
      </c>
    </row>
    <row r="1145" spans="1:38">
      <c r="A1145" t="s">
        <v>8902</v>
      </c>
      <c r="B1145" t="s">
        <v>13442</v>
      </c>
      <c r="C1145" t="s">
        <v>8967</v>
      </c>
      <c r="D1145" t="s">
        <v>8968</v>
      </c>
      <c r="E1145" s="2">
        <v>3000</v>
      </c>
      <c r="F1145" s="2">
        <v>3000</v>
      </c>
      <c r="G1145" s="3">
        <v>43287</v>
      </c>
      <c r="H1145" s="4">
        <v>4.1666666666670002E-2</v>
      </c>
      <c r="I1145" s="3">
        <v>43287</v>
      </c>
      <c r="J1145" s="4">
        <v>0.23697916666666999</v>
      </c>
      <c r="K1145" s="2">
        <v>0</v>
      </c>
      <c r="L1145" t="s">
        <v>5856</v>
      </c>
      <c r="M1145" t="s">
        <v>8861</v>
      </c>
      <c r="N1145" s="3">
        <v>43289</v>
      </c>
      <c r="O1145" s="3">
        <v>43289</v>
      </c>
      <c r="P1145" t="s">
        <v>5869</v>
      </c>
      <c r="Q1145" t="s">
        <v>6038</v>
      </c>
      <c r="R1145" t="s">
        <v>6040</v>
      </c>
      <c r="S1145" s="3">
        <v>43288</v>
      </c>
      <c r="T1145" t="s">
        <v>9938</v>
      </c>
      <c r="U1145" t="s">
        <v>6488</v>
      </c>
      <c r="V1145" t="s">
        <v>6041</v>
      </c>
      <c r="W1145" t="s">
        <v>5857</v>
      </c>
      <c r="X1145" s="2">
        <v>640</v>
      </c>
      <c r="Y1145" t="s">
        <v>5858</v>
      </c>
      <c r="Z1145" t="s">
        <v>6037</v>
      </c>
      <c r="AA1145" s="2">
        <v>3000</v>
      </c>
      <c r="AB1145" t="s">
        <v>5863</v>
      </c>
      <c r="AC1145" t="s">
        <v>9974</v>
      </c>
      <c r="AD1145" s="32">
        <v>43280</v>
      </c>
      <c r="AJ1145" t="s">
        <v>9959</v>
      </c>
      <c r="AL1145" t="s">
        <v>14150</v>
      </c>
    </row>
    <row r="1146" spans="1:38">
      <c r="A1146" t="s">
        <v>8902</v>
      </c>
      <c r="B1146" t="s">
        <v>12433</v>
      </c>
      <c r="C1146" t="s">
        <v>8969</v>
      </c>
      <c r="D1146" t="s">
        <v>8970</v>
      </c>
      <c r="E1146" s="2">
        <v>2600</v>
      </c>
      <c r="F1146" s="2">
        <v>2600</v>
      </c>
      <c r="G1146" s="3">
        <v>43287</v>
      </c>
      <c r="H1146" s="4">
        <v>0.2578125</v>
      </c>
      <c r="I1146" s="3">
        <v>43287</v>
      </c>
      <c r="J1146" s="4">
        <v>0.42709490740741002</v>
      </c>
      <c r="K1146" s="2">
        <v>20</v>
      </c>
      <c r="L1146" t="s">
        <v>5856</v>
      </c>
      <c r="M1146" t="s">
        <v>8923</v>
      </c>
      <c r="N1146" s="3">
        <v>43290</v>
      </c>
      <c r="O1146" s="3">
        <v>43289</v>
      </c>
      <c r="P1146" t="s">
        <v>5889</v>
      </c>
      <c r="Q1146" t="s">
        <v>8971</v>
      </c>
      <c r="R1146" t="s">
        <v>6036</v>
      </c>
      <c r="S1146" s="3">
        <v>43290</v>
      </c>
      <c r="T1146" t="s">
        <v>9938</v>
      </c>
      <c r="U1146" t="s">
        <v>5893</v>
      </c>
      <c r="V1146" t="s">
        <v>8972</v>
      </c>
      <c r="W1146" t="s">
        <v>5857</v>
      </c>
      <c r="X1146" s="2">
        <v>640</v>
      </c>
      <c r="Y1146" t="s">
        <v>5858</v>
      </c>
      <c r="Z1146" t="s">
        <v>6037</v>
      </c>
      <c r="AA1146" s="2">
        <v>2500</v>
      </c>
      <c r="AB1146" t="s">
        <v>5859</v>
      </c>
      <c r="AC1146" t="s">
        <v>9978</v>
      </c>
      <c r="AD1146" s="32">
        <v>43262</v>
      </c>
      <c r="AJ1146" t="s">
        <v>9958</v>
      </c>
      <c r="AL1146" t="s">
        <v>11261</v>
      </c>
    </row>
    <row r="1147" spans="1:38">
      <c r="A1147" t="s">
        <v>8902</v>
      </c>
      <c r="B1147" t="s">
        <v>12434</v>
      </c>
      <c r="C1147" t="s">
        <v>8973</v>
      </c>
      <c r="D1147" t="s">
        <v>8974</v>
      </c>
      <c r="E1147" s="2">
        <v>3120</v>
      </c>
      <c r="F1147" s="2">
        <v>3120</v>
      </c>
      <c r="G1147" s="3">
        <v>43287</v>
      </c>
      <c r="H1147" s="4">
        <v>0.44792824074074</v>
      </c>
      <c r="I1147" s="3">
        <v>43287</v>
      </c>
      <c r="J1147" s="4">
        <v>0.65105324074074</v>
      </c>
      <c r="K1147" s="2">
        <v>0</v>
      </c>
      <c r="L1147" t="s">
        <v>5856</v>
      </c>
      <c r="M1147" t="s">
        <v>8710</v>
      </c>
      <c r="N1147" s="3">
        <v>43294</v>
      </c>
      <c r="O1147" s="3">
        <v>43294</v>
      </c>
      <c r="P1147" t="s">
        <v>6868</v>
      </c>
      <c r="Q1147" t="s">
        <v>8975</v>
      </c>
      <c r="R1147" t="s">
        <v>6036</v>
      </c>
      <c r="S1147" s="3">
        <v>43294</v>
      </c>
      <c r="T1147" t="s">
        <v>9938</v>
      </c>
      <c r="U1147" t="s">
        <v>8976</v>
      </c>
      <c r="V1147" t="s">
        <v>8977</v>
      </c>
      <c r="W1147" t="s">
        <v>5857</v>
      </c>
      <c r="X1147" s="2">
        <v>640</v>
      </c>
      <c r="Y1147" t="s">
        <v>5858</v>
      </c>
      <c r="Z1147" t="s">
        <v>6037</v>
      </c>
      <c r="AA1147" s="2">
        <v>3000</v>
      </c>
      <c r="AB1147" t="s">
        <v>5863</v>
      </c>
      <c r="AC1147" t="s">
        <v>9976</v>
      </c>
      <c r="AD1147" s="32">
        <v>43245</v>
      </c>
      <c r="AJ1147" t="s">
        <v>9958</v>
      </c>
      <c r="AL1147" t="s">
        <v>11262</v>
      </c>
    </row>
    <row r="1148" spans="1:38">
      <c r="A1148" t="s">
        <v>8902</v>
      </c>
      <c r="B1148" t="s">
        <v>12439</v>
      </c>
      <c r="C1148" t="s">
        <v>8222</v>
      </c>
      <c r="D1148" t="s">
        <v>8223</v>
      </c>
      <c r="E1148" s="2">
        <v>3120</v>
      </c>
      <c r="F1148" s="2">
        <v>3120</v>
      </c>
      <c r="G1148" s="3">
        <v>43289</v>
      </c>
      <c r="H1148" s="4">
        <v>2.0833333333330002E-2</v>
      </c>
      <c r="I1148" s="3">
        <v>43289</v>
      </c>
      <c r="J1148" s="4">
        <v>0.22395833333333001</v>
      </c>
      <c r="K1148" s="2">
        <v>0</v>
      </c>
      <c r="L1148" t="s">
        <v>5856</v>
      </c>
      <c r="M1148" t="s">
        <v>8710</v>
      </c>
      <c r="N1148" s="3">
        <v>43291</v>
      </c>
      <c r="O1148" s="3">
        <v>43291</v>
      </c>
      <c r="P1148" t="s">
        <v>5889</v>
      </c>
      <c r="Q1148" t="s">
        <v>8985</v>
      </c>
      <c r="R1148" t="s">
        <v>6036</v>
      </c>
      <c r="S1148" s="3">
        <v>43291</v>
      </c>
      <c r="T1148" t="s">
        <v>9938</v>
      </c>
      <c r="U1148" t="s">
        <v>5893</v>
      </c>
      <c r="V1148" t="s">
        <v>8226</v>
      </c>
      <c r="W1148" t="s">
        <v>5857</v>
      </c>
      <c r="X1148" s="2">
        <v>640</v>
      </c>
      <c r="Y1148" t="s">
        <v>5858</v>
      </c>
      <c r="Z1148" t="s">
        <v>6037</v>
      </c>
      <c r="AA1148" s="2">
        <v>3000</v>
      </c>
      <c r="AB1148" t="s">
        <v>5859</v>
      </c>
      <c r="AC1148" t="s">
        <v>9978</v>
      </c>
      <c r="AD1148" s="32">
        <v>43259</v>
      </c>
      <c r="AJ1148" t="s">
        <v>9958</v>
      </c>
      <c r="AL1148" t="s">
        <v>14151</v>
      </c>
    </row>
    <row r="1149" spans="1:38">
      <c r="A1149" t="s">
        <v>8902</v>
      </c>
      <c r="B1149" t="s">
        <v>12438</v>
      </c>
      <c r="C1149" t="s">
        <v>8981</v>
      </c>
      <c r="D1149" t="s">
        <v>8982</v>
      </c>
      <c r="E1149" s="2">
        <v>2080</v>
      </c>
      <c r="F1149" s="2">
        <v>2080</v>
      </c>
      <c r="G1149" s="3">
        <v>43289</v>
      </c>
      <c r="H1149" s="4">
        <v>0.30391203703704001</v>
      </c>
      <c r="I1149" s="3">
        <v>43289</v>
      </c>
      <c r="J1149" s="4">
        <v>0.43932870370369997</v>
      </c>
      <c r="K1149" s="2">
        <v>20</v>
      </c>
      <c r="L1149" t="s">
        <v>5856</v>
      </c>
      <c r="M1149" t="s">
        <v>8700</v>
      </c>
      <c r="N1149" s="3">
        <v>43291</v>
      </c>
      <c r="O1149" s="3">
        <v>43291</v>
      </c>
      <c r="P1149" t="s">
        <v>5869</v>
      </c>
      <c r="Q1149" t="s">
        <v>8983</v>
      </c>
      <c r="R1149" t="s">
        <v>6036</v>
      </c>
      <c r="S1149" s="3">
        <v>43291</v>
      </c>
      <c r="T1149" t="s">
        <v>9938</v>
      </c>
      <c r="U1149" t="s">
        <v>6705</v>
      </c>
      <c r="V1149" t="s">
        <v>8984</v>
      </c>
      <c r="W1149" t="s">
        <v>5857</v>
      </c>
      <c r="X1149" s="2">
        <v>640</v>
      </c>
      <c r="Y1149" t="s">
        <v>5858</v>
      </c>
      <c r="Z1149" t="s">
        <v>6037</v>
      </c>
      <c r="AA1149" s="2">
        <v>2000</v>
      </c>
      <c r="AB1149" t="s">
        <v>5863</v>
      </c>
      <c r="AC1149" t="s">
        <v>9976</v>
      </c>
      <c r="AD1149" s="32">
        <v>43245</v>
      </c>
      <c r="AI1149" t="s">
        <v>9946</v>
      </c>
      <c r="AJ1149" t="s">
        <v>9958</v>
      </c>
      <c r="AL1149" t="s">
        <v>11263</v>
      </c>
    </row>
    <row r="1150" spans="1:38">
      <c r="A1150" t="s">
        <v>8902</v>
      </c>
      <c r="B1150" t="s">
        <v>12449</v>
      </c>
      <c r="C1150" t="s">
        <v>9008</v>
      </c>
      <c r="D1150" t="s">
        <v>9009</v>
      </c>
      <c r="E1150" s="2">
        <v>1000</v>
      </c>
      <c r="F1150" s="2">
        <v>1000</v>
      </c>
      <c r="G1150" s="3">
        <v>43289</v>
      </c>
      <c r="H1150" s="4">
        <v>0.41483796296295999</v>
      </c>
      <c r="I1150" s="3">
        <v>43289</v>
      </c>
      <c r="J1150" s="4">
        <v>0.47994212962963001</v>
      </c>
      <c r="K1150" s="2">
        <v>20</v>
      </c>
      <c r="L1150" t="s">
        <v>5856</v>
      </c>
      <c r="M1150" t="s">
        <v>8784</v>
      </c>
      <c r="N1150" s="3">
        <v>43297</v>
      </c>
      <c r="O1150" s="3">
        <v>43291</v>
      </c>
      <c r="P1150" t="s">
        <v>6026</v>
      </c>
      <c r="Q1150" t="s">
        <v>9010</v>
      </c>
      <c r="R1150" t="s">
        <v>6036</v>
      </c>
      <c r="S1150" s="3">
        <v>43297</v>
      </c>
      <c r="T1150" t="s">
        <v>9938</v>
      </c>
      <c r="U1150" t="s">
        <v>6582</v>
      </c>
      <c r="V1150" t="s">
        <v>9011</v>
      </c>
      <c r="W1150" t="s">
        <v>5857</v>
      </c>
      <c r="X1150" s="2">
        <v>640</v>
      </c>
      <c r="Y1150" t="s">
        <v>5858</v>
      </c>
      <c r="Z1150" t="s">
        <v>6037</v>
      </c>
      <c r="AA1150" s="2">
        <v>1000</v>
      </c>
      <c r="AB1150" t="s">
        <v>5863</v>
      </c>
      <c r="AC1150" t="s">
        <v>9976</v>
      </c>
      <c r="AD1150" s="32">
        <v>43255</v>
      </c>
      <c r="AJ1150" t="s">
        <v>9958</v>
      </c>
      <c r="AL1150" t="s">
        <v>11269</v>
      </c>
    </row>
    <row r="1151" spans="1:38">
      <c r="A1151" t="s">
        <v>8902</v>
      </c>
      <c r="B1151" t="s">
        <v>12138</v>
      </c>
      <c r="C1151" t="s">
        <v>8342</v>
      </c>
      <c r="D1151" t="s">
        <v>8343</v>
      </c>
      <c r="E1151" s="2">
        <v>5200</v>
      </c>
      <c r="F1151" s="2">
        <v>5200</v>
      </c>
      <c r="G1151" s="3">
        <v>43290</v>
      </c>
      <c r="H1151" s="4">
        <v>2.0833333333330002E-2</v>
      </c>
      <c r="I1151" s="3">
        <v>43290</v>
      </c>
      <c r="J1151" s="4">
        <v>0.359375</v>
      </c>
      <c r="K1151" s="2">
        <v>20</v>
      </c>
      <c r="L1151" t="s">
        <v>5856</v>
      </c>
      <c r="M1151" t="s">
        <v>8746</v>
      </c>
      <c r="N1151" s="3">
        <v>43292</v>
      </c>
      <c r="O1151" s="3">
        <v>43292</v>
      </c>
      <c r="P1151" t="s">
        <v>5862</v>
      </c>
      <c r="Q1151" t="s">
        <v>8344</v>
      </c>
      <c r="R1151" t="s">
        <v>6042</v>
      </c>
      <c r="S1151" s="3">
        <v>43292</v>
      </c>
      <c r="T1151" t="s">
        <v>9938</v>
      </c>
      <c r="U1151" t="s">
        <v>6582</v>
      </c>
      <c r="V1151" t="s">
        <v>8345</v>
      </c>
      <c r="W1151" t="s">
        <v>5857</v>
      </c>
      <c r="X1151" s="2">
        <v>640</v>
      </c>
      <c r="Y1151" t="s">
        <v>5858</v>
      </c>
      <c r="Z1151" t="s">
        <v>6037</v>
      </c>
      <c r="AA1151" s="2">
        <v>5000</v>
      </c>
      <c r="AB1151" t="s">
        <v>5859</v>
      </c>
      <c r="AC1151" t="s">
        <v>9976</v>
      </c>
      <c r="AD1151" s="32">
        <v>43278</v>
      </c>
      <c r="AJ1151" t="s">
        <v>9958</v>
      </c>
      <c r="AL1151" t="s">
        <v>14152</v>
      </c>
    </row>
    <row r="1152" spans="1:38">
      <c r="A1152" t="s">
        <v>8902</v>
      </c>
      <c r="B1152" t="s">
        <v>12441</v>
      </c>
      <c r="C1152" t="s">
        <v>8987</v>
      </c>
      <c r="D1152" t="s">
        <v>8988</v>
      </c>
      <c r="E1152" s="2">
        <v>3094</v>
      </c>
      <c r="F1152" s="2">
        <v>3094</v>
      </c>
      <c r="G1152" s="3">
        <v>43290</v>
      </c>
      <c r="H1152" s="4">
        <v>0.38020833333332998</v>
      </c>
      <c r="I1152" s="3">
        <v>43290</v>
      </c>
      <c r="J1152" s="4">
        <v>0.58163194444444</v>
      </c>
      <c r="K1152" s="2">
        <v>0</v>
      </c>
      <c r="L1152" t="s">
        <v>5856</v>
      </c>
      <c r="M1152" t="s">
        <v>13443</v>
      </c>
      <c r="N1152" s="3">
        <v>43294</v>
      </c>
      <c r="O1152" s="3">
        <v>43292</v>
      </c>
      <c r="P1152" t="s">
        <v>6018</v>
      </c>
      <c r="Q1152" t="s">
        <v>8989</v>
      </c>
      <c r="R1152" t="s">
        <v>6036</v>
      </c>
      <c r="S1152" s="3">
        <v>43294</v>
      </c>
      <c r="T1152" t="s">
        <v>9938</v>
      </c>
      <c r="U1152" t="s">
        <v>5963</v>
      </c>
      <c r="V1152" t="s">
        <v>8990</v>
      </c>
      <c r="W1152" t="s">
        <v>5857</v>
      </c>
      <c r="X1152" s="2">
        <v>640</v>
      </c>
      <c r="Y1152" t="s">
        <v>5858</v>
      </c>
      <c r="Z1152" t="s">
        <v>6037</v>
      </c>
      <c r="AA1152" s="2">
        <v>2975</v>
      </c>
      <c r="AB1152" t="s">
        <v>5859</v>
      </c>
      <c r="AC1152" t="s">
        <v>9978</v>
      </c>
      <c r="AD1152" s="32">
        <v>43236</v>
      </c>
      <c r="AJ1152" t="s">
        <v>9958</v>
      </c>
      <c r="AL1152" t="s">
        <v>14153</v>
      </c>
    </row>
    <row r="1153" spans="1:38">
      <c r="A1153" t="s">
        <v>8902</v>
      </c>
      <c r="B1153" t="s">
        <v>12437</v>
      </c>
      <c r="C1153" t="s">
        <v>6104</v>
      </c>
      <c r="D1153" t="s">
        <v>6029</v>
      </c>
      <c r="E1153" s="2">
        <v>395</v>
      </c>
      <c r="F1153" s="2">
        <v>3120</v>
      </c>
      <c r="G1153" s="3">
        <v>43290</v>
      </c>
      <c r="H1153" s="4">
        <v>0.60246527777778003</v>
      </c>
      <c r="I1153" s="3">
        <v>43290</v>
      </c>
      <c r="J1153" s="4">
        <v>0.80559027777778003</v>
      </c>
      <c r="K1153" s="2">
        <v>0</v>
      </c>
      <c r="L1153" t="s">
        <v>5856</v>
      </c>
      <c r="M1153" t="s">
        <v>8710</v>
      </c>
      <c r="N1153" s="3">
        <v>43291</v>
      </c>
      <c r="O1153" s="3">
        <v>43292</v>
      </c>
      <c r="P1153" t="s">
        <v>5889</v>
      </c>
      <c r="Q1153" t="s">
        <v>8980</v>
      </c>
      <c r="R1153" t="s">
        <v>6036</v>
      </c>
      <c r="S1153" s="3">
        <v>43291</v>
      </c>
      <c r="T1153" t="s">
        <v>9938</v>
      </c>
      <c r="U1153" t="s">
        <v>5987</v>
      </c>
      <c r="V1153" t="s">
        <v>6041</v>
      </c>
      <c r="W1153" t="s">
        <v>5857</v>
      </c>
      <c r="X1153" s="2">
        <v>640</v>
      </c>
      <c r="Y1153" t="s">
        <v>5858</v>
      </c>
      <c r="Z1153" t="s">
        <v>6037</v>
      </c>
      <c r="AA1153" s="2">
        <v>275</v>
      </c>
      <c r="AB1153" t="s">
        <v>5859</v>
      </c>
      <c r="AC1153" t="s">
        <v>9978</v>
      </c>
      <c r="AD1153" s="32">
        <v>43265</v>
      </c>
      <c r="AJ1153" t="s">
        <v>9958</v>
      </c>
      <c r="AL1153" t="s">
        <v>14154</v>
      </c>
    </row>
    <row r="1154" spans="1:38">
      <c r="A1154" t="s">
        <v>8902</v>
      </c>
      <c r="B1154" t="s">
        <v>12442</v>
      </c>
      <c r="C1154" t="s">
        <v>6957</v>
      </c>
      <c r="D1154" t="s">
        <v>6958</v>
      </c>
      <c r="E1154" s="2">
        <v>1040</v>
      </c>
      <c r="F1154" s="2">
        <v>1040</v>
      </c>
      <c r="G1154" s="3">
        <v>43295</v>
      </c>
      <c r="H1154" s="4">
        <v>0.38019675925926</v>
      </c>
      <c r="I1154" s="3">
        <v>43295</v>
      </c>
      <c r="J1154" s="4">
        <v>0.44790509259258998</v>
      </c>
      <c r="K1154" s="2">
        <v>0</v>
      </c>
      <c r="L1154" t="s">
        <v>5856</v>
      </c>
      <c r="M1154" t="s">
        <v>6945</v>
      </c>
      <c r="N1154" s="3">
        <v>43298</v>
      </c>
      <c r="O1154" s="3">
        <v>43297</v>
      </c>
      <c r="P1154" t="s">
        <v>6026</v>
      </c>
      <c r="Q1154" t="s">
        <v>8991</v>
      </c>
      <c r="R1154" t="s">
        <v>6036</v>
      </c>
      <c r="S1154" s="3">
        <v>43298</v>
      </c>
      <c r="T1154" t="s">
        <v>9938</v>
      </c>
      <c r="U1154" t="s">
        <v>5917</v>
      </c>
      <c r="V1154" t="s">
        <v>6959</v>
      </c>
      <c r="W1154" t="s">
        <v>5857</v>
      </c>
      <c r="X1154" s="2">
        <v>640</v>
      </c>
      <c r="Y1154" t="s">
        <v>5858</v>
      </c>
      <c r="Z1154" t="s">
        <v>6037</v>
      </c>
      <c r="AA1154" s="2">
        <v>1000</v>
      </c>
      <c r="AB1154" t="s">
        <v>5863</v>
      </c>
      <c r="AC1154" t="s">
        <v>9976</v>
      </c>
      <c r="AD1154" s="32">
        <v>43277</v>
      </c>
      <c r="AJ1154" t="s">
        <v>9958</v>
      </c>
      <c r="AL1154" t="s">
        <v>11264</v>
      </c>
    </row>
    <row r="1155" spans="1:38">
      <c r="A1155" t="s">
        <v>8902</v>
      </c>
      <c r="B1155" t="s">
        <v>12451</v>
      </c>
      <c r="C1155" t="s">
        <v>7162</v>
      </c>
      <c r="D1155" t="s">
        <v>7163</v>
      </c>
      <c r="E1155" s="2">
        <v>3120</v>
      </c>
      <c r="F1155" s="2">
        <v>3120</v>
      </c>
      <c r="G1155" s="3">
        <v>43295</v>
      </c>
      <c r="H1155" s="4">
        <v>0.55728009259259004</v>
      </c>
      <c r="I1155" s="3">
        <v>43295</v>
      </c>
      <c r="J1155" s="4">
        <v>0.76040509259259004</v>
      </c>
      <c r="K1155" s="2">
        <v>0</v>
      </c>
      <c r="L1155" t="s">
        <v>5856</v>
      </c>
      <c r="M1155" t="s">
        <v>8710</v>
      </c>
      <c r="N1155" s="3">
        <v>43292</v>
      </c>
      <c r="O1155" s="3">
        <v>43297</v>
      </c>
      <c r="P1155" t="s">
        <v>5889</v>
      </c>
      <c r="Q1155" t="s">
        <v>9014</v>
      </c>
      <c r="R1155" t="s">
        <v>6036</v>
      </c>
      <c r="S1155" s="3">
        <v>43292</v>
      </c>
      <c r="T1155" t="s">
        <v>9938</v>
      </c>
      <c r="U1155" t="s">
        <v>6568</v>
      </c>
      <c r="V1155" t="s">
        <v>6002</v>
      </c>
      <c r="W1155" t="s">
        <v>5857</v>
      </c>
      <c r="X1155" s="2">
        <v>640</v>
      </c>
      <c r="Y1155" t="s">
        <v>5858</v>
      </c>
      <c r="Z1155" t="s">
        <v>6037</v>
      </c>
      <c r="AA1155" s="2">
        <v>3000</v>
      </c>
      <c r="AB1155" t="s">
        <v>5859</v>
      </c>
      <c r="AC1155" t="s">
        <v>9978</v>
      </c>
      <c r="AD1155" s="32">
        <v>43264</v>
      </c>
      <c r="AJ1155" t="s">
        <v>9958</v>
      </c>
      <c r="AL1155" t="s">
        <v>11271</v>
      </c>
    </row>
    <row r="1156" spans="1:38">
      <c r="A1156" t="s">
        <v>8902</v>
      </c>
      <c r="B1156" t="s">
        <v>11710</v>
      </c>
      <c r="C1156" t="s">
        <v>7063</v>
      </c>
      <c r="D1156" t="s">
        <v>7064</v>
      </c>
      <c r="E1156" s="2">
        <v>1040</v>
      </c>
      <c r="F1156" s="2">
        <v>1040</v>
      </c>
      <c r="G1156" s="3">
        <v>43295</v>
      </c>
      <c r="H1156" s="4">
        <v>0.86978009259259004</v>
      </c>
      <c r="I1156" s="3">
        <v>43295</v>
      </c>
      <c r="J1156" s="4">
        <v>0.93748842592592996</v>
      </c>
      <c r="K1156" s="2">
        <v>0</v>
      </c>
      <c r="L1156" t="s">
        <v>5856</v>
      </c>
      <c r="M1156" t="s">
        <v>6945</v>
      </c>
      <c r="N1156" s="3">
        <v>43294</v>
      </c>
      <c r="O1156" s="3">
        <v>43297</v>
      </c>
      <c r="P1156" t="s">
        <v>5889</v>
      </c>
      <c r="Q1156" t="s">
        <v>7065</v>
      </c>
      <c r="R1156" t="s">
        <v>6036</v>
      </c>
      <c r="S1156" s="3">
        <v>43294</v>
      </c>
      <c r="T1156" t="s">
        <v>9938</v>
      </c>
      <c r="U1156" t="s">
        <v>5987</v>
      </c>
      <c r="V1156" t="s">
        <v>7066</v>
      </c>
      <c r="W1156" t="s">
        <v>5857</v>
      </c>
      <c r="X1156" s="2">
        <v>640</v>
      </c>
      <c r="Y1156" t="s">
        <v>5858</v>
      </c>
      <c r="Z1156" t="s">
        <v>6037</v>
      </c>
      <c r="AA1156" s="2">
        <v>1000</v>
      </c>
      <c r="AB1156" t="s">
        <v>5859</v>
      </c>
      <c r="AC1156" t="s">
        <v>9978</v>
      </c>
      <c r="AD1156" s="32">
        <v>43230</v>
      </c>
      <c r="AJ1156" t="s">
        <v>9958</v>
      </c>
      <c r="AL1156" t="s">
        <v>14155</v>
      </c>
    </row>
    <row r="1157" spans="1:38">
      <c r="A1157" t="s">
        <v>8902</v>
      </c>
      <c r="B1157" t="s">
        <v>12444</v>
      </c>
      <c r="C1157" t="s">
        <v>8993</v>
      </c>
      <c r="D1157" t="s">
        <v>8994</v>
      </c>
      <c r="E1157" s="2">
        <v>2000</v>
      </c>
      <c r="F1157" s="2">
        <v>2000</v>
      </c>
      <c r="G1157" s="3">
        <v>43295</v>
      </c>
      <c r="H1157" s="4">
        <v>0.95832175925926</v>
      </c>
      <c r="I1157" s="3">
        <v>43296</v>
      </c>
      <c r="J1157" s="4">
        <v>8.8530092592589996E-2</v>
      </c>
      <c r="K1157" s="2">
        <v>0</v>
      </c>
      <c r="L1157" t="s">
        <v>5856</v>
      </c>
      <c r="M1157" t="s">
        <v>8853</v>
      </c>
      <c r="N1157" s="3">
        <v>43293</v>
      </c>
      <c r="O1157" s="3">
        <v>43298</v>
      </c>
      <c r="P1157" t="s">
        <v>5971</v>
      </c>
      <c r="Q1157" t="s">
        <v>8995</v>
      </c>
      <c r="R1157" t="s">
        <v>6036</v>
      </c>
      <c r="S1157" s="3">
        <v>43293</v>
      </c>
      <c r="T1157" t="s">
        <v>9938</v>
      </c>
      <c r="U1157" t="s">
        <v>6054</v>
      </c>
      <c r="V1157" t="s">
        <v>8996</v>
      </c>
      <c r="W1157" t="s">
        <v>5857</v>
      </c>
      <c r="X1157" s="2">
        <v>640</v>
      </c>
      <c r="Y1157" t="s">
        <v>5858</v>
      </c>
      <c r="Z1157" t="s">
        <v>6037</v>
      </c>
      <c r="AA1157" s="2">
        <v>2000</v>
      </c>
      <c r="AB1157" t="s">
        <v>5863</v>
      </c>
      <c r="AC1157" t="s">
        <v>9974</v>
      </c>
      <c r="AD1157" s="32">
        <v>43249</v>
      </c>
      <c r="AI1157" t="s">
        <v>9939</v>
      </c>
      <c r="AJ1157" t="s">
        <v>9958</v>
      </c>
      <c r="AL1157" t="s">
        <v>11265</v>
      </c>
    </row>
    <row r="1158" spans="1:38">
      <c r="A1158" t="s">
        <v>8902</v>
      </c>
      <c r="B1158" t="s">
        <v>11594</v>
      </c>
      <c r="C1158" t="s">
        <v>6657</v>
      </c>
      <c r="D1158" t="s">
        <v>6658</v>
      </c>
      <c r="E1158" s="2">
        <v>5200</v>
      </c>
      <c r="F1158" s="2">
        <v>5200</v>
      </c>
      <c r="G1158" s="3">
        <v>43296</v>
      </c>
      <c r="H1158" s="4">
        <v>9.3113425925929999E-2</v>
      </c>
      <c r="I1158" s="3">
        <v>43296</v>
      </c>
      <c r="J1158" s="4">
        <v>0.43165509259259</v>
      </c>
      <c r="K1158" s="2">
        <v>20</v>
      </c>
      <c r="L1158" t="s">
        <v>5856</v>
      </c>
      <c r="M1158" t="s">
        <v>8746</v>
      </c>
      <c r="N1158" s="3">
        <v>43319</v>
      </c>
      <c r="O1158" s="3">
        <v>43298</v>
      </c>
      <c r="P1158" t="s">
        <v>5990</v>
      </c>
      <c r="Q1158" t="s">
        <v>6661</v>
      </c>
      <c r="R1158" t="s">
        <v>6036</v>
      </c>
      <c r="S1158" s="3">
        <v>43319</v>
      </c>
      <c r="T1158" t="s">
        <v>9938</v>
      </c>
      <c r="U1158" t="s">
        <v>5963</v>
      </c>
      <c r="V1158" t="s">
        <v>6660</v>
      </c>
      <c r="W1158" t="s">
        <v>5857</v>
      </c>
      <c r="X1158" s="2">
        <v>640</v>
      </c>
      <c r="Y1158" t="s">
        <v>5858</v>
      </c>
      <c r="Z1158" t="s">
        <v>6037</v>
      </c>
      <c r="AA1158" s="2">
        <v>5000</v>
      </c>
      <c r="AB1158" t="s">
        <v>5863</v>
      </c>
      <c r="AC1158" t="s">
        <v>9978</v>
      </c>
      <c r="AD1158" s="32">
        <v>43277</v>
      </c>
      <c r="AJ1158" t="s">
        <v>9958</v>
      </c>
      <c r="AL1158" t="s">
        <v>14156</v>
      </c>
    </row>
    <row r="1159" spans="1:38">
      <c r="A1159" t="s">
        <v>8902</v>
      </c>
      <c r="B1159" t="s">
        <v>13444</v>
      </c>
      <c r="C1159" t="s">
        <v>6719</v>
      </c>
      <c r="D1159" t="s">
        <v>6720</v>
      </c>
      <c r="E1159" s="2">
        <v>312</v>
      </c>
      <c r="F1159" s="2">
        <v>312</v>
      </c>
      <c r="G1159" s="3">
        <v>43296</v>
      </c>
      <c r="H1159" s="4">
        <v>0.10936342592593</v>
      </c>
      <c r="I1159" s="3">
        <v>43296</v>
      </c>
      <c r="J1159" s="4">
        <v>0.12967592592593</v>
      </c>
      <c r="K1159" s="2">
        <v>4</v>
      </c>
      <c r="L1159" t="s">
        <v>5856</v>
      </c>
      <c r="M1159" t="s">
        <v>8790</v>
      </c>
      <c r="N1159" s="3">
        <v>43290</v>
      </c>
      <c r="O1159" s="3">
        <v>43298</v>
      </c>
      <c r="P1159" t="s">
        <v>5990</v>
      </c>
      <c r="Q1159" t="s">
        <v>13445</v>
      </c>
      <c r="R1159" t="s">
        <v>6036</v>
      </c>
      <c r="S1159" s="3">
        <v>43290</v>
      </c>
      <c r="T1159" t="s">
        <v>9938</v>
      </c>
      <c r="U1159" t="s">
        <v>5963</v>
      </c>
      <c r="V1159" t="s">
        <v>6721</v>
      </c>
      <c r="W1159" t="s">
        <v>5857</v>
      </c>
      <c r="X1159" s="2">
        <v>640</v>
      </c>
      <c r="Y1159" t="s">
        <v>5858</v>
      </c>
      <c r="Z1159" t="s">
        <v>6037</v>
      </c>
      <c r="AA1159" s="2">
        <v>300</v>
      </c>
      <c r="AB1159" t="s">
        <v>5863</v>
      </c>
      <c r="AC1159" t="s">
        <v>9978</v>
      </c>
      <c r="AD1159" s="32">
        <v>43279</v>
      </c>
      <c r="AJ1159" t="s">
        <v>9958</v>
      </c>
      <c r="AL1159" t="s">
        <v>14157</v>
      </c>
    </row>
    <row r="1160" spans="1:38">
      <c r="A1160" t="s">
        <v>8902</v>
      </c>
      <c r="B1160" t="s">
        <v>13446</v>
      </c>
      <c r="C1160" t="s">
        <v>8973</v>
      </c>
      <c r="D1160" t="s">
        <v>8974</v>
      </c>
      <c r="E1160" s="2">
        <v>2080</v>
      </c>
      <c r="F1160" s="2">
        <v>2080</v>
      </c>
      <c r="G1160" s="3">
        <v>43296</v>
      </c>
      <c r="H1160" s="4">
        <v>0.15050925925926001</v>
      </c>
      <c r="I1160" s="3">
        <v>43296</v>
      </c>
      <c r="J1160" s="4">
        <v>0.28592592592593002</v>
      </c>
      <c r="K1160" s="2">
        <v>0</v>
      </c>
      <c r="L1160" t="s">
        <v>5856</v>
      </c>
      <c r="M1160" t="s">
        <v>8700</v>
      </c>
      <c r="N1160" s="3">
        <v>43307</v>
      </c>
      <c r="O1160" s="3">
        <v>43303</v>
      </c>
      <c r="P1160" t="s">
        <v>6868</v>
      </c>
      <c r="Q1160" t="s">
        <v>13447</v>
      </c>
      <c r="R1160" t="s">
        <v>6036</v>
      </c>
      <c r="S1160" s="3">
        <v>43307</v>
      </c>
      <c r="T1160" t="s">
        <v>9938</v>
      </c>
      <c r="U1160" t="s">
        <v>8976</v>
      </c>
      <c r="V1160" t="s">
        <v>8977</v>
      </c>
      <c r="W1160" t="s">
        <v>5857</v>
      </c>
      <c r="X1160" s="2">
        <v>640</v>
      </c>
      <c r="Y1160" t="s">
        <v>5858</v>
      </c>
      <c r="Z1160" t="s">
        <v>6037</v>
      </c>
      <c r="AA1160" s="2">
        <v>2000</v>
      </c>
      <c r="AB1160" t="s">
        <v>5863</v>
      </c>
      <c r="AC1160" t="s">
        <v>9976</v>
      </c>
      <c r="AD1160" s="32">
        <v>43279</v>
      </c>
      <c r="AJ1160" t="s">
        <v>9958</v>
      </c>
      <c r="AL1160" t="s">
        <v>14158</v>
      </c>
    </row>
    <row r="1161" spans="1:38">
      <c r="A1161" t="s">
        <v>8902</v>
      </c>
      <c r="B1161" t="s">
        <v>12445</v>
      </c>
      <c r="C1161" t="s">
        <v>8997</v>
      </c>
      <c r="D1161" t="s">
        <v>8998</v>
      </c>
      <c r="E1161" s="2">
        <v>1700</v>
      </c>
      <c r="F1161" s="2">
        <v>1700</v>
      </c>
      <c r="G1161" s="3">
        <v>43296</v>
      </c>
      <c r="H1161" s="4">
        <v>0.30675925925926001</v>
      </c>
      <c r="I1161" s="3">
        <v>43296</v>
      </c>
      <c r="J1161" s="4">
        <v>0.41744212962963001</v>
      </c>
      <c r="K1161" s="2">
        <v>20</v>
      </c>
      <c r="L1161" t="s">
        <v>5856</v>
      </c>
      <c r="M1161" t="s">
        <v>8999</v>
      </c>
      <c r="N1161" s="3">
        <v>43293</v>
      </c>
      <c r="O1161" s="3">
        <v>43298</v>
      </c>
      <c r="P1161" t="s">
        <v>6026</v>
      </c>
      <c r="Q1161" t="s">
        <v>9000</v>
      </c>
      <c r="R1161" t="s">
        <v>6036</v>
      </c>
      <c r="S1161" s="3">
        <v>43293</v>
      </c>
      <c r="T1161" t="s">
        <v>9938</v>
      </c>
      <c r="U1161" t="s">
        <v>6582</v>
      </c>
      <c r="V1161" t="s">
        <v>9001</v>
      </c>
      <c r="W1161" t="s">
        <v>5857</v>
      </c>
      <c r="X1161" s="2">
        <v>640</v>
      </c>
      <c r="Y1161" t="s">
        <v>5858</v>
      </c>
      <c r="Z1161" t="s">
        <v>6037</v>
      </c>
      <c r="AA1161" s="2">
        <v>1700</v>
      </c>
      <c r="AB1161" t="s">
        <v>5863</v>
      </c>
      <c r="AC1161" t="s">
        <v>9976</v>
      </c>
      <c r="AD1161" s="32">
        <v>43272</v>
      </c>
      <c r="AJ1161" t="s">
        <v>9958</v>
      </c>
      <c r="AL1161" t="s">
        <v>11266</v>
      </c>
    </row>
    <row r="1162" spans="1:38">
      <c r="A1162" t="s">
        <v>8902</v>
      </c>
      <c r="B1162" t="s">
        <v>12446</v>
      </c>
      <c r="C1162" t="s">
        <v>6096</v>
      </c>
      <c r="D1162" t="s">
        <v>6012</v>
      </c>
      <c r="E1162" s="2">
        <v>5200</v>
      </c>
      <c r="F1162" s="2">
        <v>5200</v>
      </c>
      <c r="G1162" s="3">
        <v>43296</v>
      </c>
      <c r="H1162" s="4">
        <v>0.43827546296295999</v>
      </c>
      <c r="I1162" s="3">
        <v>43296</v>
      </c>
      <c r="J1162" s="4">
        <v>0.77681712962963001</v>
      </c>
      <c r="K1162" s="2">
        <v>20</v>
      </c>
      <c r="L1162" t="s">
        <v>5856</v>
      </c>
      <c r="M1162" t="s">
        <v>8746</v>
      </c>
      <c r="N1162" s="3">
        <v>43294</v>
      </c>
      <c r="O1162" s="3">
        <v>43298</v>
      </c>
      <c r="P1162" t="s">
        <v>5869</v>
      </c>
      <c r="Q1162" t="s">
        <v>9002</v>
      </c>
      <c r="R1162" t="s">
        <v>6036</v>
      </c>
      <c r="S1162" s="3">
        <v>43294</v>
      </c>
      <c r="T1162" t="s">
        <v>9938</v>
      </c>
      <c r="U1162" t="s">
        <v>6013</v>
      </c>
      <c r="V1162" t="s">
        <v>6014</v>
      </c>
      <c r="W1162" t="s">
        <v>5857</v>
      </c>
      <c r="X1162" s="2">
        <v>640</v>
      </c>
      <c r="Y1162" t="s">
        <v>5858</v>
      </c>
      <c r="Z1162" t="s">
        <v>6037</v>
      </c>
      <c r="AA1162" s="2">
        <v>5000</v>
      </c>
      <c r="AB1162" t="s">
        <v>5863</v>
      </c>
      <c r="AC1162" t="s">
        <v>9974</v>
      </c>
      <c r="AD1162" s="32">
        <v>43256</v>
      </c>
      <c r="AJ1162" t="s">
        <v>9958</v>
      </c>
      <c r="AL1162" t="s">
        <v>11267</v>
      </c>
    </row>
    <row r="1163" spans="1:38">
      <c r="A1163" t="s">
        <v>8902</v>
      </c>
      <c r="B1163" t="s">
        <v>13448</v>
      </c>
      <c r="C1163" t="s">
        <v>8973</v>
      </c>
      <c r="D1163" t="s">
        <v>8974</v>
      </c>
      <c r="E1163" s="2">
        <v>4186</v>
      </c>
      <c r="F1163" s="2">
        <v>4186</v>
      </c>
      <c r="G1163" s="3">
        <v>43298</v>
      </c>
      <c r="H1163" s="4">
        <v>0.49908564814814999</v>
      </c>
      <c r="I1163" s="3">
        <v>43298</v>
      </c>
      <c r="J1163" s="4">
        <v>0.77160879629629997</v>
      </c>
      <c r="K1163" s="2">
        <v>0</v>
      </c>
      <c r="L1163" t="s">
        <v>5856</v>
      </c>
      <c r="M1163" t="s">
        <v>13449</v>
      </c>
      <c r="N1163" s="3">
        <v>43308</v>
      </c>
      <c r="O1163" s="3">
        <v>43305</v>
      </c>
      <c r="P1163" t="s">
        <v>6868</v>
      </c>
      <c r="Q1163" t="s">
        <v>13450</v>
      </c>
      <c r="R1163" t="s">
        <v>6036</v>
      </c>
      <c r="S1163" s="3">
        <v>43308</v>
      </c>
      <c r="T1163" t="s">
        <v>9938</v>
      </c>
      <c r="U1163" t="s">
        <v>8976</v>
      </c>
      <c r="V1163" t="s">
        <v>8977</v>
      </c>
      <c r="W1163" t="s">
        <v>5857</v>
      </c>
      <c r="X1163" s="2">
        <v>640</v>
      </c>
      <c r="Y1163" t="s">
        <v>5858</v>
      </c>
      <c r="Z1163" t="s">
        <v>6037</v>
      </c>
      <c r="AA1163" s="2">
        <v>4025</v>
      </c>
      <c r="AB1163" t="s">
        <v>5863</v>
      </c>
      <c r="AC1163" t="s">
        <v>9976</v>
      </c>
      <c r="AD1163" s="32">
        <v>43280</v>
      </c>
      <c r="AJ1163" t="s">
        <v>9958</v>
      </c>
      <c r="AL1163" t="s">
        <v>14159</v>
      </c>
    </row>
    <row r="1164" spans="1:38">
      <c r="A1164" t="s">
        <v>8902</v>
      </c>
      <c r="B1164" t="s">
        <v>12452</v>
      </c>
      <c r="C1164" t="s">
        <v>8926</v>
      </c>
      <c r="D1164" t="s">
        <v>8927</v>
      </c>
      <c r="E1164" s="2">
        <v>1000</v>
      </c>
      <c r="F1164" s="2">
        <v>1000</v>
      </c>
      <c r="G1164" s="3">
        <v>43298</v>
      </c>
      <c r="H1164" s="4">
        <v>0.79244212962963001</v>
      </c>
      <c r="I1164" s="3">
        <v>43298</v>
      </c>
      <c r="J1164" s="4">
        <v>0.85754629629629997</v>
      </c>
      <c r="K1164" s="2">
        <v>20</v>
      </c>
      <c r="L1164" t="s">
        <v>5856</v>
      </c>
      <c r="M1164" t="s">
        <v>8784</v>
      </c>
      <c r="N1164" s="3">
        <v>43297</v>
      </c>
      <c r="O1164" s="3">
        <v>43300</v>
      </c>
      <c r="P1164" t="s">
        <v>5971</v>
      </c>
      <c r="Q1164" t="s">
        <v>9015</v>
      </c>
      <c r="R1164" t="s">
        <v>6036</v>
      </c>
      <c r="S1164" s="3">
        <v>43297</v>
      </c>
      <c r="T1164" t="s">
        <v>9938</v>
      </c>
      <c r="U1164" t="s">
        <v>6093</v>
      </c>
      <c r="V1164" t="s">
        <v>8928</v>
      </c>
      <c r="W1164" t="s">
        <v>5857</v>
      </c>
      <c r="X1164" s="2">
        <v>640</v>
      </c>
      <c r="Y1164" t="s">
        <v>5858</v>
      </c>
      <c r="Z1164" t="s">
        <v>6037</v>
      </c>
      <c r="AA1164" s="2">
        <v>1000</v>
      </c>
      <c r="AB1164" t="s">
        <v>5863</v>
      </c>
      <c r="AC1164" t="s">
        <v>9974</v>
      </c>
      <c r="AD1164" s="32">
        <v>43271</v>
      </c>
      <c r="AJ1164" t="s">
        <v>9959</v>
      </c>
      <c r="AL1164" t="s">
        <v>11272</v>
      </c>
    </row>
    <row r="1165" spans="1:38">
      <c r="A1165" t="s">
        <v>8902</v>
      </c>
      <c r="B1165" t="s">
        <v>12450</v>
      </c>
      <c r="C1165" t="s">
        <v>6881</v>
      </c>
      <c r="D1165" t="s">
        <v>6882</v>
      </c>
      <c r="E1165" s="2">
        <v>4000</v>
      </c>
      <c r="F1165" s="2">
        <v>4000</v>
      </c>
      <c r="G1165" s="3">
        <v>43298</v>
      </c>
      <c r="H1165" s="4">
        <v>0.87837962962963001</v>
      </c>
      <c r="I1165" s="3">
        <v>43299</v>
      </c>
      <c r="J1165" s="4">
        <v>0.1387962962963</v>
      </c>
      <c r="K1165" s="2">
        <v>0</v>
      </c>
      <c r="L1165" t="s">
        <v>5856</v>
      </c>
      <c r="M1165" t="s">
        <v>9012</v>
      </c>
      <c r="N1165" s="3">
        <v>43315</v>
      </c>
      <c r="O1165" s="3">
        <v>43306</v>
      </c>
      <c r="P1165" t="s">
        <v>5913</v>
      </c>
      <c r="Q1165" t="s">
        <v>9013</v>
      </c>
      <c r="R1165" t="s">
        <v>6036</v>
      </c>
      <c r="S1165" s="3">
        <v>43315</v>
      </c>
      <c r="T1165" t="s">
        <v>9938</v>
      </c>
      <c r="U1165" t="s">
        <v>6884</v>
      </c>
      <c r="V1165" t="s">
        <v>6885</v>
      </c>
      <c r="W1165" t="s">
        <v>5857</v>
      </c>
      <c r="X1165" s="2">
        <v>640</v>
      </c>
      <c r="Y1165" t="s">
        <v>5858</v>
      </c>
      <c r="Z1165" t="s">
        <v>6037</v>
      </c>
      <c r="AA1165" s="2">
        <v>4000</v>
      </c>
      <c r="AB1165" t="s">
        <v>5863</v>
      </c>
      <c r="AC1165" t="s">
        <v>9978</v>
      </c>
      <c r="AD1165" s="32">
        <v>43258</v>
      </c>
      <c r="AJ1165" t="s">
        <v>9958</v>
      </c>
      <c r="AL1165" t="s">
        <v>11270</v>
      </c>
    </row>
    <row r="1166" spans="1:38">
      <c r="A1166" t="s">
        <v>8902</v>
      </c>
      <c r="B1166" t="s">
        <v>12453</v>
      </c>
      <c r="C1166" t="s">
        <v>6881</v>
      </c>
      <c r="D1166" t="s">
        <v>6882</v>
      </c>
      <c r="E1166" s="2">
        <v>1200</v>
      </c>
      <c r="F1166" s="2">
        <v>1200</v>
      </c>
      <c r="G1166" s="3">
        <v>43299</v>
      </c>
      <c r="H1166" s="4">
        <v>0.15962962962963001</v>
      </c>
      <c r="I1166" s="3">
        <v>43299</v>
      </c>
      <c r="J1166" s="4">
        <v>0.23775462962963001</v>
      </c>
      <c r="K1166" s="2">
        <v>20</v>
      </c>
      <c r="L1166" t="s">
        <v>5856</v>
      </c>
      <c r="M1166" t="s">
        <v>8794</v>
      </c>
      <c r="N1166" s="3">
        <v>43300</v>
      </c>
      <c r="O1166" s="3">
        <v>43306</v>
      </c>
      <c r="P1166" t="s">
        <v>5913</v>
      </c>
      <c r="Q1166" t="s">
        <v>9016</v>
      </c>
      <c r="R1166" t="s">
        <v>6036</v>
      </c>
      <c r="S1166" s="3">
        <v>43300</v>
      </c>
      <c r="T1166" t="s">
        <v>9938</v>
      </c>
      <c r="U1166" t="s">
        <v>6884</v>
      </c>
      <c r="V1166" t="s">
        <v>6885</v>
      </c>
      <c r="W1166" t="s">
        <v>5857</v>
      </c>
      <c r="X1166" s="2">
        <v>640</v>
      </c>
      <c r="Y1166" t="s">
        <v>5858</v>
      </c>
      <c r="Z1166" t="s">
        <v>6037</v>
      </c>
      <c r="AA1166" s="2">
        <v>1200</v>
      </c>
      <c r="AB1166" t="s">
        <v>5863</v>
      </c>
      <c r="AC1166" t="s">
        <v>9978</v>
      </c>
      <c r="AD1166" s="32">
        <v>43272</v>
      </c>
      <c r="AJ1166" t="s">
        <v>9958</v>
      </c>
      <c r="AL1166" t="s">
        <v>11273</v>
      </c>
    </row>
    <row r="1167" spans="1:38">
      <c r="A1167" t="s">
        <v>8902</v>
      </c>
      <c r="B1167" t="s">
        <v>12447</v>
      </c>
      <c r="C1167" t="s">
        <v>6881</v>
      </c>
      <c r="D1167" t="s">
        <v>6882</v>
      </c>
      <c r="E1167" s="2">
        <v>2080</v>
      </c>
      <c r="F1167" s="2">
        <v>2080</v>
      </c>
      <c r="G1167" s="3">
        <v>43299</v>
      </c>
      <c r="H1167" s="4">
        <v>0.25858796296295999</v>
      </c>
      <c r="I1167" s="3">
        <v>43299</v>
      </c>
      <c r="J1167" s="4">
        <v>0.39400462962963001</v>
      </c>
      <c r="K1167" s="2">
        <v>0</v>
      </c>
      <c r="L1167" t="s">
        <v>5856</v>
      </c>
      <c r="M1167" t="s">
        <v>8700</v>
      </c>
      <c r="N1167" s="3">
        <v>43306</v>
      </c>
      <c r="O1167" s="3">
        <v>43306</v>
      </c>
      <c r="P1167" t="s">
        <v>5913</v>
      </c>
      <c r="Q1167" t="s">
        <v>9003</v>
      </c>
      <c r="R1167" t="s">
        <v>6036</v>
      </c>
      <c r="S1167" s="3">
        <v>43306</v>
      </c>
      <c r="T1167" t="s">
        <v>9938</v>
      </c>
      <c r="U1167" t="s">
        <v>6884</v>
      </c>
      <c r="V1167" t="s">
        <v>6885</v>
      </c>
      <c r="W1167" t="s">
        <v>5857</v>
      </c>
      <c r="X1167" s="2">
        <v>640</v>
      </c>
      <c r="Y1167" t="s">
        <v>5858</v>
      </c>
      <c r="Z1167" t="s">
        <v>6037</v>
      </c>
      <c r="AA1167" s="2">
        <v>2000</v>
      </c>
      <c r="AB1167" t="s">
        <v>5863</v>
      </c>
      <c r="AC1167" t="s">
        <v>9978</v>
      </c>
      <c r="AD1167" s="32">
        <v>43245</v>
      </c>
      <c r="AJ1167" t="s">
        <v>9958</v>
      </c>
      <c r="AL1167" t="s">
        <v>11268</v>
      </c>
    </row>
    <row r="1168" spans="1:38">
      <c r="A1168" t="s">
        <v>8902</v>
      </c>
      <c r="B1168" t="s">
        <v>12455</v>
      </c>
      <c r="C1168" t="s">
        <v>8945</v>
      </c>
      <c r="D1168" t="s">
        <v>8946</v>
      </c>
      <c r="E1168" s="2">
        <v>1800</v>
      </c>
      <c r="F1168" s="2">
        <v>1800</v>
      </c>
      <c r="G1168" s="3">
        <v>43299</v>
      </c>
      <c r="H1168" s="4">
        <v>0.50077546296296005</v>
      </c>
      <c r="I1168" s="3">
        <v>43299</v>
      </c>
      <c r="J1168" s="4">
        <v>0.61796296296296005</v>
      </c>
      <c r="K1168" s="2">
        <v>0</v>
      </c>
      <c r="L1168" t="s">
        <v>5856</v>
      </c>
      <c r="M1168" t="s">
        <v>9019</v>
      </c>
      <c r="N1168" s="3">
        <v>43298</v>
      </c>
      <c r="O1168" s="3">
        <v>43301</v>
      </c>
      <c r="P1168" t="s">
        <v>6026</v>
      </c>
      <c r="Q1168" t="s">
        <v>9020</v>
      </c>
      <c r="R1168" t="s">
        <v>6036</v>
      </c>
      <c r="S1168" s="3">
        <v>43298</v>
      </c>
      <c r="T1168" t="s">
        <v>9938</v>
      </c>
      <c r="U1168" t="s">
        <v>5961</v>
      </c>
      <c r="V1168" t="s">
        <v>8948</v>
      </c>
      <c r="W1168" t="s">
        <v>5857</v>
      </c>
      <c r="X1168" s="2">
        <v>640</v>
      </c>
      <c r="Y1168" t="s">
        <v>5858</v>
      </c>
      <c r="Z1168" t="s">
        <v>6037</v>
      </c>
      <c r="AA1168" s="2">
        <v>1800</v>
      </c>
      <c r="AB1168" t="s">
        <v>5863</v>
      </c>
      <c r="AC1168" t="s">
        <v>9976</v>
      </c>
      <c r="AD1168" s="32">
        <v>43272</v>
      </c>
      <c r="AJ1168" t="s">
        <v>9958</v>
      </c>
      <c r="AL1168" t="s">
        <v>11274</v>
      </c>
    </row>
    <row r="1169" spans="1:38">
      <c r="A1169" t="s">
        <v>8902</v>
      </c>
      <c r="B1169" t="s">
        <v>13451</v>
      </c>
      <c r="C1169" t="s">
        <v>7158</v>
      </c>
      <c r="D1169" t="s">
        <v>7159</v>
      </c>
      <c r="E1169" s="2">
        <v>1040</v>
      </c>
      <c r="F1169" s="2">
        <v>1040</v>
      </c>
      <c r="G1169" s="3">
        <v>43299</v>
      </c>
      <c r="H1169" s="4">
        <v>0.63228009259258999</v>
      </c>
      <c r="I1169" s="3">
        <v>43299</v>
      </c>
      <c r="J1169" s="4">
        <v>0.69998842592593002</v>
      </c>
      <c r="K1169" s="2">
        <v>0</v>
      </c>
      <c r="L1169" t="s">
        <v>5856</v>
      </c>
      <c r="M1169" t="s">
        <v>6945</v>
      </c>
      <c r="N1169" s="3">
        <v>43305</v>
      </c>
      <c r="O1169" s="3">
        <v>43301</v>
      </c>
      <c r="P1169" t="s">
        <v>5889</v>
      </c>
      <c r="Q1169" t="s">
        <v>7160</v>
      </c>
      <c r="R1169" t="s">
        <v>6036</v>
      </c>
      <c r="S1169" s="3">
        <v>43305</v>
      </c>
      <c r="T1169" t="s">
        <v>9938</v>
      </c>
      <c r="U1169" t="s">
        <v>5987</v>
      </c>
      <c r="V1169" t="s">
        <v>7161</v>
      </c>
      <c r="W1169" t="s">
        <v>5857</v>
      </c>
      <c r="X1169" s="2">
        <v>640</v>
      </c>
      <c r="Y1169" t="s">
        <v>5858</v>
      </c>
      <c r="Z1169" t="s">
        <v>6037</v>
      </c>
      <c r="AA1169" s="2">
        <v>1000</v>
      </c>
      <c r="AB1169" t="s">
        <v>5863</v>
      </c>
      <c r="AC1169" t="s">
        <v>9978</v>
      </c>
      <c r="AD1169" s="32">
        <v>43280</v>
      </c>
      <c r="AJ1169" t="s">
        <v>9958</v>
      </c>
      <c r="AL1169" t="s">
        <v>14160</v>
      </c>
    </row>
    <row r="1170" spans="1:38">
      <c r="A1170" t="s">
        <v>8902</v>
      </c>
      <c r="B1170" t="s">
        <v>12456</v>
      </c>
      <c r="C1170" t="s">
        <v>7403</v>
      </c>
      <c r="D1170" t="s">
        <v>7404</v>
      </c>
      <c r="E1170" s="2">
        <v>1000</v>
      </c>
      <c r="F1170" s="2">
        <v>1000</v>
      </c>
      <c r="G1170" s="3">
        <v>43299</v>
      </c>
      <c r="H1170" s="4">
        <v>0.63879629629629997</v>
      </c>
      <c r="I1170" s="3">
        <v>43299</v>
      </c>
      <c r="J1170" s="4">
        <v>0.70390046296296005</v>
      </c>
      <c r="K1170" s="2">
        <v>0</v>
      </c>
      <c r="L1170" t="s">
        <v>5856</v>
      </c>
      <c r="M1170" t="s">
        <v>8784</v>
      </c>
      <c r="N1170" s="3">
        <v>43298</v>
      </c>
      <c r="O1170" s="3">
        <v>43301</v>
      </c>
      <c r="P1170" t="s">
        <v>6868</v>
      </c>
      <c r="Q1170" t="s">
        <v>9021</v>
      </c>
      <c r="R1170" t="s">
        <v>6036</v>
      </c>
      <c r="S1170" s="3">
        <v>43298</v>
      </c>
      <c r="T1170" t="s">
        <v>9938</v>
      </c>
      <c r="U1170" t="s">
        <v>7407</v>
      </c>
      <c r="V1170" t="s">
        <v>7408</v>
      </c>
      <c r="W1170" t="s">
        <v>5857</v>
      </c>
      <c r="X1170" s="2">
        <v>640</v>
      </c>
      <c r="Y1170" t="s">
        <v>5858</v>
      </c>
      <c r="Z1170" t="s">
        <v>6037</v>
      </c>
      <c r="AA1170" s="2">
        <v>1000</v>
      </c>
      <c r="AB1170" t="s">
        <v>5863</v>
      </c>
      <c r="AC1170" t="s">
        <v>9976</v>
      </c>
      <c r="AD1170" s="32">
        <v>43271</v>
      </c>
      <c r="AJ1170" t="s">
        <v>9958</v>
      </c>
      <c r="AL1170" t="s">
        <v>11275</v>
      </c>
    </row>
    <row r="1171" spans="1:38">
      <c r="A1171" t="s">
        <v>8902</v>
      </c>
      <c r="B1171" t="s">
        <v>12457</v>
      </c>
      <c r="C1171" t="s">
        <v>9022</v>
      </c>
      <c r="D1171" t="s">
        <v>9023</v>
      </c>
      <c r="E1171" s="2">
        <v>2080</v>
      </c>
      <c r="F1171" s="2">
        <v>2080</v>
      </c>
      <c r="G1171" s="3">
        <v>43299</v>
      </c>
      <c r="H1171" s="4">
        <v>0.72473379629629997</v>
      </c>
      <c r="I1171" s="3">
        <v>43299</v>
      </c>
      <c r="J1171" s="4">
        <v>0.86015046296296005</v>
      </c>
      <c r="K1171" s="2">
        <v>0</v>
      </c>
      <c r="L1171" t="s">
        <v>5856</v>
      </c>
      <c r="M1171" t="s">
        <v>8700</v>
      </c>
      <c r="N1171" s="3">
        <v>43300</v>
      </c>
      <c r="O1171" s="3">
        <v>43301</v>
      </c>
      <c r="P1171" t="s">
        <v>5889</v>
      </c>
      <c r="Q1171" t="s">
        <v>9024</v>
      </c>
      <c r="R1171" t="s">
        <v>6036</v>
      </c>
      <c r="S1171" s="3">
        <v>43300</v>
      </c>
      <c r="T1171" t="s">
        <v>9938</v>
      </c>
      <c r="U1171" t="s">
        <v>7483</v>
      </c>
      <c r="V1171" t="s">
        <v>9025</v>
      </c>
      <c r="W1171" t="s">
        <v>5857</v>
      </c>
      <c r="X1171" s="2">
        <v>640</v>
      </c>
      <c r="Y1171" t="s">
        <v>5858</v>
      </c>
      <c r="Z1171" t="s">
        <v>6037</v>
      </c>
      <c r="AA1171" s="2">
        <v>2000</v>
      </c>
      <c r="AB1171" t="s">
        <v>5863</v>
      </c>
      <c r="AC1171" t="s">
        <v>9978</v>
      </c>
      <c r="AD1171" s="32">
        <v>43278</v>
      </c>
      <c r="AJ1171" t="s">
        <v>9958</v>
      </c>
      <c r="AL1171" t="s">
        <v>11276</v>
      </c>
    </row>
    <row r="1172" spans="1:38">
      <c r="A1172" t="s">
        <v>8902</v>
      </c>
      <c r="B1172" t="s">
        <v>12458</v>
      </c>
      <c r="C1172" t="s">
        <v>8926</v>
      </c>
      <c r="D1172" t="s">
        <v>8927</v>
      </c>
      <c r="E1172" s="2">
        <v>1040</v>
      </c>
      <c r="F1172" s="2">
        <v>1040</v>
      </c>
      <c r="G1172" s="3">
        <v>43299</v>
      </c>
      <c r="H1172" s="4">
        <v>0.88098379629629997</v>
      </c>
      <c r="I1172" s="3">
        <v>43299</v>
      </c>
      <c r="J1172" s="4">
        <v>0.94869212962963001</v>
      </c>
      <c r="K1172" s="2">
        <v>0</v>
      </c>
      <c r="L1172" t="s">
        <v>5856</v>
      </c>
      <c r="M1172" t="s">
        <v>6945</v>
      </c>
      <c r="N1172" s="3">
        <v>43300</v>
      </c>
      <c r="O1172" s="3">
        <v>43301</v>
      </c>
      <c r="P1172" t="s">
        <v>5971</v>
      </c>
      <c r="Q1172" t="s">
        <v>9026</v>
      </c>
      <c r="R1172" t="s">
        <v>6036</v>
      </c>
      <c r="S1172" s="3">
        <v>43300</v>
      </c>
      <c r="T1172" t="s">
        <v>9938</v>
      </c>
      <c r="U1172" t="s">
        <v>6093</v>
      </c>
      <c r="V1172" t="s">
        <v>8928</v>
      </c>
      <c r="W1172" t="s">
        <v>5857</v>
      </c>
      <c r="X1172" s="2">
        <v>640</v>
      </c>
      <c r="Y1172" t="s">
        <v>5858</v>
      </c>
      <c r="Z1172" t="s">
        <v>6037</v>
      </c>
      <c r="AA1172" s="2">
        <v>1000</v>
      </c>
      <c r="AB1172" t="s">
        <v>5863</v>
      </c>
      <c r="AC1172" t="s">
        <v>9974</v>
      </c>
      <c r="AD1172" s="32">
        <v>43277</v>
      </c>
      <c r="AJ1172" t="s">
        <v>9959</v>
      </c>
      <c r="AL1172" t="s">
        <v>11277</v>
      </c>
    </row>
    <row r="1173" spans="1:38">
      <c r="A1173" t="s">
        <v>8902</v>
      </c>
      <c r="B1173" t="s">
        <v>12459</v>
      </c>
      <c r="C1173" t="s">
        <v>8926</v>
      </c>
      <c r="D1173" t="s">
        <v>8927</v>
      </c>
      <c r="E1173" s="2">
        <v>3120</v>
      </c>
      <c r="F1173" s="2">
        <v>3120</v>
      </c>
      <c r="G1173" s="3">
        <v>43299</v>
      </c>
      <c r="H1173" s="4">
        <v>0.96952546296296005</v>
      </c>
      <c r="I1173" s="3">
        <v>43300</v>
      </c>
      <c r="J1173" s="4">
        <v>0.17265046296295999</v>
      </c>
      <c r="K1173" s="2">
        <v>0</v>
      </c>
      <c r="L1173" t="s">
        <v>5856</v>
      </c>
      <c r="M1173" t="s">
        <v>8710</v>
      </c>
      <c r="N1173" s="3">
        <v>43300</v>
      </c>
      <c r="O1173" s="3">
        <v>43302</v>
      </c>
      <c r="P1173" t="s">
        <v>5971</v>
      </c>
      <c r="Q1173" t="s">
        <v>9027</v>
      </c>
      <c r="R1173" t="s">
        <v>6036</v>
      </c>
      <c r="S1173" s="3">
        <v>43300</v>
      </c>
      <c r="T1173" t="s">
        <v>9938</v>
      </c>
      <c r="U1173" t="s">
        <v>6093</v>
      </c>
      <c r="V1173" t="s">
        <v>8928</v>
      </c>
      <c r="W1173" t="s">
        <v>5857</v>
      </c>
      <c r="X1173" s="2">
        <v>640</v>
      </c>
      <c r="Y1173" t="s">
        <v>5858</v>
      </c>
      <c r="Z1173" t="s">
        <v>6037</v>
      </c>
      <c r="AA1173" s="2">
        <v>3000</v>
      </c>
      <c r="AB1173" t="s">
        <v>5863</v>
      </c>
      <c r="AC1173" t="s">
        <v>9974</v>
      </c>
      <c r="AD1173" s="32">
        <v>43277</v>
      </c>
      <c r="AJ1173" t="s">
        <v>9959</v>
      </c>
      <c r="AL1173" t="s">
        <v>11278</v>
      </c>
    </row>
    <row r="1174" spans="1:38">
      <c r="A1174" t="s">
        <v>8902</v>
      </c>
      <c r="B1174" t="s">
        <v>12460</v>
      </c>
      <c r="C1174" t="s">
        <v>7220</v>
      </c>
      <c r="D1174" t="s">
        <v>7221</v>
      </c>
      <c r="E1174" s="2">
        <v>300</v>
      </c>
      <c r="F1174" s="2">
        <v>300</v>
      </c>
      <c r="G1174" s="3">
        <v>43300</v>
      </c>
      <c r="H1174" s="4">
        <v>0.1934837962963</v>
      </c>
      <c r="I1174" s="3">
        <v>43300</v>
      </c>
      <c r="J1174" s="4">
        <v>0.21302083333333</v>
      </c>
      <c r="K1174" s="2">
        <v>0</v>
      </c>
      <c r="L1174" t="s">
        <v>5856</v>
      </c>
      <c r="M1174" t="s">
        <v>9028</v>
      </c>
      <c r="N1174" s="3">
        <v>43300</v>
      </c>
      <c r="O1174" s="3">
        <v>43302</v>
      </c>
      <c r="P1174" t="s">
        <v>5889</v>
      </c>
      <c r="Q1174" t="s">
        <v>9029</v>
      </c>
      <c r="R1174" t="s">
        <v>6036</v>
      </c>
      <c r="S1174" s="3">
        <v>43300</v>
      </c>
      <c r="T1174" t="s">
        <v>9938</v>
      </c>
      <c r="U1174" t="s">
        <v>5882</v>
      </c>
      <c r="V1174" t="s">
        <v>6041</v>
      </c>
      <c r="W1174" t="s">
        <v>5857</v>
      </c>
      <c r="X1174" s="2">
        <v>640</v>
      </c>
      <c r="Y1174" t="s">
        <v>5858</v>
      </c>
      <c r="Z1174" t="s">
        <v>6037</v>
      </c>
      <c r="AA1174" s="2">
        <v>300</v>
      </c>
      <c r="AB1174" t="s">
        <v>5863</v>
      </c>
      <c r="AC1174" t="s">
        <v>9978</v>
      </c>
      <c r="AD1174" s="32">
        <v>43273</v>
      </c>
      <c r="AJ1174" t="s">
        <v>9958</v>
      </c>
      <c r="AL1174" t="s">
        <v>11279</v>
      </c>
    </row>
    <row r="1175" spans="1:38">
      <c r="A1175" t="s">
        <v>8902</v>
      </c>
      <c r="B1175" t="s">
        <v>12461</v>
      </c>
      <c r="C1175" t="s">
        <v>7063</v>
      </c>
      <c r="D1175" t="s">
        <v>7064</v>
      </c>
      <c r="E1175" s="2">
        <v>1000</v>
      </c>
      <c r="F1175" s="2">
        <v>1000</v>
      </c>
      <c r="G1175" s="3">
        <v>43300</v>
      </c>
      <c r="H1175" s="4">
        <v>0.23385416666667</v>
      </c>
      <c r="I1175" s="3">
        <v>43300</v>
      </c>
      <c r="J1175" s="4">
        <v>0.29895833333333</v>
      </c>
      <c r="K1175" s="2">
        <v>0</v>
      </c>
      <c r="L1175" t="s">
        <v>5856</v>
      </c>
      <c r="M1175" t="s">
        <v>8784</v>
      </c>
      <c r="N1175" s="3">
        <v>43300</v>
      </c>
      <c r="O1175" s="3">
        <v>43302</v>
      </c>
      <c r="P1175" t="s">
        <v>5889</v>
      </c>
      <c r="Q1175" t="s">
        <v>9030</v>
      </c>
      <c r="R1175" t="s">
        <v>6036</v>
      </c>
      <c r="S1175" s="3">
        <v>43300</v>
      </c>
      <c r="T1175" t="s">
        <v>9938</v>
      </c>
      <c r="U1175" t="s">
        <v>5987</v>
      </c>
      <c r="V1175" t="s">
        <v>7066</v>
      </c>
      <c r="W1175" t="s">
        <v>5857</v>
      </c>
      <c r="X1175" s="2">
        <v>640</v>
      </c>
      <c r="Y1175" t="s">
        <v>5858</v>
      </c>
      <c r="Z1175" t="s">
        <v>6037</v>
      </c>
      <c r="AA1175" s="2">
        <v>1000</v>
      </c>
      <c r="AB1175" t="s">
        <v>5863</v>
      </c>
      <c r="AC1175" t="s">
        <v>9978</v>
      </c>
      <c r="AD1175" s="32">
        <v>43268</v>
      </c>
      <c r="AJ1175" t="s">
        <v>9958</v>
      </c>
      <c r="AL1175" t="s">
        <v>11280</v>
      </c>
    </row>
    <row r="1176" spans="1:38">
      <c r="A1176" t="s">
        <v>8902</v>
      </c>
      <c r="B1176" t="s">
        <v>12462</v>
      </c>
      <c r="C1176" t="s">
        <v>6957</v>
      </c>
      <c r="D1176" t="s">
        <v>6958</v>
      </c>
      <c r="E1176" s="2">
        <v>1000</v>
      </c>
      <c r="F1176" s="2">
        <v>1000</v>
      </c>
      <c r="G1176" s="3">
        <v>43300</v>
      </c>
      <c r="H1176" s="4">
        <v>0.31979166666667003</v>
      </c>
      <c r="I1176" s="3">
        <v>43300</v>
      </c>
      <c r="J1176" s="4">
        <v>0.38489583333333</v>
      </c>
      <c r="K1176" s="2">
        <v>0</v>
      </c>
      <c r="L1176" t="s">
        <v>5856</v>
      </c>
      <c r="M1176" t="s">
        <v>8784</v>
      </c>
      <c r="N1176" s="3">
        <v>43300</v>
      </c>
      <c r="O1176" s="3">
        <v>43302</v>
      </c>
      <c r="P1176" t="s">
        <v>6026</v>
      </c>
      <c r="Q1176" t="s">
        <v>9031</v>
      </c>
      <c r="R1176" t="s">
        <v>6036</v>
      </c>
      <c r="S1176" s="3">
        <v>43300</v>
      </c>
      <c r="T1176" t="s">
        <v>9938</v>
      </c>
      <c r="U1176" t="s">
        <v>5917</v>
      </c>
      <c r="V1176" t="s">
        <v>6959</v>
      </c>
      <c r="W1176" t="s">
        <v>5857</v>
      </c>
      <c r="X1176" s="2">
        <v>640</v>
      </c>
      <c r="Y1176" t="s">
        <v>5858</v>
      </c>
      <c r="Z1176" t="s">
        <v>6037</v>
      </c>
      <c r="AA1176" s="2">
        <v>1000</v>
      </c>
      <c r="AB1176" t="s">
        <v>5863</v>
      </c>
      <c r="AC1176" t="s">
        <v>9976</v>
      </c>
      <c r="AD1176" s="32">
        <v>43256</v>
      </c>
      <c r="AJ1176" t="s">
        <v>9958</v>
      </c>
      <c r="AL1176" t="s">
        <v>11281</v>
      </c>
    </row>
    <row r="1177" spans="1:38">
      <c r="A1177" t="s">
        <v>8902</v>
      </c>
      <c r="B1177" t="s">
        <v>12463</v>
      </c>
      <c r="C1177" t="s">
        <v>9032</v>
      </c>
      <c r="D1177" t="s">
        <v>9033</v>
      </c>
      <c r="E1177" s="2">
        <v>2000</v>
      </c>
      <c r="F1177" s="2">
        <v>2000</v>
      </c>
      <c r="G1177" s="3">
        <v>43300</v>
      </c>
      <c r="H1177" s="4">
        <v>0.40572916666667003</v>
      </c>
      <c r="I1177" s="3">
        <v>43300</v>
      </c>
      <c r="J1177" s="4">
        <v>0.53593749999999996</v>
      </c>
      <c r="K1177" s="2">
        <v>0</v>
      </c>
      <c r="L1177" t="s">
        <v>5856</v>
      </c>
      <c r="M1177" t="s">
        <v>8853</v>
      </c>
      <c r="N1177" s="3">
        <v>43300</v>
      </c>
      <c r="O1177" s="3">
        <v>43302</v>
      </c>
      <c r="P1177" t="s">
        <v>5862</v>
      </c>
      <c r="Q1177" t="s">
        <v>9034</v>
      </c>
      <c r="R1177" t="s">
        <v>6036</v>
      </c>
      <c r="S1177" s="3">
        <v>43300</v>
      </c>
      <c r="T1177" t="s">
        <v>9938</v>
      </c>
      <c r="U1177" t="s">
        <v>6790</v>
      </c>
      <c r="V1177" t="s">
        <v>9035</v>
      </c>
      <c r="W1177" t="s">
        <v>5857</v>
      </c>
      <c r="X1177" s="2">
        <v>640</v>
      </c>
      <c r="Y1177" t="s">
        <v>5858</v>
      </c>
      <c r="Z1177" t="s">
        <v>6037</v>
      </c>
      <c r="AA1177" s="2">
        <v>2000</v>
      </c>
      <c r="AB1177" t="s">
        <v>5863</v>
      </c>
      <c r="AC1177" t="s">
        <v>9978</v>
      </c>
      <c r="AD1177" s="32">
        <v>43224</v>
      </c>
      <c r="AJ1177" t="s">
        <v>9958</v>
      </c>
      <c r="AL1177" t="s">
        <v>11282</v>
      </c>
    </row>
    <row r="1178" spans="1:38">
      <c r="A1178" t="s">
        <v>8902</v>
      </c>
      <c r="B1178" t="s">
        <v>12464</v>
      </c>
      <c r="C1178" t="s">
        <v>8973</v>
      </c>
      <c r="D1178" t="s">
        <v>8974</v>
      </c>
      <c r="E1178" s="2">
        <v>4784</v>
      </c>
      <c r="F1178" s="2">
        <v>4784</v>
      </c>
      <c r="G1178" s="3">
        <v>43300</v>
      </c>
      <c r="H1178" s="4">
        <v>0.55677083333333</v>
      </c>
      <c r="I1178" s="3">
        <v>43300</v>
      </c>
      <c r="J1178" s="4">
        <v>0.86822916666667005</v>
      </c>
      <c r="K1178" s="2">
        <v>0</v>
      </c>
      <c r="L1178" t="s">
        <v>5856</v>
      </c>
      <c r="M1178" t="s">
        <v>9036</v>
      </c>
      <c r="N1178" s="3">
        <v>43306</v>
      </c>
      <c r="O1178" s="3">
        <v>43307</v>
      </c>
      <c r="P1178" t="s">
        <v>6868</v>
      </c>
      <c r="Q1178" t="s">
        <v>9037</v>
      </c>
      <c r="R1178" t="s">
        <v>6036</v>
      </c>
      <c r="S1178" s="3">
        <v>43306</v>
      </c>
      <c r="T1178" t="s">
        <v>9938</v>
      </c>
      <c r="U1178" t="s">
        <v>8976</v>
      </c>
      <c r="V1178" t="s">
        <v>8977</v>
      </c>
      <c r="W1178" t="s">
        <v>5857</v>
      </c>
      <c r="X1178" s="2">
        <v>640</v>
      </c>
      <c r="Y1178" t="s">
        <v>5858</v>
      </c>
      <c r="Z1178" t="s">
        <v>6037</v>
      </c>
      <c r="AA1178" s="2">
        <v>4600</v>
      </c>
      <c r="AB1178" t="s">
        <v>5863</v>
      </c>
      <c r="AC1178" t="s">
        <v>9976</v>
      </c>
      <c r="AD1178" s="32">
        <v>43278</v>
      </c>
      <c r="AJ1178" t="s">
        <v>9958</v>
      </c>
      <c r="AL1178" t="s">
        <v>11283</v>
      </c>
    </row>
    <row r="1179" spans="1:38">
      <c r="A1179" t="s">
        <v>8902</v>
      </c>
      <c r="B1179" t="s">
        <v>12465</v>
      </c>
      <c r="C1179" t="s">
        <v>9038</v>
      </c>
      <c r="D1179" t="s">
        <v>9039</v>
      </c>
      <c r="E1179" s="2">
        <v>2080</v>
      </c>
      <c r="F1179" s="2">
        <v>2080</v>
      </c>
      <c r="G1179" s="3">
        <v>43300</v>
      </c>
      <c r="H1179" s="4">
        <v>0.88906249999999998</v>
      </c>
      <c r="I1179" s="3">
        <v>43301</v>
      </c>
      <c r="J1179" s="4">
        <v>2.4479166666670001E-2</v>
      </c>
      <c r="K1179" s="2">
        <v>0</v>
      </c>
      <c r="L1179" t="s">
        <v>5856</v>
      </c>
      <c r="M1179" t="s">
        <v>8700</v>
      </c>
      <c r="N1179" s="3">
        <v>43293</v>
      </c>
      <c r="O1179" s="3">
        <v>43303</v>
      </c>
      <c r="P1179" t="s">
        <v>5869</v>
      </c>
      <c r="Q1179" t="s">
        <v>9040</v>
      </c>
      <c r="R1179" t="s">
        <v>6036</v>
      </c>
      <c r="S1179" s="3">
        <v>43293</v>
      </c>
      <c r="T1179" t="s">
        <v>9938</v>
      </c>
      <c r="U1179" t="s">
        <v>6932</v>
      </c>
      <c r="V1179" t="s">
        <v>9041</v>
      </c>
      <c r="W1179" t="s">
        <v>5857</v>
      </c>
      <c r="X1179" s="2">
        <v>640</v>
      </c>
      <c r="Y1179" t="s">
        <v>5858</v>
      </c>
      <c r="Z1179" t="s">
        <v>6037</v>
      </c>
      <c r="AA1179" s="2">
        <v>2000</v>
      </c>
      <c r="AB1179" t="s">
        <v>5863</v>
      </c>
      <c r="AC1179" t="s">
        <v>9974</v>
      </c>
      <c r="AD1179" s="32">
        <v>43250</v>
      </c>
      <c r="AJ1179" t="s">
        <v>9958</v>
      </c>
      <c r="AL1179" t="s">
        <v>11284</v>
      </c>
    </row>
    <row r="1180" spans="1:38">
      <c r="A1180" t="s">
        <v>8902</v>
      </c>
      <c r="B1180" t="s">
        <v>12466</v>
      </c>
      <c r="C1180" t="s">
        <v>6835</v>
      </c>
      <c r="D1180" t="s">
        <v>6836</v>
      </c>
      <c r="E1180" s="2">
        <v>2028</v>
      </c>
      <c r="F1180" s="2">
        <v>2028</v>
      </c>
      <c r="G1180" s="3">
        <v>43301</v>
      </c>
      <c r="H1180" s="4">
        <v>4.5312499999999999E-2</v>
      </c>
      <c r="I1180" s="3">
        <v>43301</v>
      </c>
      <c r="J1180" s="4">
        <v>0.17734953703704001</v>
      </c>
      <c r="K1180" s="2">
        <v>20</v>
      </c>
      <c r="L1180" t="s">
        <v>5856</v>
      </c>
      <c r="M1180" t="s">
        <v>9042</v>
      </c>
      <c r="N1180" s="3">
        <v>43300</v>
      </c>
      <c r="O1180" s="3">
        <v>43303</v>
      </c>
      <c r="P1180" t="s">
        <v>5862</v>
      </c>
      <c r="Q1180" t="s">
        <v>9043</v>
      </c>
      <c r="R1180" t="s">
        <v>6036</v>
      </c>
      <c r="S1180" s="3">
        <v>43300</v>
      </c>
      <c r="T1180" t="s">
        <v>9938</v>
      </c>
      <c r="U1180" t="s">
        <v>5894</v>
      </c>
      <c r="V1180" t="s">
        <v>6838</v>
      </c>
      <c r="W1180" t="s">
        <v>5857</v>
      </c>
      <c r="X1180" s="2">
        <v>640</v>
      </c>
      <c r="Y1180" t="s">
        <v>5858</v>
      </c>
      <c r="Z1180" t="s">
        <v>6037</v>
      </c>
      <c r="AA1180" s="2">
        <v>1950</v>
      </c>
      <c r="AB1180" t="s">
        <v>5863</v>
      </c>
      <c r="AC1180" t="s">
        <v>9978</v>
      </c>
      <c r="AD1180" s="32">
        <v>43263</v>
      </c>
      <c r="AI1180" t="s">
        <v>9939</v>
      </c>
      <c r="AJ1180" t="s">
        <v>9958</v>
      </c>
      <c r="AL1180" t="s">
        <v>11285</v>
      </c>
    </row>
    <row r="1181" spans="1:38">
      <c r="A1181" t="s">
        <v>8902</v>
      </c>
      <c r="B1181" t="s">
        <v>12467</v>
      </c>
      <c r="C1181" t="s">
        <v>8973</v>
      </c>
      <c r="D1181" t="s">
        <v>8974</v>
      </c>
      <c r="E1181" s="2">
        <v>4000</v>
      </c>
      <c r="F1181" s="2">
        <v>4000</v>
      </c>
      <c r="G1181" s="3">
        <v>43301</v>
      </c>
      <c r="H1181" s="4">
        <v>0.19818287037037</v>
      </c>
      <c r="I1181" s="3">
        <v>43301</v>
      </c>
      <c r="J1181" s="4">
        <v>0.45859953703703998</v>
      </c>
      <c r="K1181" s="2">
        <v>0</v>
      </c>
      <c r="L1181" t="s">
        <v>5856</v>
      </c>
      <c r="M1181" t="s">
        <v>9012</v>
      </c>
      <c r="N1181" s="3">
        <v>43307</v>
      </c>
      <c r="O1181" s="3">
        <v>43308</v>
      </c>
      <c r="P1181" t="s">
        <v>6868</v>
      </c>
      <c r="Q1181" t="s">
        <v>9044</v>
      </c>
      <c r="R1181" t="s">
        <v>6036</v>
      </c>
      <c r="S1181" s="3">
        <v>43307</v>
      </c>
      <c r="T1181" t="s">
        <v>9938</v>
      </c>
      <c r="U1181" t="s">
        <v>8976</v>
      </c>
      <c r="V1181" t="s">
        <v>8977</v>
      </c>
      <c r="W1181" t="s">
        <v>5857</v>
      </c>
      <c r="X1181" s="2">
        <v>640</v>
      </c>
      <c r="Y1181" t="s">
        <v>5858</v>
      </c>
      <c r="Z1181" t="s">
        <v>6037</v>
      </c>
      <c r="AA1181" s="2">
        <v>4000</v>
      </c>
      <c r="AB1181" t="s">
        <v>5863</v>
      </c>
      <c r="AC1181" t="s">
        <v>9976</v>
      </c>
      <c r="AD1181" s="32">
        <v>43258</v>
      </c>
      <c r="AJ1181" t="s">
        <v>9958</v>
      </c>
      <c r="AL1181" t="s">
        <v>11286</v>
      </c>
    </row>
    <row r="1182" spans="1:38">
      <c r="A1182" t="s">
        <v>8902</v>
      </c>
      <c r="B1182" t="s">
        <v>12468</v>
      </c>
      <c r="C1182" t="s">
        <v>9047</v>
      </c>
      <c r="D1182" t="s">
        <v>9048</v>
      </c>
      <c r="E1182" s="2">
        <v>2000</v>
      </c>
      <c r="F1182" s="2">
        <v>2000</v>
      </c>
      <c r="G1182" s="3">
        <v>43302</v>
      </c>
      <c r="H1182" s="4">
        <v>0.15130787037037</v>
      </c>
      <c r="I1182" s="3">
        <v>43302</v>
      </c>
      <c r="J1182" s="4">
        <v>0.28151620370370001</v>
      </c>
      <c r="K1182" s="2">
        <v>0</v>
      </c>
      <c r="L1182" t="s">
        <v>5856</v>
      </c>
      <c r="M1182" t="s">
        <v>8853</v>
      </c>
      <c r="N1182" s="3">
        <v>43312</v>
      </c>
      <c r="O1182" s="3">
        <v>43304</v>
      </c>
      <c r="P1182" t="s">
        <v>5994</v>
      </c>
      <c r="Q1182" t="s">
        <v>9049</v>
      </c>
      <c r="R1182" t="s">
        <v>6036</v>
      </c>
      <c r="S1182" s="3">
        <v>43312</v>
      </c>
      <c r="T1182" t="s">
        <v>9938</v>
      </c>
      <c r="U1182" t="s">
        <v>6052</v>
      </c>
      <c r="V1182" t="s">
        <v>9050</v>
      </c>
      <c r="W1182" t="s">
        <v>6038</v>
      </c>
      <c r="X1182" s="2">
        <v>640</v>
      </c>
      <c r="Y1182" t="s">
        <v>5858</v>
      </c>
      <c r="Z1182" t="s">
        <v>6037</v>
      </c>
      <c r="AA1182" s="2">
        <v>2000</v>
      </c>
      <c r="AB1182" t="s">
        <v>5863</v>
      </c>
      <c r="AC1182" t="s">
        <v>9974</v>
      </c>
      <c r="AD1182" s="32">
        <v>43241</v>
      </c>
      <c r="AJ1182" t="s">
        <v>9958</v>
      </c>
      <c r="AL1182" t="s">
        <v>11287</v>
      </c>
    </row>
    <row r="1183" spans="1:38">
      <c r="A1183" t="s">
        <v>8902</v>
      </c>
      <c r="B1183" t="s">
        <v>12469</v>
      </c>
      <c r="C1183" t="s">
        <v>9051</v>
      </c>
      <c r="D1183" t="s">
        <v>9052</v>
      </c>
      <c r="E1183" s="2">
        <v>1040</v>
      </c>
      <c r="F1183" s="2">
        <v>1040</v>
      </c>
      <c r="G1183" s="3">
        <v>43302</v>
      </c>
      <c r="H1183" s="4">
        <v>0.30234953703703998</v>
      </c>
      <c r="I1183" s="3">
        <v>43302</v>
      </c>
      <c r="J1183" s="4">
        <v>0.37005787037037002</v>
      </c>
      <c r="K1183" s="2">
        <v>20</v>
      </c>
      <c r="L1183" t="s">
        <v>5856</v>
      </c>
      <c r="M1183" t="s">
        <v>6945</v>
      </c>
      <c r="N1183" s="3">
        <v>43304</v>
      </c>
      <c r="O1183" s="3">
        <v>43304</v>
      </c>
      <c r="P1183" t="s">
        <v>5889</v>
      </c>
      <c r="Q1183" t="s">
        <v>9053</v>
      </c>
      <c r="R1183" t="s">
        <v>6036</v>
      </c>
      <c r="S1183" s="3">
        <v>43304</v>
      </c>
      <c r="T1183" t="s">
        <v>9938</v>
      </c>
      <c r="U1183" t="s">
        <v>5874</v>
      </c>
      <c r="V1183" t="s">
        <v>9054</v>
      </c>
      <c r="W1183" t="s">
        <v>5857</v>
      </c>
      <c r="X1183" s="2">
        <v>640</v>
      </c>
      <c r="Y1183" t="s">
        <v>5858</v>
      </c>
      <c r="Z1183" t="s">
        <v>6037</v>
      </c>
      <c r="AA1183" s="2">
        <v>1000</v>
      </c>
      <c r="AB1183" t="s">
        <v>5863</v>
      </c>
      <c r="AC1183" t="s">
        <v>9978</v>
      </c>
      <c r="AD1183" s="32">
        <v>43277</v>
      </c>
      <c r="AJ1183" t="s">
        <v>9958</v>
      </c>
      <c r="AL1183" t="s">
        <v>11288</v>
      </c>
    </row>
    <row r="1184" spans="1:38">
      <c r="A1184" t="s">
        <v>8902</v>
      </c>
      <c r="B1184" t="s">
        <v>12470</v>
      </c>
      <c r="C1184" t="s">
        <v>8926</v>
      </c>
      <c r="D1184" t="s">
        <v>8927</v>
      </c>
      <c r="E1184" s="2">
        <v>1040</v>
      </c>
      <c r="F1184" s="2">
        <v>1040</v>
      </c>
      <c r="G1184" s="3">
        <v>43302</v>
      </c>
      <c r="H1184" s="4">
        <v>0.39089120370370001</v>
      </c>
      <c r="I1184" s="3">
        <v>43302</v>
      </c>
      <c r="J1184" s="4">
        <v>0.45859953703703998</v>
      </c>
      <c r="K1184" s="2">
        <v>0</v>
      </c>
      <c r="L1184" t="s">
        <v>5856</v>
      </c>
      <c r="M1184" t="s">
        <v>6945</v>
      </c>
      <c r="N1184" s="3">
        <v>43304</v>
      </c>
      <c r="O1184" s="3">
        <v>43304</v>
      </c>
      <c r="P1184" t="s">
        <v>5971</v>
      </c>
      <c r="Q1184" t="s">
        <v>9055</v>
      </c>
      <c r="R1184" t="s">
        <v>6036</v>
      </c>
      <c r="S1184" s="3">
        <v>43304</v>
      </c>
      <c r="T1184" t="s">
        <v>9938</v>
      </c>
      <c r="U1184" t="s">
        <v>6093</v>
      </c>
      <c r="V1184" t="s">
        <v>8928</v>
      </c>
      <c r="W1184" t="s">
        <v>5857</v>
      </c>
      <c r="X1184" s="2">
        <v>640</v>
      </c>
      <c r="Y1184" t="s">
        <v>5858</v>
      </c>
      <c r="Z1184" t="s">
        <v>6037</v>
      </c>
      <c r="AA1184" s="2">
        <v>1000</v>
      </c>
      <c r="AB1184" t="s">
        <v>5863</v>
      </c>
      <c r="AC1184" t="s">
        <v>9974</v>
      </c>
      <c r="AD1184" s="32">
        <v>43278</v>
      </c>
      <c r="AJ1184" t="s">
        <v>9959</v>
      </c>
      <c r="AL1184" t="s">
        <v>11289</v>
      </c>
    </row>
    <row r="1185" spans="1:38">
      <c r="A1185" t="s">
        <v>8902</v>
      </c>
      <c r="B1185" t="s">
        <v>13452</v>
      </c>
      <c r="C1185" t="s">
        <v>9072</v>
      </c>
      <c r="D1185" t="s">
        <v>9073</v>
      </c>
      <c r="E1185" s="2">
        <v>4160</v>
      </c>
      <c r="F1185" s="2">
        <v>4160</v>
      </c>
      <c r="G1185" s="3">
        <v>43302</v>
      </c>
      <c r="H1185" s="4">
        <v>0.47943287037037002</v>
      </c>
      <c r="I1185" s="3">
        <v>43302</v>
      </c>
      <c r="J1185" s="4">
        <v>0.75026620370370001</v>
      </c>
      <c r="K1185" s="2">
        <v>0</v>
      </c>
      <c r="L1185" t="s">
        <v>5856</v>
      </c>
      <c r="M1185" t="s">
        <v>13453</v>
      </c>
      <c r="N1185" s="3">
        <v>43305</v>
      </c>
      <c r="O1185" s="3">
        <v>43304</v>
      </c>
      <c r="P1185" t="s">
        <v>5889</v>
      </c>
      <c r="Q1185" t="s">
        <v>13454</v>
      </c>
      <c r="R1185" t="s">
        <v>6036</v>
      </c>
      <c r="S1185" s="3">
        <v>43305</v>
      </c>
      <c r="T1185" t="s">
        <v>9938</v>
      </c>
      <c r="U1185" t="s">
        <v>9075</v>
      </c>
      <c r="V1185" t="s">
        <v>9076</v>
      </c>
      <c r="W1185" t="s">
        <v>5857</v>
      </c>
      <c r="X1185" s="2">
        <v>640</v>
      </c>
      <c r="Y1185" t="s">
        <v>5858</v>
      </c>
      <c r="Z1185" t="s">
        <v>6037</v>
      </c>
      <c r="AA1185" s="2">
        <v>4000</v>
      </c>
      <c r="AB1185" t="s">
        <v>5863</v>
      </c>
      <c r="AC1185" t="s">
        <v>9978</v>
      </c>
      <c r="AD1185" s="32">
        <v>43279</v>
      </c>
      <c r="AJ1185" t="s">
        <v>9958</v>
      </c>
      <c r="AL1185" t="s">
        <v>14161</v>
      </c>
    </row>
    <row r="1186" spans="1:38">
      <c r="A1186" t="s">
        <v>8902</v>
      </c>
      <c r="B1186" t="s">
        <v>13455</v>
      </c>
      <c r="C1186" t="s">
        <v>8911</v>
      </c>
      <c r="D1186" t="s">
        <v>8912</v>
      </c>
      <c r="E1186" s="2">
        <v>520</v>
      </c>
      <c r="F1186" s="2">
        <v>520</v>
      </c>
      <c r="G1186" s="3">
        <v>43302</v>
      </c>
      <c r="H1186" s="4">
        <v>0.77109953703704004</v>
      </c>
      <c r="I1186" s="3">
        <v>43302</v>
      </c>
      <c r="J1186" s="4">
        <v>0.80495370370370001</v>
      </c>
      <c r="K1186" s="2">
        <v>0</v>
      </c>
      <c r="L1186" t="s">
        <v>5856</v>
      </c>
      <c r="M1186" t="s">
        <v>8848</v>
      </c>
      <c r="N1186" s="3">
        <v>43305</v>
      </c>
      <c r="O1186" s="3">
        <v>43304</v>
      </c>
      <c r="P1186" t="s">
        <v>5967</v>
      </c>
      <c r="Q1186" t="s">
        <v>13456</v>
      </c>
      <c r="R1186" t="s">
        <v>6036</v>
      </c>
      <c r="S1186" s="3">
        <v>43305</v>
      </c>
      <c r="T1186" t="s">
        <v>9938</v>
      </c>
      <c r="U1186" t="s">
        <v>8914</v>
      </c>
      <c r="V1186" t="s">
        <v>8915</v>
      </c>
      <c r="W1186" t="s">
        <v>5857</v>
      </c>
      <c r="X1186" s="2">
        <v>640</v>
      </c>
      <c r="Y1186" t="s">
        <v>5858</v>
      </c>
      <c r="Z1186" t="s">
        <v>6037</v>
      </c>
      <c r="AA1186" s="2">
        <v>500</v>
      </c>
      <c r="AB1186" t="s">
        <v>5863</v>
      </c>
      <c r="AC1186" t="s">
        <v>9981</v>
      </c>
      <c r="AD1186" s="32">
        <v>43279</v>
      </c>
      <c r="AJ1186" t="s">
        <v>9958</v>
      </c>
      <c r="AL1186" t="s">
        <v>14162</v>
      </c>
    </row>
    <row r="1187" spans="1:38">
      <c r="A1187" t="s">
        <v>8902</v>
      </c>
      <c r="B1187" t="s">
        <v>13457</v>
      </c>
      <c r="C1187" t="s">
        <v>6077</v>
      </c>
      <c r="D1187" t="s">
        <v>5970</v>
      </c>
      <c r="E1187" s="2">
        <v>1040</v>
      </c>
      <c r="F1187" s="2">
        <v>1040</v>
      </c>
      <c r="G1187" s="3">
        <v>43302</v>
      </c>
      <c r="H1187" s="4">
        <v>0.82578703703704004</v>
      </c>
      <c r="I1187" s="3">
        <v>43302</v>
      </c>
      <c r="J1187" s="4">
        <v>0.89349537037036997</v>
      </c>
      <c r="K1187" s="2">
        <v>0</v>
      </c>
      <c r="L1187" t="s">
        <v>5856</v>
      </c>
      <c r="M1187" t="s">
        <v>6945</v>
      </c>
      <c r="N1187" s="3">
        <v>43307</v>
      </c>
      <c r="O1187" s="3">
        <v>43304</v>
      </c>
      <c r="P1187" t="s">
        <v>5971</v>
      </c>
      <c r="Q1187" t="s">
        <v>13458</v>
      </c>
      <c r="R1187" t="s">
        <v>6036</v>
      </c>
      <c r="S1187" s="3">
        <v>43307</v>
      </c>
      <c r="T1187" t="s">
        <v>9938</v>
      </c>
      <c r="U1187" t="s">
        <v>6052</v>
      </c>
      <c r="V1187" t="s">
        <v>5972</v>
      </c>
      <c r="W1187" t="s">
        <v>5857</v>
      </c>
      <c r="X1187" s="2">
        <v>640</v>
      </c>
      <c r="Y1187" t="s">
        <v>5858</v>
      </c>
      <c r="Z1187" t="s">
        <v>6037</v>
      </c>
      <c r="AA1187" s="2">
        <v>1000</v>
      </c>
      <c r="AB1187" t="s">
        <v>5863</v>
      </c>
      <c r="AC1187" t="s">
        <v>9974</v>
      </c>
      <c r="AD1187" s="32">
        <v>43279</v>
      </c>
      <c r="AJ1187" t="s">
        <v>9958</v>
      </c>
      <c r="AL1187" t="s">
        <v>14163</v>
      </c>
    </row>
    <row r="1188" spans="1:38">
      <c r="A1188" t="s">
        <v>8902</v>
      </c>
      <c r="B1188" t="s">
        <v>12472</v>
      </c>
      <c r="C1188" t="s">
        <v>6079</v>
      </c>
      <c r="D1188" t="s">
        <v>5979</v>
      </c>
      <c r="E1188" s="2">
        <v>2132</v>
      </c>
      <c r="F1188" s="2">
        <v>2132</v>
      </c>
      <c r="G1188" s="3">
        <v>43302</v>
      </c>
      <c r="H1188" s="4">
        <v>0.91432870370370001</v>
      </c>
      <c r="I1188" s="3">
        <v>43303</v>
      </c>
      <c r="J1188" s="4">
        <v>5.3136574074069999E-2</v>
      </c>
      <c r="K1188" s="2">
        <v>0</v>
      </c>
      <c r="L1188" t="s">
        <v>5856</v>
      </c>
      <c r="M1188" t="s">
        <v>9057</v>
      </c>
      <c r="N1188" s="3">
        <v>43305</v>
      </c>
      <c r="O1188" s="3">
        <v>43305</v>
      </c>
      <c r="P1188" t="s">
        <v>5971</v>
      </c>
      <c r="Q1188" t="s">
        <v>9058</v>
      </c>
      <c r="R1188" t="s">
        <v>6036</v>
      </c>
      <c r="S1188" s="3">
        <v>43305</v>
      </c>
      <c r="T1188" t="s">
        <v>9938</v>
      </c>
      <c r="U1188" t="s">
        <v>6054</v>
      </c>
      <c r="V1188" t="s">
        <v>6041</v>
      </c>
      <c r="W1188" t="s">
        <v>5857</v>
      </c>
      <c r="X1188" s="2">
        <v>640</v>
      </c>
      <c r="Y1188" t="s">
        <v>5858</v>
      </c>
      <c r="Z1188" t="s">
        <v>6037</v>
      </c>
      <c r="AA1188" s="2">
        <v>2050</v>
      </c>
      <c r="AB1188" t="s">
        <v>5863</v>
      </c>
      <c r="AC1188" t="s">
        <v>9974</v>
      </c>
      <c r="AD1188" s="32">
        <v>43277</v>
      </c>
      <c r="AI1188" t="s">
        <v>9939</v>
      </c>
      <c r="AJ1188" t="s">
        <v>9958</v>
      </c>
      <c r="AL1188" t="s">
        <v>11290</v>
      </c>
    </row>
    <row r="1189" spans="1:38">
      <c r="A1189" t="s">
        <v>8902</v>
      </c>
      <c r="B1189" t="s">
        <v>12473</v>
      </c>
      <c r="C1189" t="s">
        <v>9059</v>
      </c>
      <c r="D1189" t="s">
        <v>9060</v>
      </c>
      <c r="E1189" s="2">
        <v>2080</v>
      </c>
      <c r="F1189" s="2">
        <v>2080</v>
      </c>
      <c r="G1189" s="3">
        <v>43303</v>
      </c>
      <c r="H1189" s="4">
        <v>7.3969907407409996E-2</v>
      </c>
      <c r="I1189" s="3">
        <v>43303</v>
      </c>
      <c r="J1189" s="4">
        <v>0.20938657407406999</v>
      </c>
      <c r="K1189" s="2">
        <v>0</v>
      </c>
      <c r="L1189" t="s">
        <v>5856</v>
      </c>
      <c r="M1189" t="s">
        <v>8700</v>
      </c>
      <c r="N1189" s="3">
        <v>43306</v>
      </c>
      <c r="O1189" s="3">
        <v>43305</v>
      </c>
      <c r="P1189" t="s">
        <v>5889</v>
      </c>
      <c r="Q1189" t="s">
        <v>9061</v>
      </c>
      <c r="R1189" t="s">
        <v>6036</v>
      </c>
      <c r="S1189" s="3">
        <v>43306</v>
      </c>
      <c r="T1189" t="s">
        <v>9938</v>
      </c>
      <c r="U1189" t="s">
        <v>5894</v>
      </c>
      <c r="V1189" t="s">
        <v>9062</v>
      </c>
      <c r="W1189" t="s">
        <v>5857</v>
      </c>
      <c r="X1189" s="2">
        <v>640</v>
      </c>
      <c r="Y1189" t="s">
        <v>5858</v>
      </c>
      <c r="Z1189" t="s">
        <v>6037</v>
      </c>
      <c r="AA1189" s="2">
        <v>2000</v>
      </c>
      <c r="AB1189" t="s">
        <v>5863</v>
      </c>
      <c r="AC1189" t="s">
        <v>9978</v>
      </c>
      <c r="AD1189" s="32">
        <v>43278</v>
      </c>
      <c r="AJ1189" t="s">
        <v>9958</v>
      </c>
      <c r="AL1189" t="s">
        <v>11291</v>
      </c>
    </row>
    <row r="1190" spans="1:38">
      <c r="A1190" t="s">
        <v>8902</v>
      </c>
      <c r="B1190" t="s">
        <v>12474</v>
      </c>
      <c r="C1190" t="s">
        <v>9063</v>
      </c>
      <c r="D1190" t="s">
        <v>9064</v>
      </c>
      <c r="E1190" s="2">
        <v>312</v>
      </c>
      <c r="F1190" s="2">
        <v>312</v>
      </c>
      <c r="G1190" s="3">
        <v>43303</v>
      </c>
      <c r="H1190" s="4">
        <v>0.23021990740741</v>
      </c>
      <c r="I1190" s="3">
        <v>43303</v>
      </c>
      <c r="J1190" s="4">
        <v>0.25053240740741001</v>
      </c>
      <c r="K1190" s="2">
        <v>0</v>
      </c>
      <c r="L1190" t="s">
        <v>5856</v>
      </c>
      <c r="M1190" t="s">
        <v>8790</v>
      </c>
      <c r="N1190" s="3">
        <v>43306</v>
      </c>
      <c r="O1190" s="3">
        <v>43305</v>
      </c>
      <c r="P1190" t="s">
        <v>5889</v>
      </c>
      <c r="Q1190" t="s">
        <v>9065</v>
      </c>
      <c r="R1190" t="s">
        <v>6036</v>
      </c>
      <c r="S1190" s="3">
        <v>43306</v>
      </c>
      <c r="T1190" t="s">
        <v>9938</v>
      </c>
      <c r="U1190" t="s">
        <v>5893</v>
      </c>
      <c r="V1190" t="s">
        <v>5995</v>
      </c>
      <c r="W1190" t="s">
        <v>5857</v>
      </c>
      <c r="X1190" s="2">
        <v>640</v>
      </c>
      <c r="Y1190" t="s">
        <v>5858</v>
      </c>
      <c r="Z1190" t="s">
        <v>6037</v>
      </c>
      <c r="AA1190" s="2">
        <v>300</v>
      </c>
      <c r="AB1190" t="s">
        <v>5863</v>
      </c>
      <c r="AC1190" t="s">
        <v>9978</v>
      </c>
      <c r="AD1190" s="32">
        <v>43278</v>
      </c>
      <c r="AJ1190" t="s">
        <v>9958</v>
      </c>
      <c r="AL1190" t="s">
        <v>11292</v>
      </c>
    </row>
    <row r="1191" spans="1:38">
      <c r="A1191" t="s">
        <v>8902</v>
      </c>
      <c r="B1191" t="s">
        <v>12475</v>
      </c>
      <c r="C1191" t="s">
        <v>8227</v>
      </c>
      <c r="D1191" t="s">
        <v>8228</v>
      </c>
      <c r="E1191" s="2">
        <v>10400</v>
      </c>
      <c r="F1191" s="2">
        <v>10400</v>
      </c>
      <c r="G1191" s="3">
        <v>43303</v>
      </c>
      <c r="H1191" s="4">
        <v>0.27136574074073999</v>
      </c>
      <c r="I1191" s="3">
        <v>43303</v>
      </c>
      <c r="J1191" s="4">
        <v>0.94844907407406998</v>
      </c>
      <c r="K1191" s="2">
        <v>20</v>
      </c>
      <c r="L1191" t="s">
        <v>5856</v>
      </c>
      <c r="M1191" t="s">
        <v>8724</v>
      </c>
      <c r="N1191" s="3">
        <v>43306</v>
      </c>
      <c r="O1191" s="3">
        <v>43305</v>
      </c>
      <c r="P1191" t="s">
        <v>5883</v>
      </c>
      <c r="Q1191" t="s">
        <v>9066</v>
      </c>
      <c r="R1191" t="s">
        <v>6036</v>
      </c>
      <c r="S1191" s="3">
        <v>43306</v>
      </c>
      <c r="T1191" t="s">
        <v>9938</v>
      </c>
      <c r="U1191" t="s">
        <v>7483</v>
      </c>
      <c r="V1191" t="s">
        <v>8230</v>
      </c>
      <c r="W1191" t="s">
        <v>5857</v>
      </c>
      <c r="X1191" s="2">
        <v>640</v>
      </c>
      <c r="Y1191" t="s">
        <v>5858</v>
      </c>
      <c r="Z1191" t="s">
        <v>6037</v>
      </c>
      <c r="AA1191" s="2">
        <v>10000</v>
      </c>
      <c r="AB1191" t="s">
        <v>5863</v>
      </c>
      <c r="AC1191" t="s">
        <v>9978</v>
      </c>
      <c r="AD1191" s="32">
        <v>43278</v>
      </c>
      <c r="AJ1191" t="s">
        <v>9958</v>
      </c>
      <c r="AL1191" t="s">
        <v>11293</v>
      </c>
    </row>
    <row r="1192" spans="1:38">
      <c r="A1192" t="s">
        <v>8902</v>
      </c>
      <c r="B1192" t="s">
        <v>12476</v>
      </c>
      <c r="C1192" t="s">
        <v>6087</v>
      </c>
      <c r="D1192" t="s">
        <v>6000</v>
      </c>
      <c r="E1192" s="2">
        <v>20000</v>
      </c>
      <c r="F1192" s="2">
        <v>20000</v>
      </c>
      <c r="G1192" s="3">
        <v>43303</v>
      </c>
      <c r="H1192" s="4">
        <v>0.96928240740741001</v>
      </c>
      <c r="I1192" s="3">
        <v>43305</v>
      </c>
      <c r="J1192" s="4">
        <v>0.27136574074073999</v>
      </c>
      <c r="K1192" s="2">
        <v>0</v>
      </c>
      <c r="L1192" t="s">
        <v>5856</v>
      </c>
      <c r="M1192" t="s">
        <v>8802</v>
      </c>
      <c r="N1192" s="3">
        <v>43307</v>
      </c>
      <c r="O1192" s="3">
        <v>43307</v>
      </c>
      <c r="P1192" t="s">
        <v>5881</v>
      </c>
      <c r="Q1192" t="s">
        <v>9067</v>
      </c>
      <c r="R1192" t="s">
        <v>6036</v>
      </c>
      <c r="S1192" s="3">
        <v>43307</v>
      </c>
      <c r="T1192" t="s">
        <v>9938</v>
      </c>
      <c r="U1192" t="s">
        <v>5882</v>
      </c>
      <c r="V1192" t="s">
        <v>6001</v>
      </c>
      <c r="W1192" t="s">
        <v>5857</v>
      </c>
      <c r="X1192" s="2">
        <v>640</v>
      </c>
      <c r="Y1192" t="s">
        <v>5858</v>
      </c>
      <c r="Z1192" t="s">
        <v>6037</v>
      </c>
      <c r="AA1192" s="2">
        <v>20000</v>
      </c>
      <c r="AB1192" t="s">
        <v>5863</v>
      </c>
      <c r="AC1192" t="s">
        <v>9978</v>
      </c>
      <c r="AD1192" s="32">
        <v>43270</v>
      </c>
      <c r="AJ1192" t="s">
        <v>9958</v>
      </c>
      <c r="AL1192" t="s">
        <v>11294</v>
      </c>
    </row>
    <row r="1193" spans="1:38">
      <c r="A1193" t="s">
        <v>8902</v>
      </c>
      <c r="B1193" t="s">
        <v>12477</v>
      </c>
      <c r="C1193" t="s">
        <v>6076</v>
      </c>
      <c r="D1193" t="s">
        <v>5966</v>
      </c>
      <c r="E1193" s="2">
        <v>600</v>
      </c>
      <c r="F1193" s="2">
        <v>600</v>
      </c>
      <c r="G1193" s="3">
        <v>43305</v>
      </c>
      <c r="H1193" s="4">
        <v>0.29219907407406998</v>
      </c>
      <c r="I1193" s="3">
        <v>43305</v>
      </c>
      <c r="J1193" s="4">
        <v>0.33126157407406998</v>
      </c>
      <c r="K1193" s="2">
        <v>0</v>
      </c>
      <c r="L1193" t="s">
        <v>5856</v>
      </c>
      <c r="M1193" t="s">
        <v>9068</v>
      </c>
      <c r="N1193" s="3">
        <v>43307</v>
      </c>
      <c r="O1193" s="3">
        <v>43307</v>
      </c>
      <c r="P1193" t="s">
        <v>5967</v>
      </c>
      <c r="Q1193" t="s">
        <v>9069</v>
      </c>
      <c r="R1193" t="s">
        <v>6036</v>
      </c>
      <c r="S1193" s="3">
        <v>43307</v>
      </c>
      <c r="T1193" t="s">
        <v>9938</v>
      </c>
      <c r="U1193" t="s">
        <v>5968</v>
      </c>
      <c r="V1193" t="s">
        <v>5969</v>
      </c>
      <c r="W1193" t="s">
        <v>5857</v>
      </c>
      <c r="X1193" s="2">
        <v>640</v>
      </c>
      <c r="Y1193" t="s">
        <v>5858</v>
      </c>
      <c r="Z1193" t="s">
        <v>6037</v>
      </c>
      <c r="AA1193" s="2">
        <v>600</v>
      </c>
      <c r="AB1193" t="s">
        <v>5863</v>
      </c>
      <c r="AC1193" t="s">
        <v>9981</v>
      </c>
      <c r="AD1193" s="32">
        <v>43273</v>
      </c>
      <c r="AJ1193" t="s">
        <v>9958</v>
      </c>
      <c r="AL1193" t="s">
        <v>11295</v>
      </c>
    </row>
    <row r="1194" spans="1:38">
      <c r="A1194" t="s">
        <v>8902</v>
      </c>
      <c r="B1194" t="s">
        <v>12478</v>
      </c>
      <c r="C1194" t="s">
        <v>7063</v>
      </c>
      <c r="D1194" t="s">
        <v>7064</v>
      </c>
      <c r="E1194" s="2">
        <v>7700</v>
      </c>
      <c r="F1194" s="2">
        <v>7700</v>
      </c>
      <c r="G1194" s="3">
        <v>43305</v>
      </c>
      <c r="H1194" s="4">
        <v>0.35209490740741001</v>
      </c>
      <c r="I1194" s="3">
        <v>43305</v>
      </c>
      <c r="J1194" s="4">
        <v>0.85340277777777995</v>
      </c>
      <c r="K1194" s="2">
        <v>20</v>
      </c>
      <c r="L1194" t="s">
        <v>5856</v>
      </c>
      <c r="M1194" t="s">
        <v>9070</v>
      </c>
      <c r="N1194" s="3">
        <v>43307</v>
      </c>
      <c r="O1194" s="3">
        <v>43307</v>
      </c>
      <c r="P1194" t="s">
        <v>5889</v>
      </c>
      <c r="Q1194" t="s">
        <v>9071</v>
      </c>
      <c r="R1194" t="s">
        <v>6036</v>
      </c>
      <c r="S1194" s="3">
        <v>43307</v>
      </c>
      <c r="T1194" t="s">
        <v>9938</v>
      </c>
      <c r="U1194" t="s">
        <v>5987</v>
      </c>
      <c r="V1194" t="s">
        <v>7066</v>
      </c>
      <c r="W1194" t="s">
        <v>5857</v>
      </c>
      <c r="X1194" s="2">
        <v>640</v>
      </c>
      <c r="Y1194" t="s">
        <v>5858</v>
      </c>
      <c r="Z1194" t="s">
        <v>6037</v>
      </c>
      <c r="AA1194" s="2">
        <v>7700</v>
      </c>
      <c r="AB1194" t="s">
        <v>5863</v>
      </c>
      <c r="AC1194" t="s">
        <v>9978</v>
      </c>
      <c r="AD1194" s="32">
        <v>43264</v>
      </c>
      <c r="AJ1194" t="s">
        <v>9958</v>
      </c>
      <c r="AL1194" t="s">
        <v>11296</v>
      </c>
    </row>
    <row r="1195" spans="1:38">
      <c r="A1195" t="s">
        <v>8902</v>
      </c>
      <c r="B1195" t="s">
        <v>13459</v>
      </c>
      <c r="C1195" t="s">
        <v>13460</v>
      </c>
      <c r="D1195" t="s">
        <v>13461</v>
      </c>
      <c r="E1195" s="2">
        <v>2080</v>
      </c>
      <c r="F1195" s="2">
        <v>2080</v>
      </c>
      <c r="G1195" s="3">
        <v>43306</v>
      </c>
      <c r="H1195" s="4">
        <v>0.86458333333333004</v>
      </c>
      <c r="I1195" s="3">
        <v>43307</v>
      </c>
      <c r="J1195" s="4">
        <v>0</v>
      </c>
      <c r="K1195" s="2">
        <v>0</v>
      </c>
      <c r="L1195" t="s">
        <v>5856</v>
      </c>
      <c r="M1195" t="s">
        <v>8700</v>
      </c>
      <c r="N1195" s="3">
        <v>43311</v>
      </c>
      <c r="O1195" s="3">
        <v>43308</v>
      </c>
      <c r="P1195" t="s">
        <v>5971</v>
      </c>
      <c r="Q1195" t="s">
        <v>13462</v>
      </c>
      <c r="R1195" t="s">
        <v>6036</v>
      </c>
      <c r="S1195" s="3">
        <v>43311</v>
      </c>
      <c r="T1195" t="s">
        <v>9938</v>
      </c>
      <c r="U1195" t="s">
        <v>13463</v>
      </c>
      <c r="V1195" t="s">
        <v>6041</v>
      </c>
      <c r="W1195" t="s">
        <v>5857</v>
      </c>
      <c r="X1195" s="2">
        <v>640</v>
      </c>
      <c r="Y1195" t="s">
        <v>5858</v>
      </c>
      <c r="Z1195" t="s">
        <v>6037</v>
      </c>
      <c r="AA1195" s="2">
        <v>2000</v>
      </c>
      <c r="AB1195" t="s">
        <v>5863</v>
      </c>
      <c r="AC1195" t="s">
        <v>9974</v>
      </c>
      <c r="AD1195" s="32">
        <v>43280</v>
      </c>
      <c r="AJ1195" t="s">
        <v>9959</v>
      </c>
      <c r="AL1195" t="s">
        <v>14164</v>
      </c>
    </row>
    <row r="1196" spans="1:38">
      <c r="A1196" t="s">
        <v>8902</v>
      </c>
      <c r="B1196" t="s">
        <v>12479</v>
      </c>
      <c r="C1196" t="s">
        <v>9072</v>
      </c>
      <c r="D1196" t="s">
        <v>9073</v>
      </c>
      <c r="E1196" s="2">
        <v>1000</v>
      </c>
      <c r="F1196" s="2">
        <v>1000</v>
      </c>
      <c r="G1196" s="3">
        <v>43308</v>
      </c>
      <c r="H1196" s="4">
        <v>0.26302083333332998</v>
      </c>
      <c r="I1196" s="3">
        <v>43308</v>
      </c>
      <c r="J1196" s="4">
        <v>0.328125</v>
      </c>
      <c r="K1196" s="2">
        <v>0</v>
      </c>
      <c r="L1196" t="s">
        <v>5856</v>
      </c>
      <c r="M1196" t="s">
        <v>8784</v>
      </c>
      <c r="N1196" s="3">
        <v>43311</v>
      </c>
      <c r="O1196" s="3">
        <v>43310</v>
      </c>
      <c r="P1196" t="s">
        <v>5889</v>
      </c>
      <c r="Q1196" t="s">
        <v>9074</v>
      </c>
      <c r="R1196" t="s">
        <v>6036</v>
      </c>
      <c r="S1196" s="3">
        <v>43311</v>
      </c>
      <c r="T1196" t="s">
        <v>9938</v>
      </c>
      <c r="U1196" t="s">
        <v>9075</v>
      </c>
      <c r="V1196" t="s">
        <v>9076</v>
      </c>
      <c r="W1196" t="s">
        <v>5857</v>
      </c>
      <c r="X1196" s="2">
        <v>640</v>
      </c>
      <c r="Y1196" t="s">
        <v>5858</v>
      </c>
      <c r="Z1196" t="s">
        <v>6037</v>
      </c>
      <c r="AA1196" s="2">
        <v>1000</v>
      </c>
      <c r="AB1196" t="s">
        <v>5863</v>
      </c>
      <c r="AC1196" t="s">
        <v>9978</v>
      </c>
      <c r="AD1196" s="32">
        <v>43273</v>
      </c>
      <c r="AJ1196" t="s">
        <v>9958</v>
      </c>
      <c r="AL1196" t="s">
        <v>11297</v>
      </c>
    </row>
    <row r="1197" spans="1:38">
      <c r="A1197" t="s">
        <v>8902</v>
      </c>
      <c r="B1197" t="s">
        <v>12480</v>
      </c>
      <c r="C1197" t="s">
        <v>9004</v>
      </c>
      <c r="D1197" t="s">
        <v>9005</v>
      </c>
      <c r="E1197" s="2">
        <v>10000</v>
      </c>
      <c r="F1197" s="2">
        <v>10000</v>
      </c>
      <c r="G1197" s="3">
        <v>43308</v>
      </c>
      <c r="H1197" s="4">
        <v>0.34895833333332998</v>
      </c>
      <c r="I1197" s="3">
        <v>43309</v>
      </c>
      <c r="J1197" s="4">
        <v>0</v>
      </c>
      <c r="K1197" s="2">
        <v>20</v>
      </c>
      <c r="L1197" t="s">
        <v>5856</v>
      </c>
      <c r="M1197" t="s">
        <v>8850</v>
      </c>
      <c r="N1197" s="3">
        <v>43311</v>
      </c>
      <c r="O1197" s="3">
        <v>43310</v>
      </c>
      <c r="P1197" t="s">
        <v>5889</v>
      </c>
      <c r="Q1197" t="s">
        <v>9077</v>
      </c>
      <c r="R1197" t="s">
        <v>6036</v>
      </c>
      <c r="S1197" s="3">
        <v>43311</v>
      </c>
      <c r="T1197" t="s">
        <v>9938</v>
      </c>
      <c r="U1197" t="s">
        <v>5874</v>
      </c>
      <c r="V1197" t="s">
        <v>9007</v>
      </c>
      <c r="W1197" t="s">
        <v>5857</v>
      </c>
      <c r="X1197" s="2">
        <v>640</v>
      </c>
      <c r="Y1197" t="s">
        <v>5858</v>
      </c>
      <c r="Z1197" t="s">
        <v>6037</v>
      </c>
      <c r="AA1197" s="2">
        <v>10000</v>
      </c>
      <c r="AB1197" t="s">
        <v>5863</v>
      </c>
      <c r="AC1197" t="s">
        <v>9978</v>
      </c>
      <c r="AD1197" s="32">
        <v>43263</v>
      </c>
      <c r="AJ1197" t="s">
        <v>9958</v>
      </c>
      <c r="AL1197" t="s">
        <v>11298</v>
      </c>
    </row>
    <row r="1198" spans="1:38">
      <c r="A1198" t="s">
        <v>8902</v>
      </c>
      <c r="B1198" t="s">
        <v>12481</v>
      </c>
      <c r="C1198" t="s">
        <v>9008</v>
      </c>
      <c r="D1198" t="s">
        <v>9009</v>
      </c>
      <c r="E1198" s="2">
        <v>1000</v>
      </c>
      <c r="F1198" s="2">
        <v>1000</v>
      </c>
      <c r="G1198" s="3">
        <v>43309</v>
      </c>
      <c r="H1198" s="4">
        <v>0.78385416666666996</v>
      </c>
      <c r="I1198" s="3">
        <v>43309</v>
      </c>
      <c r="J1198" s="4">
        <v>0.84895833333333004</v>
      </c>
      <c r="K1198" s="2">
        <v>20</v>
      </c>
      <c r="L1198" t="s">
        <v>5856</v>
      </c>
      <c r="M1198" t="s">
        <v>8784</v>
      </c>
      <c r="N1198" s="3">
        <v>43312</v>
      </c>
      <c r="O1198" s="3">
        <v>43311</v>
      </c>
      <c r="P1198" t="s">
        <v>6026</v>
      </c>
      <c r="Q1198" t="s">
        <v>9078</v>
      </c>
      <c r="R1198" t="s">
        <v>6036</v>
      </c>
      <c r="S1198" s="3">
        <v>43312</v>
      </c>
      <c r="T1198" t="s">
        <v>9938</v>
      </c>
      <c r="U1198" t="s">
        <v>6582</v>
      </c>
      <c r="V1198" t="s">
        <v>9011</v>
      </c>
      <c r="W1198" t="s">
        <v>5857</v>
      </c>
      <c r="X1198" s="2">
        <v>640</v>
      </c>
      <c r="Y1198" t="s">
        <v>5858</v>
      </c>
      <c r="Z1198" t="s">
        <v>6037</v>
      </c>
      <c r="AA1198" s="2">
        <v>1000</v>
      </c>
      <c r="AB1198" t="s">
        <v>5863</v>
      </c>
      <c r="AC1198" t="s">
        <v>9976</v>
      </c>
      <c r="AD1198" s="32">
        <v>43265</v>
      </c>
      <c r="AJ1198" t="s">
        <v>9958</v>
      </c>
      <c r="AL1198" t="s">
        <v>11299</v>
      </c>
    </row>
    <row r="1199" spans="1:38">
      <c r="A1199" t="s">
        <v>8902</v>
      </c>
      <c r="B1199" t="s">
        <v>12482</v>
      </c>
      <c r="C1199" t="s">
        <v>9079</v>
      </c>
      <c r="D1199" t="s">
        <v>9080</v>
      </c>
      <c r="E1199" s="2">
        <v>2000</v>
      </c>
      <c r="F1199" s="2">
        <v>2000</v>
      </c>
      <c r="G1199" s="3">
        <v>43309</v>
      </c>
      <c r="H1199" s="4">
        <v>0.86979166666666996</v>
      </c>
      <c r="I1199" s="3">
        <v>43310</v>
      </c>
      <c r="J1199" s="4">
        <v>0</v>
      </c>
      <c r="K1199" s="2">
        <v>0</v>
      </c>
      <c r="L1199" t="s">
        <v>5856</v>
      </c>
      <c r="M1199" t="s">
        <v>8853</v>
      </c>
      <c r="N1199" s="3">
        <v>43312</v>
      </c>
      <c r="O1199" s="3">
        <v>43311</v>
      </c>
      <c r="P1199" t="s">
        <v>6026</v>
      </c>
      <c r="Q1199" t="s">
        <v>9081</v>
      </c>
      <c r="R1199" t="s">
        <v>6036</v>
      </c>
      <c r="S1199" s="3">
        <v>43312</v>
      </c>
      <c r="T1199" t="s">
        <v>9938</v>
      </c>
      <c r="U1199" t="s">
        <v>6600</v>
      </c>
      <c r="V1199" t="s">
        <v>9082</v>
      </c>
      <c r="W1199" t="s">
        <v>5857</v>
      </c>
      <c r="X1199" s="2">
        <v>640</v>
      </c>
      <c r="Y1199" t="s">
        <v>5858</v>
      </c>
      <c r="Z1199" t="s">
        <v>6037</v>
      </c>
      <c r="AA1199" s="2">
        <v>2000</v>
      </c>
      <c r="AB1199" t="s">
        <v>5863</v>
      </c>
      <c r="AC1199" t="s">
        <v>9976</v>
      </c>
      <c r="AD1199" s="32">
        <v>43251</v>
      </c>
      <c r="AJ1199" t="s">
        <v>9958</v>
      </c>
      <c r="AL1199" t="s">
        <v>11300</v>
      </c>
    </row>
    <row r="1200" spans="1:38">
      <c r="A1200" t="s">
        <v>8902</v>
      </c>
      <c r="B1200" t="s">
        <v>12483</v>
      </c>
      <c r="C1200" t="s">
        <v>7063</v>
      </c>
      <c r="D1200" t="s">
        <v>7064</v>
      </c>
      <c r="E1200" s="2">
        <v>1000</v>
      </c>
      <c r="F1200" s="2">
        <v>1000</v>
      </c>
      <c r="G1200" s="3">
        <v>43310</v>
      </c>
      <c r="H1200" s="4">
        <v>0.93489583333333004</v>
      </c>
      <c r="I1200" s="3">
        <v>43311</v>
      </c>
      <c r="J1200" s="4">
        <v>0</v>
      </c>
      <c r="K1200" s="2">
        <v>0</v>
      </c>
      <c r="L1200" t="s">
        <v>5856</v>
      </c>
      <c r="M1200" t="s">
        <v>8784</v>
      </c>
      <c r="N1200" s="3">
        <v>43313</v>
      </c>
      <c r="O1200" s="3">
        <v>43312</v>
      </c>
      <c r="P1200" t="s">
        <v>5889</v>
      </c>
      <c r="Q1200" t="s">
        <v>9083</v>
      </c>
      <c r="R1200" t="s">
        <v>6036</v>
      </c>
      <c r="S1200" s="3">
        <v>43313</v>
      </c>
      <c r="T1200" t="s">
        <v>9938</v>
      </c>
      <c r="U1200" t="s">
        <v>5987</v>
      </c>
      <c r="V1200" t="s">
        <v>7066</v>
      </c>
      <c r="W1200" t="s">
        <v>5857</v>
      </c>
      <c r="X1200" s="2">
        <v>640</v>
      </c>
      <c r="Y1200" t="s">
        <v>5858</v>
      </c>
      <c r="Z1200" t="s">
        <v>6037</v>
      </c>
      <c r="AA1200" s="2">
        <v>1000</v>
      </c>
      <c r="AB1200" t="s">
        <v>5863</v>
      </c>
      <c r="AC1200" t="s">
        <v>9978</v>
      </c>
      <c r="AD1200" s="32">
        <v>43272</v>
      </c>
      <c r="AJ1200" t="s">
        <v>9958</v>
      </c>
      <c r="AL1200" t="s">
        <v>11301</v>
      </c>
    </row>
    <row r="1201" spans="1:38">
      <c r="A1201" t="s">
        <v>8902</v>
      </c>
      <c r="B1201" t="s">
        <v>12484</v>
      </c>
      <c r="C1201" t="s">
        <v>7063</v>
      </c>
      <c r="D1201" t="s">
        <v>7064</v>
      </c>
      <c r="E1201" s="2">
        <v>1000</v>
      </c>
      <c r="F1201" s="2">
        <v>1000</v>
      </c>
      <c r="G1201" s="3">
        <v>43312</v>
      </c>
      <c r="H1201" s="4">
        <v>0.93489583333333004</v>
      </c>
      <c r="I1201" s="3">
        <v>43313</v>
      </c>
      <c r="J1201" s="4">
        <v>0</v>
      </c>
      <c r="K1201" s="2">
        <v>0</v>
      </c>
      <c r="L1201" t="s">
        <v>5856</v>
      </c>
      <c r="M1201" t="s">
        <v>8784</v>
      </c>
      <c r="N1201" s="3">
        <v>43315</v>
      </c>
      <c r="O1201" s="3">
        <v>43314</v>
      </c>
      <c r="P1201" t="s">
        <v>5889</v>
      </c>
      <c r="Q1201" t="s">
        <v>9084</v>
      </c>
      <c r="R1201" t="s">
        <v>6036</v>
      </c>
      <c r="S1201" s="3">
        <v>43315</v>
      </c>
      <c r="T1201" t="s">
        <v>9938</v>
      </c>
      <c r="U1201" t="s">
        <v>5987</v>
      </c>
      <c r="V1201" t="s">
        <v>7066</v>
      </c>
      <c r="W1201" t="s">
        <v>5857</v>
      </c>
      <c r="X1201" s="2">
        <v>640</v>
      </c>
      <c r="Y1201" t="s">
        <v>5858</v>
      </c>
      <c r="Z1201" t="s">
        <v>6037</v>
      </c>
      <c r="AA1201" s="2">
        <v>1000</v>
      </c>
      <c r="AB1201" t="s">
        <v>5863</v>
      </c>
      <c r="AC1201" t="s">
        <v>9978</v>
      </c>
      <c r="AD1201" s="32">
        <v>43272</v>
      </c>
      <c r="AJ1201" t="s">
        <v>9958</v>
      </c>
      <c r="AL1201" t="s">
        <v>11302</v>
      </c>
    </row>
    <row r="1202" spans="1:38">
      <c r="A1202" t="s">
        <v>8902</v>
      </c>
      <c r="B1202" t="s">
        <v>12485</v>
      </c>
      <c r="C1202" t="s">
        <v>9085</v>
      </c>
      <c r="D1202" t="s">
        <v>9086</v>
      </c>
      <c r="E1202" s="2">
        <v>500</v>
      </c>
      <c r="F1202" s="2">
        <v>500</v>
      </c>
      <c r="G1202" s="3">
        <v>43315</v>
      </c>
      <c r="H1202" s="4">
        <v>0.96744212962963005</v>
      </c>
      <c r="I1202" s="3">
        <v>43316</v>
      </c>
      <c r="J1202" s="4">
        <v>0</v>
      </c>
      <c r="K1202" s="2">
        <v>0</v>
      </c>
      <c r="L1202" t="s">
        <v>5856</v>
      </c>
      <c r="M1202" t="s">
        <v>8798</v>
      </c>
      <c r="N1202" s="3">
        <v>43318</v>
      </c>
      <c r="O1202" s="3">
        <v>43317</v>
      </c>
      <c r="P1202" t="s">
        <v>5971</v>
      </c>
      <c r="Q1202" t="s">
        <v>9087</v>
      </c>
      <c r="R1202" t="s">
        <v>6036</v>
      </c>
      <c r="S1202" s="3">
        <v>43318</v>
      </c>
      <c r="T1202" t="s">
        <v>9938</v>
      </c>
      <c r="U1202" t="s">
        <v>6063</v>
      </c>
      <c r="V1202" t="s">
        <v>6041</v>
      </c>
      <c r="W1202" t="s">
        <v>5857</v>
      </c>
      <c r="X1202" s="2">
        <v>640</v>
      </c>
      <c r="Y1202" t="s">
        <v>5858</v>
      </c>
      <c r="Z1202" t="s">
        <v>6037</v>
      </c>
      <c r="AA1202" s="2">
        <v>500</v>
      </c>
      <c r="AB1202" t="s">
        <v>5863</v>
      </c>
      <c r="AC1202" t="s">
        <v>9974</v>
      </c>
      <c r="AD1202" s="32">
        <v>43257</v>
      </c>
      <c r="AJ1202" t="s">
        <v>9958</v>
      </c>
      <c r="AL1202" t="s">
        <v>14165</v>
      </c>
    </row>
    <row r="1203" spans="1:38">
      <c r="A1203" t="s">
        <v>8902</v>
      </c>
      <c r="B1203" t="s">
        <v>13464</v>
      </c>
      <c r="C1203" t="s">
        <v>7001</v>
      </c>
      <c r="D1203" t="s">
        <v>7002</v>
      </c>
      <c r="E1203" s="2">
        <v>2054</v>
      </c>
      <c r="F1203" s="2">
        <v>2054</v>
      </c>
      <c r="G1203" s="3">
        <v>43318</v>
      </c>
      <c r="H1203" s="4">
        <v>0.75950231481481001</v>
      </c>
      <c r="I1203" s="3">
        <v>43318</v>
      </c>
      <c r="J1203" s="4">
        <v>0.89322916666666996</v>
      </c>
      <c r="K1203" s="2">
        <v>0</v>
      </c>
      <c r="L1203" t="s">
        <v>5856</v>
      </c>
      <c r="M1203" t="s">
        <v>13465</v>
      </c>
      <c r="N1203" s="3">
        <v>43321</v>
      </c>
      <c r="O1203" s="3">
        <v>43320</v>
      </c>
      <c r="P1203" t="s">
        <v>5869</v>
      </c>
      <c r="Q1203" t="s">
        <v>13466</v>
      </c>
      <c r="R1203" t="s">
        <v>6036</v>
      </c>
      <c r="S1203" s="3">
        <v>43321</v>
      </c>
      <c r="T1203" t="s">
        <v>9938</v>
      </c>
      <c r="U1203" t="s">
        <v>7004</v>
      </c>
      <c r="V1203" t="s">
        <v>7005</v>
      </c>
      <c r="W1203" t="s">
        <v>5857</v>
      </c>
      <c r="X1203" s="2">
        <v>640</v>
      </c>
      <c r="Y1203" t="s">
        <v>5858</v>
      </c>
      <c r="Z1203" t="s">
        <v>6037</v>
      </c>
      <c r="AA1203" s="2">
        <v>1975</v>
      </c>
      <c r="AB1203" t="s">
        <v>5863</v>
      </c>
      <c r="AC1203" t="s">
        <v>9974</v>
      </c>
      <c r="AD1203" s="32">
        <v>43280</v>
      </c>
      <c r="AJ1203" t="s">
        <v>9957</v>
      </c>
      <c r="AL1203" t="s">
        <v>14166</v>
      </c>
    </row>
    <row r="1204" spans="1:38">
      <c r="A1204" t="s">
        <v>8902</v>
      </c>
      <c r="B1204" t="s">
        <v>12486</v>
      </c>
      <c r="C1204" t="s">
        <v>9004</v>
      </c>
      <c r="D1204" t="s">
        <v>9005</v>
      </c>
      <c r="E1204" s="2">
        <v>10400</v>
      </c>
      <c r="F1204" s="2">
        <v>10400</v>
      </c>
      <c r="G1204" s="3">
        <v>43318</v>
      </c>
      <c r="H1204" s="4">
        <v>0.9140625</v>
      </c>
      <c r="I1204" s="3">
        <v>43319</v>
      </c>
      <c r="J1204" s="4">
        <v>0.59114583333333004</v>
      </c>
      <c r="K1204" s="2">
        <v>20</v>
      </c>
      <c r="L1204" t="s">
        <v>5856</v>
      </c>
      <c r="M1204" t="s">
        <v>8724</v>
      </c>
      <c r="N1204" s="3">
        <v>43322</v>
      </c>
      <c r="O1204" s="3">
        <v>43321</v>
      </c>
      <c r="P1204" t="s">
        <v>5889</v>
      </c>
      <c r="Q1204" t="s">
        <v>9088</v>
      </c>
      <c r="R1204" t="s">
        <v>6036</v>
      </c>
      <c r="S1204" s="3">
        <v>43322</v>
      </c>
      <c r="T1204" t="s">
        <v>9938</v>
      </c>
      <c r="U1204" t="s">
        <v>5874</v>
      </c>
      <c r="V1204" t="s">
        <v>9007</v>
      </c>
      <c r="W1204" t="s">
        <v>5857</v>
      </c>
      <c r="X1204" s="2">
        <v>640</v>
      </c>
      <c r="Y1204" t="s">
        <v>5858</v>
      </c>
      <c r="Z1204" t="s">
        <v>6037</v>
      </c>
      <c r="AA1204" s="2">
        <v>10000</v>
      </c>
      <c r="AB1204" t="s">
        <v>5863</v>
      </c>
      <c r="AC1204" t="s">
        <v>9978</v>
      </c>
      <c r="AD1204" s="32">
        <v>43276</v>
      </c>
      <c r="AJ1204" t="s">
        <v>9958</v>
      </c>
      <c r="AL1204" t="s">
        <v>11304</v>
      </c>
    </row>
    <row r="1205" spans="1:38">
      <c r="A1205" t="s">
        <v>8902</v>
      </c>
      <c r="B1205" t="s">
        <v>13467</v>
      </c>
      <c r="C1205" t="s">
        <v>8903</v>
      </c>
      <c r="D1205" t="s">
        <v>8904</v>
      </c>
      <c r="E1205" s="2">
        <v>2080</v>
      </c>
      <c r="F1205" s="2">
        <v>2080</v>
      </c>
      <c r="G1205" s="3">
        <v>43319</v>
      </c>
      <c r="H1205" s="4">
        <v>0.77603009259259004</v>
      </c>
      <c r="I1205" s="3">
        <v>43319</v>
      </c>
      <c r="J1205" s="4">
        <v>0.91144675925926</v>
      </c>
      <c r="K1205" s="2">
        <v>0</v>
      </c>
      <c r="L1205" t="s">
        <v>5856</v>
      </c>
      <c r="M1205" t="s">
        <v>8700</v>
      </c>
      <c r="N1205" s="3">
        <v>43322</v>
      </c>
      <c r="O1205" s="3">
        <v>43321</v>
      </c>
      <c r="P1205" t="s">
        <v>6018</v>
      </c>
      <c r="Q1205" t="s">
        <v>13468</v>
      </c>
      <c r="R1205" t="s">
        <v>6036</v>
      </c>
      <c r="S1205" s="3">
        <v>43322</v>
      </c>
      <c r="T1205" t="s">
        <v>9938</v>
      </c>
      <c r="U1205" t="s">
        <v>7228</v>
      </c>
      <c r="V1205" t="s">
        <v>8905</v>
      </c>
      <c r="W1205" t="s">
        <v>5857</v>
      </c>
      <c r="X1205" s="2">
        <v>640</v>
      </c>
      <c r="Y1205" t="s">
        <v>5858</v>
      </c>
      <c r="Z1205" t="s">
        <v>6037</v>
      </c>
      <c r="AA1205" s="2">
        <v>2000</v>
      </c>
      <c r="AB1205" t="s">
        <v>5863</v>
      </c>
      <c r="AC1205" t="s">
        <v>9978</v>
      </c>
      <c r="AD1205" s="32">
        <v>43279</v>
      </c>
      <c r="AI1205" t="s">
        <v>9950</v>
      </c>
      <c r="AJ1205" t="s">
        <v>9958</v>
      </c>
      <c r="AL1205" t="s">
        <v>14167</v>
      </c>
    </row>
    <row r="1206" spans="1:38">
      <c r="A1206" t="s">
        <v>8902</v>
      </c>
      <c r="B1206" t="s">
        <v>13469</v>
      </c>
      <c r="C1206" t="s">
        <v>7162</v>
      </c>
      <c r="D1206" t="s">
        <v>7163</v>
      </c>
      <c r="E1206" s="2">
        <v>1040</v>
      </c>
      <c r="F1206" s="2">
        <v>1040</v>
      </c>
      <c r="G1206" s="3">
        <v>43319</v>
      </c>
      <c r="H1206" s="4">
        <v>0.93228009259259004</v>
      </c>
      <c r="I1206" s="3">
        <v>43319</v>
      </c>
      <c r="J1206" s="4">
        <v>0.99998842592592996</v>
      </c>
      <c r="K1206" s="2">
        <v>0</v>
      </c>
      <c r="L1206" t="s">
        <v>5856</v>
      </c>
      <c r="M1206" t="s">
        <v>6945</v>
      </c>
      <c r="N1206" s="3">
        <v>43321</v>
      </c>
      <c r="O1206" s="3">
        <v>43321</v>
      </c>
      <c r="P1206" t="s">
        <v>5889</v>
      </c>
      <c r="Q1206" t="s">
        <v>7214</v>
      </c>
      <c r="R1206" t="s">
        <v>6036</v>
      </c>
      <c r="S1206" s="3">
        <v>43321</v>
      </c>
      <c r="T1206" t="s">
        <v>9938</v>
      </c>
      <c r="U1206" t="s">
        <v>6568</v>
      </c>
      <c r="V1206" t="s">
        <v>6002</v>
      </c>
      <c r="W1206" t="s">
        <v>5857</v>
      </c>
      <c r="X1206" s="2">
        <v>640</v>
      </c>
      <c r="Y1206" t="s">
        <v>5858</v>
      </c>
      <c r="Z1206" t="s">
        <v>6037</v>
      </c>
      <c r="AA1206" s="2">
        <v>1000</v>
      </c>
      <c r="AB1206" t="s">
        <v>5863</v>
      </c>
      <c r="AC1206" t="s">
        <v>9978</v>
      </c>
      <c r="AD1206" s="32">
        <v>43279</v>
      </c>
      <c r="AJ1206" t="s">
        <v>9958</v>
      </c>
      <c r="AL1206" t="s">
        <v>14168</v>
      </c>
    </row>
    <row r="1207" spans="1:38">
      <c r="A1207" t="s">
        <v>8902</v>
      </c>
      <c r="B1207" t="s">
        <v>12487</v>
      </c>
      <c r="C1207" t="s">
        <v>8227</v>
      </c>
      <c r="D1207" t="s">
        <v>8228</v>
      </c>
      <c r="E1207" s="5">
        <v>20799.999</v>
      </c>
      <c r="F1207" s="5">
        <v>20799.999</v>
      </c>
      <c r="G1207" s="3">
        <v>43322</v>
      </c>
      <c r="H1207" s="4">
        <v>0.55989583333333004</v>
      </c>
      <c r="I1207" s="3">
        <v>43323</v>
      </c>
      <c r="J1207" s="4">
        <v>0.9140625</v>
      </c>
      <c r="K1207" s="2">
        <v>20</v>
      </c>
      <c r="L1207" t="s">
        <v>5856</v>
      </c>
      <c r="M1207" t="s">
        <v>9089</v>
      </c>
      <c r="N1207" s="3">
        <v>43328</v>
      </c>
      <c r="O1207" s="3">
        <v>43325</v>
      </c>
      <c r="P1207" t="s">
        <v>5883</v>
      </c>
      <c r="Q1207" t="s">
        <v>9090</v>
      </c>
      <c r="R1207" t="s">
        <v>6036</v>
      </c>
      <c r="S1207" s="3">
        <v>43328</v>
      </c>
      <c r="T1207" t="s">
        <v>9938</v>
      </c>
      <c r="U1207" t="s">
        <v>7483</v>
      </c>
      <c r="V1207" t="s">
        <v>8230</v>
      </c>
      <c r="W1207" t="s">
        <v>5857</v>
      </c>
      <c r="X1207" s="2">
        <v>640</v>
      </c>
      <c r="Y1207" t="s">
        <v>5858</v>
      </c>
      <c r="Z1207" t="s">
        <v>6037</v>
      </c>
      <c r="AA1207" s="2">
        <v>20000</v>
      </c>
      <c r="AB1207" t="s">
        <v>5863</v>
      </c>
      <c r="AC1207" t="s">
        <v>9978</v>
      </c>
      <c r="AD1207" s="32"/>
      <c r="AJ1207" t="s">
        <v>9958</v>
      </c>
      <c r="AL1207" t="s">
        <v>11305</v>
      </c>
    </row>
    <row r="1208" spans="1:38">
      <c r="A1208" t="s">
        <v>8902</v>
      </c>
      <c r="B1208" t="s">
        <v>12488</v>
      </c>
      <c r="C1208" t="s">
        <v>7063</v>
      </c>
      <c r="D1208" t="s">
        <v>7064</v>
      </c>
      <c r="E1208" s="2">
        <v>1000</v>
      </c>
      <c r="F1208" s="2">
        <v>1000</v>
      </c>
      <c r="G1208" s="3">
        <v>43323</v>
      </c>
      <c r="H1208" s="4">
        <v>0.93489583333333004</v>
      </c>
      <c r="I1208" s="3">
        <v>43324</v>
      </c>
      <c r="J1208" s="4">
        <v>0</v>
      </c>
      <c r="K1208" s="2">
        <v>0</v>
      </c>
      <c r="L1208" t="s">
        <v>5856</v>
      </c>
      <c r="M1208" t="s">
        <v>8784</v>
      </c>
      <c r="N1208" s="3">
        <v>43326</v>
      </c>
      <c r="O1208" s="3">
        <v>43325</v>
      </c>
      <c r="P1208" t="s">
        <v>5889</v>
      </c>
      <c r="Q1208" t="s">
        <v>9091</v>
      </c>
      <c r="R1208" t="s">
        <v>6036</v>
      </c>
      <c r="S1208" s="3">
        <v>43326</v>
      </c>
      <c r="T1208" t="s">
        <v>9938</v>
      </c>
      <c r="U1208" t="s">
        <v>5987</v>
      </c>
      <c r="V1208" t="s">
        <v>7066</v>
      </c>
      <c r="W1208" t="s">
        <v>5857</v>
      </c>
      <c r="X1208" s="2">
        <v>640</v>
      </c>
      <c r="Y1208" t="s">
        <v>5858</v>
      </c>
      <c r="Z1208" t="s">
        <v>6037</v>
      </c>
      <c r="AA1208" s="2">
        <v>1000</v>
      </c>
      <c r="AB1208" t="s">
        <v>5863</v>
      </c>
      <c r="AC1208" t="s">
        <v>9978</v>
      </c>
      <c r="AD1208" s="32"/>
      <c r="AJ1208" t="s">
        <v>9958</v>
      </c>
      <c r="AL1208" t="s">
        <v>11306</v>
      </c>
    </row>
    <row r="1209" spans="1:38">
      <c r="A1209" t="s">
        <v>8902</v>
      </c>
      <c r="B1209" t="s">
        <v>12489</v>
      </c>
      <c r="C1209" t="s">
        <v>7220</v>
      </c>
      <c r="D1209" t="s">
        <v>7221</v>
      </c>
      <c r="E1209" s="2">
        <v>1000</v>
      </c>
      <c r="F1209" s="2">
        <v>1000</v>
      </c>
      <c r="G1209" s="3">
        <v>43324</v>
      </c>
      <c r="H1209" s="4">
        <v>0.93489583333333004</v>
      </c>
      <c r="I1209" s="3">
        <v>43325</v>
      </c>
      <c r="J1209" s="4">
        <v>0</v>
      </c>
      <c r="K1209" s="2">
        <v>0</v>
      </c>
      <c r="L1209" t="s">
        <v>5856</v>
      </c>
      <c r="M1209" t="s">
        <v>8784</v>
      </c>
      <c r="N1209" s="3">
        <v>43327</v>
      </c>
      <c r="O1209" s="3">
        <v>43326</v>
      </c>
      <c r="P1209" t="s">
        <v>5889</v>
      </c>
      <c r="Q1209" t="s">
        <v>9092</v>
      </c>
      <c r="R1209" t="s">
        <v>6036</v>
      </c>
      <c r="S1209" s="3">
        <v>43327</v>
      </c>
      <c r="T1209" t="s">
        <v>9938</v>
      </c>
      <c r="U1209" t="s">
        <v>5882</v>
      </c>
      <c r="V1209" t="s">
        <v>6041</v>
      </c>
      <c r="W1209" t="s">
        <v>5857</v>
      </c>
      <c r="X1209" s="2">
        <v>640</v>
      </c>
      <c r="Y1209" t="s">
        <v>5858</v>
      </c>
      <c r="Z1209" t="s">
        <v>6037</v>
      </c>
      <c r="AA1209" s="2">
        <v>1000</v>
      </c>
      <c r="AB1209" t="s">
        <v>5863</v>
      </c>
      <c r="AC1209" t="s">
        <v>9978</v>
      </c>
      <c r="AD1209" s="32"/>
      <c r="AJ1209" t="s">
        <v>9958</v>
      </c>
      <c r="AL1209" t="s">
        <v>11307</v>
      </c>
    </row>
    <row r="1210" spans="1:38">
      <c r="A1210" t="s">
        <v>8902</v>
      </c>
      <c r="B1210" t="s">
        <v>12490</v>
      </c>
      <c r="C1210" t="s">
        <v>9093</v>
      </c>
      <c r="D1210" t="s">
        <v>9094</v>
      </c>
      <c r="E1210" s="2">
        <v>2000</v>
      </c>
      <c r="F1210" s="2">
        <v>2000</v>
      </c>
      <c r="G1210" s="3">
        <v>43325</v>
      </c>
      <c r="H1210" s="4">
        <v>0.328125</v>
      </c>
      <c r="I1210" s="3">
        <v>43325</v>
      </c>
      <c r="J1210" s="4">
        <v>0.45833333333332998</v>
      </c>
      <c r="K1210" s="2">
        <v>20</v>
      </c>
      <c r="L1210" t="s">
        <v>5856</v>
      </c>
      <c r="M1210" t="s">
        <v>8853</v>
      </c>
      <c r="N1210" s="3">
        <v>43328</v>
      </c>
      <c r="O1210" s="3">
        <v>43327</v>
      </c>
      <c r="P1210" t="s">
        <v>6018</v>
      </c>
      <c r="Q1210" t="s">
        <v>9095</v>
      </c>
      <c r="R1210" t="s">
        <v>6036</v>
      </c>
      <c r="S1210" s="3">
        <v>43328</v>
      </c>
      <c r="T1210" t="s">
        <v>9938</v>
      </c>
      <c r="U1210" t="s">
        <v>5963</v>
      </c>
      <c r="V1210" t="s">
        <v>9096</v>
      </c>
      <c r="W1210" t="s">
        <v>5857</v>
      </c>
      <c r="X1210" s="2">
        <v>640</v>
      </c>
      <c r="Y1210" t="s">
        <v>5858</v>
      </c>
      <c r="Z1210" t="s">
        <v>6037</v>
      </c>
      <c r="AA1210" s="2">
        <v>2000</v>
      </c>
      <c r="AB1210" t="s">
        <v>5863</v>
      </c>
      <c r="AD1210" s="32"/>
      <c r="AJ1210" t="s">
        <v>9958</v>
      </c>
      <c r="AL1210" t="s">
        <v>11308</v>
      </c>
    </row>
    <row r="1211" spans="1:38">
      <c r="A1211" t="s">
        <v>8902</v>
      </c>
      <c r="B1211" t="s">
        <v>12491</v>
      </c>
      <c r="C1211" t="s">
        <v>6715</v>
      </c>
      <c r="D1211" t="s">
        <v>6716</v>
      </c>
      <c r="E1211" s="2">
        <v>3000</v>
      </c>
      <c r="F1211" s="2">
        <v>3000</v>
      </c>
      <c r="G1211" s="3">
        <v>43325</v>
      </c>
      <c r="H1211" s="4">
        <v>0.47916666666667002</v>
      </c>
      <c r="I1211" s="3">
        <v>43325</v>
      </c>
      <c r="J1211" s="4">
        <v>0.67447916666666996</v>
      </c>
      <c r="K1211" s="2">
        <v>20</v>
      </c>
      <c r="L1211" t="s">
        <v>5856</v>
      </c>
      <c r="M1211" t="s">
        <v>8861</v>
      </c>
      <c r="N1211" s="3">
        <v>43328</v>
      </c>
      <c r="O1211" s="3">
        <v>43327</v>
      </c>
      <c r="P1211" t="s">
        <v>6018</v>
      </c>
      <c r="Q1211" t="s">
        <v>9097</v>
      </c>
      <c r="R1211" t="s">
        <v>6036</v>
      </c>
      <c r="S1211" s="3">
        <v>43328</v>
      </c>
      <c r="T1211" t="s">
        <v>9938</v>
      </c>
      <c r="U1211" t="s">
        <v>6714</v>
      </c>
      <c r="V1211" t="s">
        <v>6717</v>
      </c>
      <c r="W1211" t="s">
        <v>5857</v>
      </c>
      <c r="X1211" s="2">
        <v>640</v>
      </c>
      <c r="Y1211" t="s">
        <v>5858</v>
      </c>
      <c r="Z1211" t="s">
        <v>6037</v>
      </c>
      <c r="AA1211" s="2">
        <v>3000</v>
      </c>
      <c r="AB1211" t="s">
        <v>5863</v>
      </c>
      <c r="AC1211" t="s">
        <v>9978</v>
      </c>
      <c r="AD1211" s="32"/>
      <c r="AJ1211" t="s">
        <v>9958</v>
      </c>
      <c r="AL1211" t="s">
        <v>11309</v>
      </c>
    </row>
    <row r="1212" spans="1:38">
      <c r="A1212" t="s">
        <v>8902</v>
      </c>
      <c r="B1212" t="s">
        <v>12492</v>
      </c>
      <c r="C1212" t="s">
        <v>9098</v>
      </c>
      <c r="D1212" t="s">
        <v>9099</v>
      </c>
      <c r="E1212" s="2">
        <v>5000</v>
      </c>
      <c r="F1212" s="2">
        <v>5000</v>
      </c>
      <c r="G1212" s="3">
        <v>43325</v>
      </c>
      <c r="H1212" s="4">
        <v>0.67447916666666996</v>
      </c>
      <c r="I1212" s="3">
        <v>43326</v>
      </c>
      <c r="J1212" s="4">
        <v>0</v>
      </c>
      <c r="K1212" s="2">
        <v>20</v>
      </c>
      <c r="L1212" t="s">
        <v>5856</v>
      </c>
      <c r="M1212" t="s">
        <v>8843</v>
      </c>
      <c r="N1212" s="3">
        <v>43328</v>
      </c>
      <c r="O1212" s="3">
        <v>43327</v>
      </c>
      <c r="P1212" t="s">
        <v>5971</v>
      </c>
      <c r="Q1212" t="s">
        <v>9100</v>
      </c>
      <c r="R1212" t="s">
        <v>6036</v>
      </c>
      <c r="S1212" s="3">
        <v>43328</v>
      </c>
      <c r="T1212" t="s">
        <v>9938</v>
      </c>
      <c r="U1212" t="s">
        <v>9101</v>
      </c>
      <c r="V1212" t="s">
        <v>6041</v>
      </c>
      <c r="W1212" t="s">
        <v>5857</v>
      </c>
      <c r="X1212" s="2">
        <v>640</v>
      </c>
      <c r="Y1212" t="s">
        <v>5858</v>
      </c>
      <c r="Z1212" t="s">
        <v>6037</v>
      </c>
      <c r="AA1212" s="2">
        <v>5000</v>
      </c>
      <c r="AB1212" t="s">
        <v>5863</v>
      </c>
      <c r="AC1212" t="s">
        <v>9974</v>
      </c>
      <c r="AD1212" s="32"/>
      <c r="AI1212" t="s">
        <v>9939</v>
      </c>
      <c r="AJ1212" t="s">
        <v>9958</v>
      </c>
      <c r="AL1212" t="s">
        <v>11310</v>
      </c>
    </row>
    <row r="1213" spans="1:38">
      <c r="A1213" t="s">
        <v>8902</v>
      </c>
      <c r="B1213" t="s">
        <v>12493</v>
      </c>
      <c r="C1213" t="s">
        <v>8636</v>
      </c>
      <c r="D1213" t="s">
        <v>8637</v>
      </c>
      <c r="E1213" s="2">
        <v>3120</v>
      </c>
      <c r="F1213" s="2">
        <v>3120</v>
      </c>
      <c r="G1213" s="3">
        <v>43326</v>
      </c>
      <c r="H1213" s="4">
        <v>0.16641203703703999</v>
      </c>
      <c r="I1213" s="3">
        <v>43326</v>
      </c>
      <c r="J1213" s="4">
        <v>0.36953703703703999</v>
      </c>
      <c r="K1213" s="2">
        <v>20</v>
      </c>
      <c r="L1213" t="s">
        <v>5856</v>
      </c>
      <c r="M1213" t="s">
        <v>8710</v>
      </c>
      <c r="N1213" s="3">
        <v>43329</v>
      </c>
      <c r="O1213" s="3">
        <v>43328</v>
      </c>
      <c r="P1213" t="s">
        <v>5862</v>
      </c>
      <c r="Q1213" t="s">
        <v>9102</v>
      </c>
      <c r="R1213" t="s">
        <v>6036</v>
      </c>
      <c r="S1213" s="3">
        <v>43329</v>
      </c>
      <c r="T1213" t="s">
        <v>9938</v>
      </c>
      <c r="U1213" t="s">
        <v>5963</v>
      </c>
      <c r="V1213" t="s">
        <v>8640</v>
      </c>
      <c r="W1213" t="s">
        <v>5857</v>
      </c>
      <c r="X1213" s="2">
        <v>640</v>
      </c>
      <c r="Y1213" t="s">
        <v>5858</v>
      </c>
      <c r="Z1213" t="s">
        <v>6037</v>
      </c>
      <c r="AA1213" s="2">
        <v>3120</v>
      </c>
      <c r="AB1213" t="s">
        <v>5859</v>
      </c>
      <c r="AC1213" t="s">
        <v>9978</v>
      </c>
      <c r="AD1213" s="32"/>
      <c r="AJ1213" t="s">
        <v>9958</v>
      </c>
      <c r="AL1213" t="s">
        <v>11311</v>
      </c>
    </row>
    <row r="1214" spans="1:38">
      <c r="A1214" t="s">
        <v>8902</v>
      </c>
      <c r="B1214" t="s">
        <v>12494</v>
      </c>
      <c r="C1214" t="s">
        <v>7063</v>
      </c>
      <c r="D1214" t="s">
        <v>7064</v>
      </c>
      <c r="E1214" s="2">
        <v>1000</v>
      </c>
      <c r="F1214" s="2">
        <v>1000</v>
      </c>
      <c r="G1214" s="3">
        <v>43326</v>
      </c>
      <c r="H1214" s="4">
        <v>0.93489583333333004</v>
      </c>
      <c r="I1214" s="3">
        <v>43327</v>
      </c>
      <c r="J1214" s="4">
        <v>0</v>
      </c>
      <c r="K1214" s="2">
        <v>0</v>
      </c>
      <c r="L1214" t="s">
        <v>5856</v>
      </c>
      <c r="M1214" t="s">
        <v>8784</v>
      </c>
      <c r="N1214" s="3">
        <v>43329</v>
      </c>
      <c r="O1214" s="3">
        <v>43328</v>
      </c>
      <c r="P1214" t="s">
        <v>5889</v>
      </c>
      <c r="Q1214" t="s">
        <v>9103</v>
      </c>
      <c r="R1214" t="s">
        <v>6036</v>
      </c>
      <c r="S1214" s="3">
        <v>43329</v>
      </c>
      <c r="T1214" t="s">
        <v>9938</v>
      </c>
      <c r="U1214" t="s">
        <v>5987</v>
      </c>
      <c r="V1214" t="s">
        <v>7066</v>
      </c>
      <c r="W1214" t="s">
        <v>5857</v>
      </c>
      <c r="X1214" s="2">
        <v>640</v>
      </c>
      <c r="Y1214" t="s">
        <v>5858</v>
      </c>
      <c r="Z1214" t="s">
        <v>6037</v>
      </c>
      <c r="AA1214" s="2">
        <v>1000</v>
      </c>
      <c r="AB1214" t="s">
        <v>5863</v>
      </c>
      <c r="AC1214" t="s">
        <v>9978</v>
      </c>
      <c r="AD1214" s="32"/>
      <c r="AJ1214" t="s">
        <v>9958</v>
      </c>
      <c r="AL1214" t="s">
        <v>11312</v>
      </c>
    </row>
    <row r="1215" spans="1:38">
      <c r="A1215" t="s">
        <v>8902</v>
      </c>
      <c r="B1215" t="s">
        <v>12495</v>
      </c>
      <c r="C1215" t="s">
        <v>8227</v>
      </c>
      <c r="D1215" t="s">
        <v>8228</v>
      </c>
      <c r="E1215" s="2">
        <v>2000</v>
      </c>
      <c r="F1215" s="2">
        <v>2000</v>
      </c>
      <c r="G1215" s="3">
        <v>43331</v>
      </c>
      <c r="H1215" s="4">
        <v>0.86979166666666996</v>
      </c>
      <c r="I1215" s="3">
        <v>43332</v>
      </c>
      <c r="J1215" s="4">
        <v>0</v>
      </c>
      <c r="K1215" s="2">
        <v>0</v>
      </c>
      <c r="L1215" t="s">
        <v>5856</v>
      </c>
      <c r="M1215" t="s">
        <v>8853</v>
      </c>
      <c r="N1215" s="3">
        <v>43334</v>
      </c>
      <c r="O1215" s="3">
        <v>43333</v>
      </c>
      <c r="P1215" t="s">
        <v>5883</v>
      </c>
      <c r="Q1215" t="s">
        <v>9104</v>
      </c>
      <c r="R1215" t="s">
        <v>6036</v>
      </c>
      <c r="S1215" s="3">
        <v>43334</v>
      </c>
      <c r="T1215" t="s">
        <v>9938</v>
      </c>
      <c r="U1215" t="s">
        <v>7483</v>
      </c>
      <c r="V1215" t="s">
        <v>8230</v>
      </c>
      <c r="W1215" t="s">
        <v>5857</v>
      </c>
      <c r="X1215" s="2">
        <v>640</v>
      </c>
      <c r="Y1215" t="s">
        <v>5858</v>
      </c>
      <c r="Z1215" t="s">
        <v>6037</v>
      </c>
      <c r="AA1215" s="2">
        <v>2000</v>
      </c>
      <c r="AB1215" t="s">
        <v>5863</v>
      </c>
      <c r="AC1215" t="s">
        <v>9978</v>
      </c>
      <c r="AD1215" s="32"/>
      <c r="AJ1215" t="s">
        <v>9958</v>
      </c>
      <c r="AL1215" t="s">
        <v>11313</v>
      </c>
    </row>
    <row r="1216" spans="1:38">
      <c r="A1216" t="s">
        <v>8902</v>
      </c>
      <c r="B1216" t="s">
        <v>12496</v>
      </c>
      <c r="C1216" t="s">
        <v>9105</v>
      </c>
      <c r="D1216" t="s">
        <v>9106</v>
      </c>
      <c r="E1216" s="2">
        <v>1040</v>
      </c>
      <c r="F1216" s="2">
        <v>1040</v>
      </c>
      <c r="G1216" s="3">
        <v>43332</v>
      </c>
      <c r="H1216" s="4">
        <v>0.93229166666666996</v>
      </c>
      <c r="I1216" s="3">
        <v>43333</v>
      </c>
      <c r="J1216" s="4">
        <v>0</v>
      </c>
      <c r="K1216" s="2">
        <v>0</v>
      </c>
      <c r="L1216" t="s">
        <v>5856</v>
      </c>
      <c r="M1216" t="s">
        <v>6945</v>
      </c>
      <c r="N1216" s="3">
        <v>43335</v>
      </c>
      <c r="O1216" s="3">
        <v>43334</v>
      </c>
      <c r="P1216" t="s">
        <v>6026</v>
      </c>
      <c r="Q1216" t="s">
        <v>9107</v>
      </c>
      <c r="R1216" t="s">
        <v>6036</v>
      </c>
      <c r="S1216" s="3">
        <v>43335</v>
      </c>
      <c r="T1216" t="s">
        <v>9938</v>
      </c>
      <c r="U1216" t="s">
        <v>6582</v>
      </c>
      <c r="V1216" t="s">
        <v>9108</v>
      </c>
      <c r="W1216" t="s">
        <v>5857</v>
      </c>
      <c r="X1216" s="2">
        <v>640</v>
      </c>
      <c r="Y1216" t="s">
        <v>5858</v>
      </c>
      <c r="Z1216" t="s">
        <v>6037</v>
      </c>
      <c r="AA1216" s="2">
        <v>1000</v>
      </c>
      <c r="AB1216" t="s">
        <v>5863</v>
      </c>
      <c r="AC1216" t="s">
        <v>9976</v>
      </c>
      <c r="AD1216" s="32"/>
      <c r="AJ1216" t="s">
        <v>9958</v>
      </c>
      <c r="AL1216" t="s">
        <v>11314</v>
      </c>
    </row>
    <row r="1217" spans="1:38">
      <c r="A1217" t="s">
        <v>8902</v>
      </c>
      <c r="B1217" t="s">
        <v>12497</v>
      </c>
      <c r="C1217" t="s">
        <v>9109</v>
      </c>
      <c r="D1217" t="s">
        <v>9110</v>
      </c>
      <c r="E1217" s="2">
        <v>5200</v>
      </c>
      <c r="F1217" s="2">
        <v>5200</v>
      </c>
      <c r="G1217" s="3">
        <v>43337</v>
      </c>
      <c r="H1217" s="4">
        <v>0.57552083333333004</v>
      </c>
      <c r="I1217" s="3">
        <v>43337</v>
      </c>
      <c r="J1217" s="4">
        <v>0.9140625</v>
      </c>
      <c r="K1217" s="2">
        <v>20</v>
      </c>
      <c r="L1217" t="s">
        <v>5856</v>
      </c>
      <c r="M1217" t="s">
        <v>8746</v>
      </c>
      <c r="N1217" s="3">
        <v>43340</v>
      </c>
      <c r="O1217" s="3">
        <v>43339</v>
      </c>
      <c r="P1217" t="s">
        <v>5862</v>
      </c>
      <c r="Q1217" t="s">
        <v>9111</v>
      </c>
      <c r="R1217" t="s">
        <v>6036</v>
      </c>
      <c r="S1217" s="3">
        <v>43340</v>
      </c>
      <c r="T1217" t="s">
        <v>9938</v>
      </c>
      <c r="U1217" t="s">
        <v>5963</v>
      </c>
      <c r="V1217" t="s">
        <v>6717</v>
      </c>
      <c r="W1217" t="s">
        <v>5857</v>
      </c>
      <c r="X1217" s="2">
        <v>640</v>
      </c>
      <c r="Y1217" t="s">
        <v>5858</v>
      </c>
      <c r="Z1217" t="s">
        <v>6037</v>
      </c>
      <c r="AA1217" s="2">
        <v>5000</v>
      </c>
      <c r="AB1217" t="s">
        <v>5863</v>
      </c>
      <c r="AD1217" s="32"/>
      <c r="AJ1217" t="s">
        <v>9958</v>
      </c>
      <c r="AL1217" t="s">
        <v>11315</v>
      </c>
    </row>
    <row r="1218" spans="1:38">
      <c r="A1218" t="s">
        <v>8902</v>
      </c>
      <c r="B1218" t="s">
        <v>12498</v>
      </c>
      <c r="C1218" t="s">
        <v>7063</v>
      </c>
      <c r="D1218" t="s">
        <v>7064</v>
      </c>
      <c r="E1218" s="2">
        <v>1000</v>
      </c>
      <c r="F1218" s="2">
        <v>1000</v>
      </c>
      <c r="G1218" s="3">
        <v>43337</v>
      </c>
      <c r="H1218" s="4">
        <v>0.93489583333333004</v>
      </c>
      <c r="I1218" s="3">
        <v>43338</v>
      </c>
      <c r="J1218" s="4">
        <v>0</v>
      </c>
      <c r="K1218" s="2">
        <v>0</v>
      </c>
      <c r="L1218" t="s">
        <v>5856</v>
      </c>
      <c r="M1218" t="s">
        <v>8784</v>
      </c>
      <c r="N1218" s="3">
        <v>43340</v>
      </c>
      <c r="O1218" s="3">
        <v>43339</v>
      </c>
      <c r="P1218" t="s">
        <v>5889</v>
      </c>
      <c r="Q1218" t="s">
        <v>9112</v>
      </c>
      <c r="R1218" t="s">
        <v>6036</v>
      </c>
      <c r="S1218" s="3">
        <v>43340</v>
      </c>
      <c r="T1218" t="s">
        <v>9938</v>
      </c>
      <c r="U1218" t="s">
        <v>5987</v>
      </c>
      <c r="V1218" t="s">
        <v>7066</v>
      </c>
      <c r="W1218" t="s">
        <v>5857</v>
      </c>
      <c r="X1218" s="2">
        <v>640</v>
      </c>
      <c r="Y1218" t="s">
        <v>5858</v>
      </c>
      <c r="Z1218" t="s">
        <v>6037</v>
      </c>
      <c r="AA1218" s="2">
        <v>1000</v>
      </c>
      <c r="AB1218" t="s">
        <v>5863</v>
      </c>
      <c r="AC1218" t="s">
        <v>9978</v>
      </c>
      <c r="AD1218" s="32"/>
      <c r="AJ1218" t="s">
        <v>9958</v>
      </c>
      <c r="AL1218" t="s">
        <v>11316</v>
      </c>
    </row>
    <row r="1219" spans="1:38">
      <c r="A1219" t="s">
        <v>8902</v>
      </c>
      <c r="B1219" t="s">
        <v>12499</v>
      </c>
      <c r="C1219" t="s">
        <v>9113</v>
      </c>
      <c r="D1219" t="s">
        <v>9114</v>
      </c>
      <c r="E1219" s="2">
        <v>2028</v>
      </c>
      <c r="F1219" s="2">
        <v>2028</v>
      </c>
      <c r="G1219" s="3">
        <v>43338</v>
      </c>
      <c r="H1219" s="4">
        <v>0.86795138888889001</v>
      </c>
      <c r="I1219" s="3">
        <v>43338</v>
      </c>
      <c r="J1219" s="4">
        <v>0.99998842592592996</v>
      </c>
      <c r="K1219" s="2">
        <v>0</v>
      </c>
      <c r="L1219" t="s">
        <v>5856</v>
      </c>
      <c r="M1219" t="s">
        <v>9042</v>
      </c>
      <c r="N1219" s="3">
        <v>43340</v>
      </c>
      <c r="O1219" s="3">
        <v>43340</v>
      </c>
      <c r="P1219" t="s">
        <v>5862</v>
      </c>
      <c r="Q1219" t="s">
        <v>13470</v>
      </c>
      <c r="R1219" t="s">
        <v>6036</v>
      </c>
      <c r="S1219" s="3">
        <v>43340</v>
      </c>
      <c r="T1219" t="s">
        <v>9938</v>
      </c>
      <c r="U1219" t="s">
        <v>9115</v>
      </c>
      <c r="V1219" t="s">
        <v>9116</v>
      </c>
      <c r="W1219" t="s">
        <v>5857</v>
      </c>
      <c r="X1219" s="2">
        <v>0</v>
      </c>
      <c r="Y1219" t="s">
        <v>5858</v>
      </c>
      <c r="Z1219" t="s">
        <v>6037</v>
      </c>
      <c r="AA1219" s="2">
        <v>1950</v>
      </c>
      <c r="AB1219" t="s">
        <v>5861</v>
      </c>
      <c r="AC1219" t="s">
        <v>9976</v>
      </c>
      <c r="AD1219" s="32"/>
      <c r="AJ1219" t="s">
        <v>9959</v>
      </c>
      <c r="AL1219" t="s">
        <v>14169</v>
      </c>
    </row>
    <row r="1220" spans="1:38">
      <c r="A1220" t="s">
        <v>8902</v>
      </c>
      <c r="B1220" t="s">
        <v>11843</v>
      </c>
      <c r="C1220" t="s">
        <v>6657</v>
      </c>
      <c r="D1220" t="s">
        <v>6658</v>
      </c>
      <c r="E1220" s="2">
        <v>1040</v>
      </c>
      <c r="F1220" s="2">
        <v>1040</v>
      </c>
      <c r="G1220" s="3">
        <v>43339</v>
      </c>
      <c r="H1220" s="4">
        <v>2.0833333333330002E-2</v>
      </c>
      <c r="I1220" s="3">
        <v>43339</v>
      </c>
      <c r="J1220" s="4">
        <v>8.8541666666670002E-2</v>
      </c>
      <c r="K1220" s="2">
        <v>10</v>
      </c>
      <c r="L1220" t="s">
        <v>5856</v>
      </c>
      <c r="M1220" t="s">
        <v>6945</v>
      </c>
      <c r="N1220" s="3">
        <v>43342</v>
      </c>
      <c r="O1220" s="3">
        <v>43341</v>
      </c>
      <c r="P1220" t="s">
        <v>5990</v>
      </c>
      <c r="Q1220" t="s">
        <v>7549</v>
      </c>
      <c r="R1220" t="s">
        <v>6036</v>
      </c>
      <c r="S1220" s="3">
        <v>43342</v>
      </c>
      <c r="T1220" t="s">
        <v>9938</v>
      </c>
      <c r="U1220" t="s">
        <v>5963</v>
      </c>
      <c r="V1220" t="s">
        <v>6660</v>
      </c>
      <c r="W1220" t="s">
        <v>5857</v>
      </c>
      <c r="X1220" s="2">
        <v>640</v>
      </c>
      <c r="Y1220" t="s">
        <v>5858</v>
      </c>
      <c r="Z1220" t="s">
        <v>6037</v>
      </c>
      <c r="AA1220" s="2">
        <v>1000</v>
      </c>
      <c r="AB1220" t="s">
        <v>5859</v>
      </c>
      <c r="AC1220" t="s">
        <v>9978</v>
      </c>
      <c r="AD1220" s="32"/>
      <c r="AJ1220" t="s">
        <v>9958</v>
      </c>
      <c r="AL1220" t="s">
        <v>14170</v>
      </c>
    </row>
    <row r="1221" spans="1:38">
      <c r="A1221" t="s">
        <v>8902</v>
      </c>
      <c r="B1221" t="s">
        <v>12500</v>
      </c>
      <c r="C1221" t="s">
        <v>7063</v>
      </c>
      <c r="D1221" t="s">
        <v>7064</v>
      </c>
      <c r="E1221" s="2">
        <v>1000</v>
      </c>
      <c r="F1221" s="2">
        <v>1000</v>
      </c>
      <c r="G1221" s="3">
        <v>43343</v>
      </c>
      <c r="H1221" s="4">
        <v>0.93489583333333004</v>
      </c>
      <c r="I1221" s="3">
        <v>43344</v>
      </c>
      <c r="J1221" s="4">
        <v>0</v>
      </c>
      <c r="K1221" s="2">
        <v>0</v>
      </c>
      <c r="L1221" t="s">
        <v>5856</v>
      </c>
      <c r="M1221" t="s">
        <v>8784</v>
      </c>
      <c r="N1221" s="3">
        <v>43346</v>
      </c>
      <c r="O1221" s="3">
        <v>43345</v>
      </c>
      <c r="P1221" t="s">
        <v>5889</v>
      </c>
      <c r="Q1221" t="s">
        <v>9117</v>
      </c>
      <c r="R1221" t="s">
        <v>6036</v>
      </c>
      <c r="S1221" s="3">
        <v>43346</v>
      </c>
      <c r="T1221" t="s">
        <v>9938</v>
      </c>
      <c r="U1221" t="s">
        <v>5987</v>
      </c>
      <c r="V1221" t="s">
        <v>7066</v>
      </c>
      <c r="W1221" t="s">
        <v>5857</v>
      </c>
      <c r="X1221" s="2">
        <v>640</v>
      </c>
      <c r="Y1221" t="s">
        <v>5858</v>
      </c>
      <c r="Z1221" t="s">
        <v>6037</v>
      </c>
      <c r="AA1221" s="2">
        <v>1000</v>
      </c>
      <c r="AB1221" t="s">
        <v>5863</v>
      </c>
      <c r="AC1221" t="s">
        <v>9978</v>
      </c>
      <c r="AD1221" s="32"/>
      <c r="AJ1221" t="s">
        <v>9958</v>
      </c>
      <c r="AL1221" t="s">
        <v>11318</v>
      </c>
    </row>
    <row r="1222" spans="1:38">
      <c r="A1222" t="s">
        <v>8902</v>
      </c>
      <c r="B1222" t="s">
        <v>12501</v>
      </c>
      <c r="C1222" t="s">
        <v>8607</v>
      </c>
      <c r="D1222" t="s">
        <v>8608</v>
      </c>
      <c r="E1222" s="2">
        <v>1000</v>
      </c>
      <c r="F1222" s="2">
        <v>1000</v>
      </c>
      <c r="G1222" s="3">
        <v>43346</v>
      </c>
      <c r="H1222" s="4">
        <v>0.24045138888889001</v>
      </c>
      <c r="I1222" s="3">
        <v>43346</v>
      </c>
      <c r="J1222" s="4">
        <v>0.30555555555556002</v>
      </c>
      <c r="K1222" s="2">
        <v>20</v>
      </c>
      <c r="L1222" t="s">
        <v>5856</v>
      </c>
      <c r="M1222" t="s">
        <v>8784</v>
      </c>
      <c r="N1222" s="3">
        <v>43349</v>
      </c>
      <c r="O1222" s="3">
        <v>43348</v>
      </c>
      <c r="P1222" t="s">
        <v>6018</v>
      </c>
      <c r="Q1222" t="s">
        <v>9118</v>
      </c>
      <c r="R1222" t="s">
        <v>6036</v>
      </c>
      <c r="S1222" s="3">
        <v>43349</v>
      </c>
      <c r="T1222" t="s">
        <v>9938</v>
      </c>
      <c r="U1222" t="s">
        <v>7228</v>
      </c>
      <c r="V1222" t="s">
        <v>8610</v>
      </c>
      <c r="W1222" t="s">
        <v>5857</v>
      </c>
      <c r="X1222" s="2">
        <v>640</v>
      </c>
      <c r="Y1222" t="s">
        <v>5858</v>
      </c>
      <c r="Z1222" t="s">
        <v>6037</v>
      </c>
      <c r="AA1222" s="2">
        <v>1000</v>
      </c>
      <c r="AB1222" t="s">
        <v>5863</v>
      </c>
      <c r="AC1222" t="s">
        <v>9978</v>
      </c>
      <c r="AD1222" s="32"/>
      <c r="AI1222" t="s">
        <v>9955</v>
      </c>
      <c r="AJ1222" t="s">
        <v>9958</v>
      </c>
      <c r="AL1222" t="s">
        <v>11319</v>
      </c>
    </row>
    <row r="1223" spans="1:38">
      <c r="A1223" t="s">
        <v>8902</v>
      </c>
      <c r="B1223" t="s">
        <v>12502</v>
      </c>
      <c r="C1223" t="s">
        <v>9119</v>
      </c>
      <c r="D1223" t="s">
        <v>9120</v>
      </c>
      <c r="E1223" s="2">
        <v>1000</v>
      </c>
      <c r="F1223" s="2">
        <v>1000</v>
      </c>
      <c r="G1223" s="3">
        <v>43351</v>
      </c>
      <c r="H1223" s="4">
        <v>0.93489583333333004</v>
      </c>
      <c r="I1223" s="3">
        <v>43352</v>
      </c>
      <c r="J1223" s="4">
        <v>0</v>
      </c>
      <c r="K1223" s="2">
        <v>20</v>
      </c>
      <c r="L1223" t="s">
        <v>5856</v>
      </c>
      <c r="M1223" t="s">
        <v>8784</v>
      </c>
      <c r="N1223" s="3">
        <v>43354</v>
      </c>
      <c r="O1223" s="3">
        <v>43353</v>
      </c>
      <c r="P1223" t="s">
        <v>5971</v>
      </c>
      <c r="Q1223" t="s">
        <v>9121</v>
      </c>
      <c r="R1223" t="s">
        <v>6036</v>
      </c>
      <c r="S1223" s="3">
        <v>43354</v>
      </c>
      <c r="T1223" t="s">
        <v>9938</v>
      </c>
      <c r="U1223" t="s">
        <v>8919</v>
      </c>
      <c r="V1223" t="s">
        <v>6041</v>
      </c>
      <c r="W1223" t="s">
        <v>5857</v>
      </c>
      <c r="X1223" s="2">
        <v>640</v>
      </c>
      <c r="Y1223" t="s">
        <v>5858</v>
      </c>
      <c r="Z1223" t="s">
        <v>6037</v>
      </c>
      <c r="AA1223" s="2">
        <v>1000</v>
      </c>
      <c r="AB1223" t="s">
        <v>5863</v>
      </c>
      <c r="AC1223" t="s">
        <v>9974</v>
      </c>
      <c r="AD1223" s="32"/>
      <c r="AJ1223" t="s">
        <v>9958</v>
      </c>
      <c r="AL1223" t="s">
        <v>14171</v>
      </c>
    </row>
    <row r="1224" spans="1:38">
      <c r="A1224" t="s">
        <v>8902</v>
      </c>
      <c r="B1224" t="s">
        <v>12503</v>
      </c>
      <c r="C1224" t="s">
        <v>6087</v>
      </c>
      <c r="D1224" t="s">
        <v>6000</v>
      </c>
      <c r="E1224" s="5">
        <v>20799.999</v>
      </c>
      <c r="F1224" s="5">
        <v>20799.999</v>
      </c>
      <c r="G1224" s="3">
        <v>43367</v>
      </c>
      <c r="H1224" s="4">
        <v>0.64583333333333004</v>
      </c>
      <c r="I1224" s="3">
        <v>43369</v>
      </c>
      <c r="J1224" s="4">
        <v>0</v>
      </c>
      <c r="K1224" s="2">
        <v>0</v>
      </c>
      <c r="L1224" t="s">
        <v>5856</v>
      </c>
      <c r="M1224" t="s">
        <v>9089</v>
      </c>
      <c r="N1224" s="3">
        <v>43371</v>
      </c>
      <c r="O1224" s="3">
        <v>43370</v>
      </c>
      <c r="P1224" t="s">
        <v>5881</v>
      </c>
      <c r="Q1224" t="s">
        <v>9122</v>
      </c>
      <c r="R1224" t="s">
        <v>6036</v>
      </c>
      <c r="S1224" s="3">
        <v>43371</v>
      </c>
      <c r="T1224" t="s">
        <v>9938</v>
      </c>
      <c r="U1224" t="s">
        <v>5882</v>
      </c>
      <c r="V1224" t="s">
        <v>6001</v>
      </c>
      <c r="W1224" t="s">
        <v>5857</v>
      </c>
      <c r="X1224" s="2">
        <v>640</v>
      </c>
      <c r="Y1224" t="s">
        <v>5858</v>
      </c>
      <c r="Z1224" t="s">
        <v>6037</v>
      </c>
      <c r="AA1224" s="2">
        <v>20000</v>
      </c>
      <c r="AB1224" t="s">
        <v>5863</v>
      </c>
      <c r="AC1224" t="s">
        <v>9978</v>
      </c>
      <c r="AD1224" s="32"/>
      <c r="AJ1224" t="s">
        <v>9958</v>
      </c>
      <c r="AL1224" t="s">
        <v>11321</v>
      </c>
    </row>
    <row r="1225" spans="1:38">
      <c r="A1225" t="s">
        <v>9123</v>
      </c>
      <c r="B1225" t="s">
        <v>12504</v>
      </c>
      <c r="C1225" t="s">
        <v>9129</v>
      </c>
      <c r="D1225" t="s">
        <v>9130</v>
      </c>
      <c r="E1225" s="5">
        <v>67.5</v>
      </c>
      <c r="F1225" s="5">
        <v>1417.5</v>
      </c>
      <c r="G1225" s="3">
        <v>43278</v>
      </c>
      <c r="H1225" s="4">
        <v>0.50067129629630003</v>
      </c>
      <c r="I1225" s="3">
        <v>43278</v>
      </c>
      <c r="J1225" s="4">
        <v>0.56384259259258995</v>
      </c>
      <c r="K1225" s="2">
        <v>6</v>
      </c>
      <c r="L1225" t="s">
        <v>5856</v>
      </c>
      <c r="M1225" t="s">
        <v>9135</v>
      </c>
      <c r="N1225" s="3">
        <v>43213</v>
      </c>
      <c r="O1225" s="3">
        <v>43285</v>
      </c>
      <c r="P1225" t="s">
        <v>9131</v>
      </c>
      <c r="Q1225" t="s">
        <v>6038</v>
      </c>
      <c r="R1225" t="s">
        <v>6039</v>
      </c>
      <c r="S1225" s="3"/>
      <c r="T1225" t="s">
        <v>9938</v>
      </c>
      <c r="U1225" t="s">
        <v>9132</v>
      </c>
      <c r="V1225" t="s">
        <v>9133</v>
      </c>
      <c r="W1225" t="s">
        <v>5914</v>
      </c>
      <c r="X1225" s="2">
        <v>935</v>
      </c>
      <c r="Y1225" t="s">
        <v>5858</v>
      </c>
      <c r="Z1225" t="s">
        <v>6037</v>
      </c>
      <c r="AA1225" s="2">
        <v>0</v>
      </c>
      <c r="AB1225" t="s">
        <v>5859</v>
      </c>
      <c r="AC1225" t="s">
        <v>9981</v>
      </c>
      <c r="AD1225" s="32">
        <v>43278</v>
      </c>
      <c r="AJ1225" t="s">
        <v>9967</v>
      </c>
      <c r="AL1225" t="s">
        <v>11322</v>
      </c>
    </row>
    <row r="1226" spans="1:38">
      <c r="A1226" t="s">
        <v>9123</v>
      </c>
      <c r="B1226" t="s">
        <v>12505</v>
      </c>
      <c r="C1226" t="s">
        <v>9136</v>
      </c>
      <c r="D1226" t="s">
        <v>9137</v>
      </c>
      <c r="E1226" s="5">
        <v>494.25</v>
      </c>
      <c r="F1226" s="5">
        <v>16969.25</v>
      </c>
      <c r="G1226" s="3">
        <v>43279</v>
      </c>
      <c r="H1226" s="4">
        <v>0.14603009259259001</v>
      </c>
      <c r="I1226" s="3">
        <v>43279</v>
      </c>
      <c r="J1226" s="4">
        <v>0.90223379629629996</v>
      </c>
      <c r="K1226" s="2">
        <v>0</v>
      </c>
      <c r="L1226" t="s">
        <v>5856</v>
      </c>
      <c r="M1226" t="s">
        <v>9138</v>
      </c>
      <c r="N1226" s="3">
        <v>43287</v>
      </c>
      <c r="O1226" s="3">
        <v>43286</v>
      </c>
      <c r="P1226" t="s">
        <v>7755</v>
      </c>
      <c r="Q1226" t="s">
        <v>6038</v>
      </c>
      <c r="R1226" t="s">
        <v>6039</v>
      </c>
      <c r="S1226" s="3"/>
      <c r="T1226" t="s">
        <v>9938</v>
      </c>
      <c r="U1226" t="s">
        <v>9139</v>
      </c>
      <c r="V1226" t="s">
        <v>9140</v>
      </c>
      <c r="W1226" t="s">
        <v>5857</v>
      </c>
      <c r="X1226" s="2">
        <v>935</v>
      </c>
      <c r="Y1226" t="s">
        <v>5858</v>
      </c>
      <c r="Z1226" t="s">
        <v>6037</v>
      </c>
      <c r="AA1226" s="2">
        <v>0</v>
      </c>
      <c r="AB1226" t="s">
        <v>5859</v>
      </c>
      <c r="AC1226" t="s">
        <v>9981</v>
      </c>
      <c r="AD1226" s="32">
        <v>43259</v>
      </c>
      <c r="AJ1226" t="s">
        <v>9967</v>
      </c>
      <c r="AL1226" t="s">
        <v>11323</v>
      </c>
    </row>
    <row r="1227" spans="1:38">
      <c r="A1227" t="s">
        <v>9123</v>
      </c>
      <c r="B1227" t="s">
        <v>12506</v>
      </c>
      <c r="C1227" t="s">
        <v>9144</v>
      </c>
      <c r="D1227" t="s">
        <v>9145</v>
      </c>
      <c r="E1227" s="2">
        <v>11500</v>
      </c>
      <c r="F1227" s="2">
        <v>11500</v>
      </c>
      <c r="G1227" s="3">
        <v>43283</v>
      </c>
      <c r="H1227" s="4">
        <v>0.69027777777777999</v>
      </c>
      <c r="I1227" s="3">
        <v>43284</v>
      </c>
      <c r="J1227" s="4">
        <v>0.20275462962963001</v>
      </c>
      <c r="K1227" s="2">
        <v>0</v>
      </c>
      <c r="L1227" t="s">
        <v>5856</v>
      </c>
      <c r="M1227" t="s">
        <v>9146</v>
      </c>
      <c r="N1227" s="3">
        <v>43297</v>
      </c>
      <c r="O1227" s="3">
        <v>43291</v>
      </c>
      <c r="P1227" t="s">
        <v>7755</v>
      </c>
      <c r="Q1227" t="s">
        <v>9147</v>
      </c>
      <c r="R1227" t="s">
        <v>6036</v>
      </c>
      <c r="S1227" s="3">
        <v>43298</v>
      </c>
      <c r="T1227" t="s">
        <v>9938</v>
      </c>
      <c r="U1227" t="s">
        <v>9148</v>
      </c>
      <c r="V1227" t="s">
        <v>9149</v>
      </c>
      <c r="W1227" t="s">
        <v>5857</v>
      </c>
      <c r="X1227" s="2">
        <v>935</v>
      </c>
      <c r="Y1227" t="s">
        <v>5858</v>
      </c>
      <c r="Z1227" t="s">
        <v>6037</v>
      </c>
      <c r="AA1227" s="2">
        <v>11500</v>
      </c>
      <c r="AB1227" t="s">
        <v>5863</v>
      </c>
      <c r="AC1227" t="s">
        <v>9981</v>
      </c>
      <c r="AD1227" s="32">
        <v>43258</v>
      </c>
      <c r="AJ1227" t="s">
        <v>9967</v>
      </c>
      <c r="AL1227" t="s">
        <v>11324</v>
      </c>
    </row>
    <row r="1228" spans="1:38">
      <c r="A1228" t="s">
        <v>9123</v>
      </c>
      <c r="B1228" t="s">
        <v>12507</v>
      </c>
      <c r="C1228" t="s">
        <v>9136</v>
      </c>
      <c r="D1228" t="s">
        <v>9137</v>
      </c>
      <c r="E1228" s="2">
        <v>2060</v>
      </c>
      <c r="F1228" s="2">
        <v>2060</v>
      </c>
      <c r="G1228" s="3">
        <v>43284</v>
      </c>
      <c r="H1228" s="4">
        <v>0.23053240740740999</v>
      </c>
      <c r="I1228" s="3">
        <v>43284</v>
      </c>
      <c r="J1228" s="4">
        <v>0.32233796296296002</v>
      </c>
      <c r="K1228" s="2">
        <v>6</v>
      </c>
      <c r="L1228" t="s">
        <v>5856</v>
      </c>
      <c r="M1228" t="s">
        <v>9150</v>
      </c>
      <c r="N1228" s="3"/>
      <c r="O1228" s="3">
        <v>43291</v>
      </c>
      <c r="P1228" t="s">
        <v>7755</v>
      </c>
      <c r="Q1228" t="s">
        <v>6038</v>
      </c>
      <c r="R1228" t="s">
        <v>6040</v>
      </c>
      <c r="S1228" s="3">
        <v>43288</v>
      </c>
      <c r="T1228" t="s">
        <v>9938</v>
      </c>
      <c r="U1228" t="s">
        <v>9139</v>
      </c>
      <c r="V1228" t="s">
        <v>9140</v>
      </c>
      <c r="W1228" t="s">
        <v>5857</v>
      </c>
      <c r="X1228" s="2">
        <v>935</v>
      </c>
      <c r="Y1228" t="s">
        <v>5858</v>
      </c>
      <c r="Z1228" t="s">
        <v>6037</v>
      </c>
      <c r="AA1228" s="2">
        <v>2000</v>
      </c>
      <c r="AB1228" t="s">
        <v>5859</v>
      </c>
      <c r="AC1228" t="s">
        <v>9981</v>
      </c>
      <c r="AD1228" s="32">
        <v>43278</v>
      </c>
      <c r="AJ1228" t="s">
        <v>9967</v>
      </c>
      <c r="AL1228" t="s">
        <v>11325</v>
      </c>
    </row>
    <row r="1229" spans="1:38">
      <c r="A1229" t="s">
        <v>9123</v>
      </c>
      <c r="B1229" t="s">
        <v>12508</v>
      </c>
      <c r="C1229" t="s">
        <v>9129</v>
      </c>
      <c r="D1229" t="s">
        <v>9130</v>
      </c>
      <c r="E1229" s="2">
        <v>450</v>
      </c>
      <c r="F1229" s="2">
        <v>9450</v>
      </c>
      <c r="G1229" s="3">
        <v>43284</v>
      </c>
      <c r="H1229" s="4">
        <v>0.38483796296296002</v>
      </c>
      <c r="I1229" s="3">
        <v>43284</v>
      </c>
      <c r="J1229" s="4">
        <v>0.80596064814815005</v>
      </c>
      <c r="K1229" s="2">
        <v>0</v>
      </c>
      <c r="L1229" t="s">
        <v>5856</v>
      </c>
      <c r="M1229" t="s">
        <v>9141</v>
      </c>
      <c r="N1229" s="3">
        <v>43292</v>
      </c>
      <c r="O1229" s="3">
        <v>43291</v>
      </c>
      <c r="P1229" t="s">
        <v>9131</v>
      </c>
      <c r="Q1229" t="s">
        <v>6038</v>
      </c>
      <c r="R1229" t="s">
        <v>6039</v>
      </c>
      <c r="S1229" s="3"/>
      <c r="T1229" t="s">
        <v>9938</v>
      </c>
      <c r="U1229" t="s">
        <v>9132</v>
      </c>
      <c r="V1229" t="s">
        <v>9133</v>
      </c>
      <c r="W1229" t="s">
        <v>5914</v>
      </c>
      <c r="X1229" s="2">
        <v>935</v>
      </c>
      <c r="Y1229" t="s">
        <v>5858</v>
      </c>
      <c r="Z1229" t="s">
        <v>6037</v>
      </c>
      <c r="AA1229" s="2">
        <v>0</v>
      </c>
      <c r="AB1229" t="s">
        <v>5859</v>
      </c>
      <c r="AC1229" t="s">
        <v>9981</v>
      </c>
      <c r="AD1229" s="32">
        <v>43271</v>
      </c>
      <c r="AJ1229" t="s">
        <v>9967</v>
      </c>
      <c r="AL1229" t="s">
        <v>11326</v>
      </c>
    </row>
    <row r="1230" spans="1:38">
      <c r="A1230" t="s">
        <v>9123</v>
      </c>
      <c r="B1230" t="s">
        <v>12509</v>
      </c>
      <c r="C1230" t="s">
        <v>9129</v>
      </c>
      <c r="D1230" t="s">
        <v>9130</v>
      </c>
      <c r="E1230" s="2">
        <v>100</v>
      </c>
      <c r="F1230" s="2">
        <v>2100</v>
      </c>
      <c r="G1230" s="3">
        <v>43285</v>
      </c>
      <c r="H1230" s="4">
        <v>2.777777777778E-2</v>
      </c>
      <c r="I1230" s="3">
        <v>43285</v>
      </c>
      <c r="J1230" s="4">
        <v>0.12136574074074</v>
      </c>
      <c r="K1230" s="2">
        <v>0</v>
      </c>
      <c r="L1230" t="s">
        <v>5856</v>
      </c>
      <c r="M1230" t="s">
        <v>9152</v>
      </c>
      <c r="N1230" s="3">
        <v>43293</v>
      </c>
      <c r="O1230" s="3">
        <v>43292</v>
      </c>
      <c r="P1230" t="s">
        <v>9131</v>
      </c>
      <c r="Q1230" t="s">
        <v>6038</v>
      </c>
      <c r="R1230" t="s">
        <v>6039</v>
      </c>
      <c r="S1230" s="3"/>
      <c r="T1230" t="s">
        <v>9938</v>
      </c>
      <c r="U1230" t="s">
        <v>9132</v>
      </c>
      <c r="V1230" t="s">
        <v>9133</v>
      </c>
      <c r="W1230" t="s">
        <v>5914</v>
      </c>
      <c r="X1230" s="2">
        <v>935</v>
      </c>
      <c r="Y1230" t="s">
        <v>5858</v>
      </c>
      <c r="Z1230" t="s">
        <v>6037</v>
      </c>
      <c r="AA1230" s="2">
        <v>0</v>
      </c>
      <c r="AB1230" t="s">
        <v>5859</v>
      </c>
      <c r="AC1230" t="s">
        <v>9981</v>
      </c>
      <c r="AD1230" s="32">
        <v>43271</v>
      </c>
      <c r="AJ1230" t="s">
        <v>9967</v>
      </c>
      <c r="AL1230" t="s">
        <v>11327</v>
      </c>
    </row>
    <row r="1231" spans="1:38">
      <c r="A1231" t="s">
        <v>9123</v>
      </c>
      <c r="B1231" t="s">
        <v>12510</v>
      </c>
      <c r="C1231" t="s">
        <v>9144</v>
      </c>
      <c r="D1231" t="s">
        <v>9145</v>
      </c>
      <c r="E1231" s="2">
        <v>1030</v>
      </c>
      <c r="F1231" s="2">
        <v>1030</v>
      </c>
      <c r="G1231" s="3">
        <v>43285</v>
      </c>
      <c r="H1231" s="4">
        <v>0.21164351851852001</v>
      </c>
      <c r="I1231" s="3">
        <v>43285</v>
      </c>
      <c r="J1231" s="4">
        <v>0.25754629629629999</v>
      </c>
      <c r="K1231" s="2">
        <v>20</v>
      </c>
      <c r="L1231" t="s">
        <v>5856</v>
      </c>
      <c r="M1231" t="s">
        <v>9153</v>
      </c>
      <c r="N1231" s="3">
        <v>43292</v>
      </c>
      <c r="O1231" s="3">
        <v>43292</v>
      </c>
      <c r="P1231" t="s">
        <v>7755</v>
      </c>
      <c r="Q1231" t="s">
        <v>9154</v>
      </c>
      <c r="R1231" t="s">
        <v>6036</v>
      </c>
      <c r="S1231" s="3">
        <v>43292</v>
      </c>
      <c r="T1231" t="s">
        <v>9938</v>
      </c>
      <c r="U1231" t="s">
        <v>9148</v>
      </c>
      <c r="V1231" t="s">
        <v>9149</v>
      </c>
      <c r="W1231" t="s">
        <v>5857</v>
      </c>
      <c r="X1231" s="2">
        <v>935</v>
      </c>
      <c r="Y1231" t="s">
        <v>5858</v>
      </c>
      <c r="Z1231" t="s">
        <v>6037</v>
      </c>
      <c r="AA1231" s="2">
        <v>1000</v>
      </c>
      <c r="AB1231" t="s">
        <v>5859</v>
      </c>
      <c r="AC1231" t="s">
        <v>9981</v>
      </c>
      <c r="AD1231" s="32">
        <v>43271</v>
      </c>
      <c r="AJ1231" t="s">
        <v>9967</v>
      </c>
      <c r="AL1231" t="s">
        <v>11328</v>
      </c>
    </row>
    <row r="1232" spans="1:38">
      <c r="A1232" t="s">
        <v>9123</v>
      </c>
      <c r="B1232" t="s">
        <v>12511</v>
      </c>
      <c r="C1232" t="s">
        <v>9136</v>
      </c>
      <c r="D1232" t="s">
        <v>9137</v>
      </c>
      <c r="E1232" s="5">
        <v>14986.5</v>
      </c>
      <c r="F1232" s="5">
        <v>14986.5</v>
      </c>
      <c r="G1232" s="3">
        <v>43285</v>
      </c>
      <c r="H1232" s="4">
        <v>0.28532407407407001</v>
      </c>
      <c r="I1232" s="3">
        <v>43285</v>
      </c>
      <c r="J1232" s="4">
        <v>0.95317129629630004</v>
      </c>
      <c r="K1232" s="2">
        <v>0</v>
      </c>
      <c r="L1232" t="s">
        <v>5856</v>
      </c>
      <c r="M1232" t="s">
        <v>9155</v>
      </c>
      <c r="N1232" s="3">
        <v>43293</v>
      </c>
      <c r="O1232" s="3">
        <v>43292</v>
      </c>
      <c r="P1232" t="s">
        <v>7755</v>
      </c>
      <c r="Q1232" t="s">
        <v>9156</v>
      </c>
      <c r="R1232" t="s">
        <v>6036</v>
      </c>
      <c r="S1232" s="3">
        <v>43298</v>
      </c>
      <c r="T1232" t="s">
        <v>9938</v>
      </c>
      <c r="U1232" t="s">
        <v>9139</v>
      </c>
      <c r="V1232" t="s">
        <v>9140</v>
      </c>
      <c r="W1232" t="s">
        <v>5857</v>
      </c>
      <c r="X1232" s="2">
        <v>935</v>
      </c>
      <c r="Y1232" t="s">
        <v>5858</v>
      </c>
      <c r="Z1232" t="s">
        <v>6037</v>
      </c>
      <c r="AA1232" s="2">
        <v>14550</v>
      </c>
      <c r="AB1232" t="s">
        <v>5859</v>
      </c>
      <c r="AC1232" t="s">
        <v>9981</v>
      </c>
      <c r="AD1232" s="32">
        <v>43270</v>
      </c>
      <c r="AJ1232" t="s">
        <v>9967</v>
      </c>
      <c r="AL1232" t="s">
        <v>11329</v>
      </c>
    </row>
    <row r="1233" spans="1:38">
      <c r="A1233" t="s">
        <v>9123</v>
      </c>
      <c r="B1233" t="s">
        <v>12512</v>
      </c>
      <c r="C1233" t="s">
        <v>9144</v>
      </c>
      <c r="D1233" t="s">
        <v>9145</v>
      </c>
      <c r="E1233" s="2">
        <v>1030</v>
      </c>
      <c r="F1233" s="2">
        <v>1030</v>
      </c>
      <c r="G1233" s="3">
        <v>43285</v>
      </c>
      <c r="H1233" s="4">
        <v>0.98094907407406995</v>
      </c>
      <c r="I1233" s="3">
        <v>43286</v>
      </c>
      <c r="J1233" s="4">
        <v>2.685185185185E-2</v>
      </c>
      <c r="K1233" s="2">
        <v>20</v>
      </c>
      <c r="L1233" t="s">
        <v>5856</v>
      </c>
      <c r="M1233" t="s">
        <v>9153</v>
      </c>
      <c r="N1233" s="3">
        <v>43293</v>
      </c>
      <c r="O1233" s="3">
        <v>43293</v>
      </c>
      <c r="P1233" t="s">
        <v>7755</v>
      </c>
      <c r="Q1233" t="s">
        <v>9157</v>
      </c>
      <c r="R1233" t="s">
        <v>6036</v>
      </c>
      <c r="S1233" s="3">
        <v>43293</v>
      </c>
      <c r="T1233" t="s">
        <v>9938</v>
      </c>
      <c r="U1233" t="s">
        <v>9148</v>
      </c>
      <c r="V1233" t="s">
        <v>9149</v>
      </c>
      <c r="W1233" t="s">
        <v>5857</v>
      </c>
      <c r="X1233" s="2">
        <v>935</v>
      </c>
      <c r="Y1233" t="s">
        <v>5858</v>
      </c>
      <c r="Z1233" t="s">
        <v>6037</v>
      </c>
      <c r="AA1233" s="2">
        <v>1000</v>
      </c>
      <c r="AB1233" t="s">
        <v>5859</v>
      </c>
      <c r="AC1233" t="s">
        <v>9981</v>
      </c>
      <c r="AD1233" s="32">
        <v>43272</v>
      </c>
      <c r="AJ1233" t="s">
        <v>9967</v>
      </c>
      <c r="AL1233" t="s">
        <v>11330</v>
      </c>
    </row>
    <row r="1234" spans="1:38">
      <c r="A1234" t="s">
        <v>9123</v>
      </c>
      <c r="B1234" t="s">
        <v>12513</v>
      </c>
      <c r="C1234" t="s">
        <v>9136</v>
      </c>
      <c r="D1234" t="s">
        <v>9137</v>
      </c>
      <c r="E1234" s="2">
        <v>10300</v>
      </c>
      <c r="F1234" s="2">
        <v>10300</v>
      </c>
      <c r="G1234" s="3">
        <v>43288</v>
      </c>
      <c r="H1234" s="4">
        <v>2.777777777778E-2</v>
      </c>
      <c r="I1234" s="3">
        <v>43288</v>
      </c>
      <c r="J1234" s="4">
        <v>0.48678240740741002</v>
      </c>
      <c r="K1234" s="2">
        <v>0</v>
      </c>
      <c r="L1234" t="s">
        <v>5856</v>
      </c>
      <c r="M1234" t="s">
        <v>9124</v>
      </c>
      <c r="N1234" s="3">
        <v>43297</v>
      </c>
      <c r="O1234" s="3">
        <v>43295</v>
      </c>
      <c r="P1234" t="s">
        <v>7755</v>
      </c>
      <c r="Q1234" t="s">
        <v>9158</v>
      </c>
      <c r="R1234" t="s">
        <v>6036</v>
      </c>
      <c r="S1234" s="3">
        <v>43297</v>
      </c>
      <c r="T1234" t="s">
        <v>9938</v>
      </c>
      <c r="U1234" t="s">
        <v>9139</v>
      </c>
      <c r="V1234" t="s">
        <v>9140</v>
      </c>
      <c r="W1234" t="s">
        <v>5857</v>
      </c>
      <c r="X1234" s="2">
        <v>935</v>
      </c>
      <c r="Y1234" t="s">
        <v>5858</v>
      </c>
      <c r="Z1234" t="s">
        <v>6037</v>
      </c>
      <c r="AA1234" s="2">
        <v>10000</v>
      </c>
      <c r="AB1234" t="s">
        <v>5859</v>
      </c>
      <c r="AC1234" t="s">
        <v>9981</v>
      </c>
      <c r="AD1234" s="32">
        <v>43259</v>
      </c>
      <c r="AJ1234" t="s">
        <v>9967</v>
      </c>
      <c r="AL1234" t="s">
        <v>11331</v>
      </c>
    </row>
    <row r="1235" spans="1:38">
      <c r="A1235" t="s">
        <v>9123</v>
      </c>
      <c r="B1235" t="s">
        <v>12514</v>
      </c>
      <c r="C1235" t="s">
        <v>9136</v>
      </c>
      <c r="D1235" t="s">
        <v>9137</v>
      </c>
      <c r="E1235" s="2">
        <v>10000</v>
      </c>
      <c r="F1235" s="2">
        <v>10000</v>
      </c>
      <c r="G1235" s="3">
        <v>43289</v>
      </c>
      <c r="H1235" s="4">
        <v>5.555555555556E-2</v>
      </c>
      <c r="I1235" s="3">
        <v>43289</v>
      </c>
      <c r="J1235" s="4">
        <v>0.50119212962963</v>
      </c>
      <c r="K1235" s="2">
        <v>0</v>
      </c>
      <c r="L1235" t="s">
        <v>5856</v>
      </c>
      <c r="M1235" t="s">
        <v>9159</v>
      </c>
      <c r="N1235" s="3">
        <v>43305</v>
      </c>
      <c r="O1235" s="3">
        <v>43296</v>
      </c>
      <c r="P1235" t="s">
        <v>7755</v>
      </c>
      <c r="Q1235" t="s">
        <v>9160</v>
      </c>
      <c r="R1235" t="s">
        <v>6036</v>
      </c>
      <c r="S1235" s="3">
        <v>43305</v>
      </c>
      <c r="T1235" t="s">
        <v>9938</v>
      </c>
      <c r="U1235" t="s">
        <v>9139</v>
      </c>
      <c r="V1235" t="s">
        <v>9140</v>
      </c>
      <c r="W1235" t="s">
        <v>5857</v>
      </c>
      <c r="X1235" s="2">
        <v>935</v>
      </c>
      <c r="Y1235" t="s">
        <v>5858</v>
      </c>
      <c r="Z1235" t="s">
        <v>6037</v>
      </c>
      <c r="AA1235" s="2">
        <v>10000</v>
      </c>
      <c r="AB1235" t="s">
        <v>5863</v>
      </c>
      <c r="AC1235" t="s">
        <v>9981</v>
      </c>
      <c r="AD1235" s="32">
        <v>43270</v>
      </c>
      <c r="AJ1235" t="s">
        <v>9967</v>
      </c>
      <c r="AL1235" t="s">
        <v>11332</v>
      </c>
    </row>
    <row r="1236" spans="1:38">
      <c r="A1236" t="s">
        <v>9123</v>
      </c>
      <c r="B1236" t="s">
        <v>12515</v>
      </c>
      <c r="C1236" t="s">
        <v>9144</v>
      </c>
      <c r="D1236" t="s">
        <v>9145</v>
      </c>
      <c r="E1236" s="2">
        <v>19500</v>
      </c>
      <c r="F1236" s="2">
        <v>19500</v>
      </c>
      <c r="G1236" s="3">
        <v>43289</v>
      </c>
      <c r="H1236" s="4">
        <v>0.69001157407406999</v>
      </c>
      <c r="I1236" s="3">
        <v>43290</v>
      </c>
      <c r="J1236" s="4">
        <v>0.55899305555556</v>
      </c>
      <c r="K1236" s="2">
        <v>0</v>
      </c>
      <c r="L1236" t="s">
        <v>5856</v>
      </c>
      <c r="M1236" t="s">
        <v>9161</v>
      </c>
      <c r="N1236" s="3">
        <v>43293</v>
      </c>
      <c r="O1236" s="3">
        <v>43297</v>
      </c>
      <c r="P1236" t="s">
        <v>7755</v>
      </c>
      <c r="Q1236" t="s">
        <v>9162</v>
      </c>
      <c r="R1236" t="s">
        <v>6036</v>
      </c>
      <c r="S1236" s="3">
        <v>43298</v>
      </c>
      <c r="T1236" t="s">
        <v>9938</v>
      </c>
      <c r="U1236" t="s">
        <v>9148</v>
      </c>
      <c r="V1236" t="s">
        <v>9149</v>
      </c>
      <c r="W1236" t="s">
        <v>5857</v>
      </c>
      <c r="X1236" s="2">
        <v>935</v>
      </c>
      <c r="Y1236" t="s">
        <v>5858</v>
      </c>
      <c r="Z1236" t="s">
        <v>6037</v>
      </c>
      <c r="AA1236" s="2">
        <v>19500</v>
      </c>
      <c r="AB1236" t="s">
        <v>5863</v>
      </c>
      <c r="AC1236" t="s">
        <v>9981</v>
      </c>
      <c r="AD1236" s="32">
        <v>43270</v>
      </c>
      <c r="AJ1236" t="s">
        <v>9967</v>
      </c>
      <c r="AL1236" t="s">
        <v>11333</v>
      </c>
    </row>
    <row r="1237" spans="1:38">
      <c r="A1237" t="s">
        <v>9123</v>
      </c>
      <c r="B1237" t="s">
        <v>12519</v>
      </c>
      <c r="C1237" t="s">
        <v>9171</v>
      </c>
      <c r="D1237" t="s">
        <v>9172</v>
      </c>
      <c r="E1237" s="5">
        <v>6411.75</v>
      </c>
      <c r="F1237" s="5">
        <v>6411.75</v>
      </c>
      <c r="G1237" s="3">
        <v>43290</v>
      </c>
      <c r="H1237" s="4">
        <v>0</v>
      </c>
      <c r="I1237" s="3">
        <v>43290</v>
      </c>
      <c r="J1237" s="4">
        <v>0.28572916666666998</v>
      </c>
      <c r="K1237" s="2">
        <v>20</v>
      </c>
      <c r="L1237" t="s">
        <v>5856</v>
      </c>
      <c r="M1237" t="s">
        <v>9173</v>
      </c>
      <c r="N1237" s="3">
        <v>43297</v>
      </c>
      <c r="O1237" s="3">
        <v>43292</v>
      </c>
      <c r="P1237" t="s">
        <v>5862</v>
      </c>
      <c r="Q1237" t="s">
        <v>9174</v>
      </c>
      <c r="R1237" t="s">
        <v>6036</v>
      </c>
      <c r="S1237" s="3">
        <v>43297</v>
      </c>
      <c r="T1237" t="s">
        <v>9938</v>
      </c>
      <c r="U1237" t="s">
        <v>9175</v>
      </c>
      <c r="V1237" t="s">
        <v>9176</v>
      </c>
      <c r="W1237" t="s">
        <v>5857</v>
      </c>
      <c r="X1237" s="2">
        <v>935</v>
      </c>
      <c r="Y1237" t="s">
        <v>5858</v>
      </c>
      <c r="Z1237" t="s">
        <v>6037</v>
      </c>
      <c r="AA1237" s="2">
        <v>6225</v>
      </c>
      <c r="AB1237" t="s">
        <v>5863</v>
      </c>
      <c r="AC1237" t="s">
        <v>9981</v>
      </c>
      <c r="AD1237" s="32">
        <v>43276</v>
      </c>
      <c r="AJ1237" t="s">
        <v>9967</v>
      </c>
      <c r="AL1237" t="s">
        <v>11336</v>
      </c>
    </row>
    <row r="1238" spans="1:38">
      <c r="A1238" t="s">
        <v>9123</v>
      </c>
      <c r="B1238" t="s">
        <v>13471</v>
      </c>
      <c r="C1238" t="s">
        <v>9129</v>
      </c>
      <c r="D1238" t="s">
        <v>9130</v>
      </c>
      <c r="E1238" s="2">
        <v>50</v>
      </c>
      <c r="F1238" s="2">
        <v>1050</v>
      </c>
      <c r="G1238" s="3">
        <v>43290</v>
      </c>
      <c r="H1238" s="4">
        <v>0.57982638888889004</v>
      </c>
      <c r="I1238" s="3">
        <v>43290</v>
      </c>
      <c r="J1238" s="4">
        <v>0.62662037037036999</v>
      </c>
      <c r="K1238" s="2">
        <v>0</v>
      </c>
      <c r="L1238" t="s">
        <v>5856</v>
      </c>
      <c r="M1238" t="s">
        <v>9134</v>
      </c>
      <c r="N1238" s="3">
        <v>43307</v>
      </c>
      <c r="O1238" s="3">
        <v>43297</v>
      </c>
      <c r="P1238" t="s">
        <v>9131</v>
      </c>
      <c r="Q1238" t="s">
        <v>6038</v>
      </c>
      <c r="R1238" t="s">
        <v>6039</v>
      </c>
      <c r="S1238" s="3"/>
      <c r="T1238" t="s">
        <v>9938</v>
      </c>
      <c r="U1238" t="s">
        <v>9132</v>
      </c>
      <c r="V1238" t="s">
        <v>9133</v>
      </c>
      <c r="W1238" t="s">
        <v>5914</v>
      </c>
      <c r="X1238" s="2">
        <v>935</v>
      </c>
      <c r="Y1238" t="s">
        <v>5858</v>
      </c>
      <c r="Z1238" t="s">
        <v>6037</v>
      </c>
      <c r="AA1238" s="2">
        <v>0</v>
      </c>
      <c r="AB1238" t="s">
        <v>5859</v>
      </c>
      <c r="AC1238" t="s">
        <v>9981</v>
      </c>
      <c r="AD1238" s="32">
        <v>43279</v>
      </c>
      <c r="AJ1238" t="s">
        <v>9967</v>
      </c>
      <c r="AL1238" t="s">
        <v>14172</v>
      </c>
    </row>
    <row r="1239" spans="1:38">
      <c r="A1239" t="s">
        <v>9123</v>
      </c>
      <c r="B1239" t="s">
        <v>12518</v>
      </c>
      <c r="C1239" t="s">
        <v>9136</v>
      </c>
      <c r="D1239" t="s">
        <v>9137</v>
      </c>
      <c r="E1239" s="2">
        <v>5000</v>
      </c>
      <c r="F1239" s="2">
        <v>5000</v>
      </c>
      <c r="G1239" s="3">
        <v>43295</v>
      </c>
      <c r="H1239" s="4">
        <v>9.5393518518520001E-2</v>
      </c>
      <c r="I1239" s="3">
        <v>43295</v>
      </c>
      <c r="J1239" s="4">
        <v>0.31820601851851998</v>
      </c>
      <c r="K1239" s="2">
        <v>0</v>
      </c>
      <c r="L1239" t="s">
        <v>5856</v>
      </c>
      <c r="M1239" t="s">
        <v>9142</v>
      </c>
      <c r="N1239" s="3">
        <v>43300</v>
      </c>
      <c r="O1239" s="3">
        <v>43302</v>
      </c>
      <c r="P1239" t="s">
        <v>7755</v>
      </c>
      <c r="Q1239" t="s">
        <v>9169</v>
      </c>
      <c r="R1239" t="s">
        <v>6036</v>
      </c>
      <c r="S1239" s="3">
        <v>43300</v>
      </c>
      <c r="T1239" t="s">
        <v>9938</v>
      </c>
      <c r="U1239" t="s">
        <v>9139</v>
      </c>
      <c r="V1239" t="s">
        <v>9140</v>
      </c>
      <c r="W1239" t="s">
        <v>5857</v>
      </c>
      <c r="X1239" s="2">
        <v>935</v>
      </c>
      <c r="Y1239" t="s">
        <v>5858</v>
      </c>
      <c r="Z1239" t="s">
        <v>6037</v>
      </c>
      <c r="AA1239" s="2">
        <v>5000</v>
      </c>
      <c r="AB1239" t="s">
        <v>5863</v>
      </c>
      <c r="AC1239" t="s">
        <v>9981</v>
      </c>
      <c r="AD1239" s="32">
        <v>43272</v>
      </c>
      <c r="AJ1239" t="s">
        <v>9967</v>
      </c>
      <c r="AL1239" t="s">
        <v>11335</v>
      </c>
    </row>
    <row r="1240" spans="1:38">
      <c r="A1240" t="s">
        <v>9123</v>
      </c>
      <c r="B1240" t="s">
        <v>12517</v>
      </c>
      <c r="C1240" t="s">
        <v>9129</v>
      </c>
      <c r="D1240" t="s">
        <v>9130</v>
      </c>
      <c r="E1240" s="2">
        <v>2000</v>
      </c>
      <c r="F1240" s="2">
        <v>2000</v>
      </c>
      <c r="G1240" s="3">
        <v>43295</v>
      </c>
      <c r="H1240" s="4">
        <v>0.38070601851851998</v>
      </c>
      <c r="I1240" s="3">
        <v>43295</v>
      </c>
      <c r="J1240" s="4">
        <v>0.46983796296295999</v>
      </c>
      <c r="K1240" s="2">
        <v>0</v>
      </c>
      <c r="L1240" t="s">
        <v>5856</v>
      </c>
      <c r="M1240" t="s">
        <v>9167</v>
      </c>
      <c r="N1240" s="3">
        <v>43311</v>
      </c>
      <c r="O1240" s="3">
        <v>43302</v>
      </c>
      <c r="P1240" t="s">
        <v>9131</v>
      </c>
      <c r="Q1240" t="s">
        <v>9168</v>
      </c>
      <c r="R1240" t="s">
        <v>6036</v>
      </c>
      <c r="S1240" s="3">
        <v>43311</v>
      </c>
      <c r="T1240" t="s">
        <v>9938</v>
      </c>
      <c r="U1240" t="s">
        <v>9132</v>
      </c>
      <c r="V1240" t="s">
        <v>9133</v>
      </c>
      <c r="W1240" t="s">
        <v>5914</v>
      </c>
      <c r="X1240" s="2">
        <v>935</v>
      </c>
      <c r="Y1240" t="s">
        <v>5858</v>
      </c>
      <c r="Z1240" t="s">
        <v>6037</v>
      </c>
      <c r="AA1240" s="2">
        <v>2000</v>
      </c>
      <c r="AB1240" t="s">
        <v>5863</v>
      </c>
      <c r="AC1240" t="s">
        <v>9981</v>
      </c>
      <c r="AD1240" s="32">
        <v>43271</v>
      </c>
      <c r="AJ1240" t="s">
        <v>9967</v>
      </c>
      <c r="AL1240" t="s">
        <v>11334</v>
      </c>
    </row>
    <row r="1241" spans="1:38">
      <c r="A1241" t="s">
        <v>9123</v>
      </c>
      <c r="B1241" t="s">
        <v>12516</v>
      </c>
      <c r="C1241" t="s">
        <v>9163</v>
      </c>
      <c r="D1241" t="s">
        <v>9164</v>
      </c>
      <c r="E1241" s="2">
        <v>3296</v>
      </c>
      <c r="F1241" s="2">
        <v>3296</v>
      </c>
      <c r="G1241" s="3">
        <v>43295</v>
      </c>
      <c r="H1241" s="4">
        <v>0.49067129629630002</v>
      </c>
      <c r="I1241" s="3">
        <v>43295</v>
      </c>
      <c r="J1241" s="4">
        <v>0.6375462962963</v>
      </c>
      <c r="K1241" s="2">
        <v>20</v>
      </c>
      <c r="L1241" t="s">
        <v>5856</v>
      </c>
      <c r="M1241" t="s">
        <v>13472</v>
      </c>
      <c r="N1241" s="3">
        <v>43300</v>
      </c>
      <c r="O1241" s="3">
        <v>43297</v>
      </c>
      <c r="P1241" t="s">
        <v>5881</v>
      </c>
      <c r="Q1241" t="s">
        <v>9165</v>
      </c>
      <c r="R1241" t="s">
        <v>6036</v>
      </c>
      <c r="S1241" s="3">
        <v>43300</v>
      </c>
      <c r="T1241" t="s">
        <v>9938</v>
      </c>
      <c r="U1241" t="s">
        <v>5894</v>
      </c>
      <c r="V1241" t="s">
        <v>9166</v>
      </c>
      <c r="W1241" t="s">
        <v>5857</v>
      </c>
      <c r="X1241" s="2">
        <v>935</v>
      </c>
      <c r="Y1241" t="s">
        <v>5858</v>
      </c>
      <c r="Z1241" t="s">
        <v>6037</v>
      </c>
      <c r="AA1241" s="2">
        <v>3200</v>
      </c>
      <c r="AB1241" t="s">
        <v>5863</v>
      </c>
      <c r="AC1241" t="s">
        <v>9978</v>
      </c>
      <c r="AD1241" s="32">
        <v>43263</v>
      </c>
      <c r="AJ1241" t="s">
        <v>9958</v>
      </c>
      <c r="AL1241" t="s">
        <v>14173</v>
      </c>
    </row>
    <row r="1242" spans="1:38">
      <c r="A1242" t="s">
        <v>9123</v>
      </c>
      <c r="B1242" t="s">
        <v>13473</v>
      </c>
      <c r="C1242" t="s">
        <v>13474</v>
      </c>
      <c r="D1242" t="s">
        <v>13475</v>
      </c>
      <c r="E1242" s="2">
        <v>18540</v>
      </c>
      <c r="F1242" s="2">
        <v>18540</v>
      </c>
      <c r="G1242" s="3">
        <v>43295</v>
      </c>
      <c r="H1242" s="4">
        <v>0.65837962962963004</v>
      </c>
      <c r="I1242" s="3">
        <v>43296</v>
      </c>
      <c r="J1242" s="4">
        <v>0.48458333333332998</v>
      </c>
      <c r="K1242" s="2">
        <v>20</v>
      </c>
      <c r="L1242" t="s">
        <v>5856</v>
      </c>
      <c r="M1242" t="s">
        <v>9189</v>
      </c>
      <c r="N1242" s="3">
        <v>43308</v>
      </c>
      <c r="O1242" s="3">
        <v>43303</v>
      </c>
      <c r="P1242" t="s">
        <v>7755</v>
      </c>
      <c r="Q1242" t="s">
        <v>13476</v>
      </c>
      <c r="R1242" t="s">
        <v>6036</v>
      </c>
      <c r="S1242" s="3">
        <v>43308</v>
      </c>
      <c r="T1242" t="s">
        <v>9938</v>
      </c>
      <c r="U1242" t="s">
        <v>9128</v>
      </c>
      <c r="V1242" t="s">
        <v>9228</v>
      </c>
      <c r="W1242" t="s">
        <v>6038</v>
      </c>
      <c r="X1242" s="2">
        <v>935</v>
      </c>
      <c r="Y1242" t="s">
        <v>5858</v>
      </c>
      <c r="Z1242" t="s">
        <v>6037</v>
      </c>
      <c r="AA1242" s="2">
        <v>18000</v>
      </c>
      <c r="AB1242" t="s">
        <v>5863</v>
      </c>
      <c r="AC1242" t="s">
        <v>9989</v>
      </c>
      <c r="AD1242" s="32">
        <v>43280</v>
      </c>
      <c r="AJ1242" t="s">
        <v>9967</v>
      </c>
      <c r="AL1242" t="s">
        <v>14174</v>
      </c>
    </row>
    <row r="1243" spans="1:38">
      <c r="A1243" t="s">
        <v>9123</v>
      </c>
      <c r="B1243" t="s">
        <v>13477</v>
      </c>
      <c r="C1243" t="s">
        <v>13478</v>
      </c>
      <c r="D1243" t="s">
        <v>13479</v>
      </c>
      <c r="E1243" s="2">
        <v>10300</v>
      </c>
      <c r="F1243" s="2">
        <v>10300</v>
      </c>
      <c r="G1243" s="3">
        <v>43296</v>
      </c>
      <c r="H1243" s="4">
        <v>0.50541666666666996</v>
      </c>
      <c r="I1243" s="3">
        <v>43296</v>
      </c>
      <c r="J1243" s="4">
        <v>0.96442129629630002</v>
      </c>
      <c r="K1243" s="2">
        <v>0</v>
      </c>
      <c r="L1243" t="s">
        <v>5856</v>
      </c>
      <c r="M1243" t="s">
        <v>9124</v>
      </c>
      <c r="N1243" s="3">
        <v>43300</v>
      </c>
      <c r="O1243" s="3">
        <v>43298</v>
      </c>
      <c r="P1243" t="s">
        <v>5862</v>
      </c>
      <c r="Q1243" t="s">
        <v>13480</v>
      </c>
      <c r="R1243" t="s">
        <v>6036</v>
      </c>
      <c r="S1243" s="3">
        <v>43300</v>
      </c>
      <c r="T1243" t="s">
        <v>9938</v>
      </c>
      <c r="U1243" t="s">
        <v>9207</v>
      </c>
      <c r="V1243" t="s">
        <v>13481</v>
      </c>
      <c r="W1243" t="s">
        <v>5914</v>
      </c>
      <c r="X1243" s="2">
        <v>935</v>
      </c>
      <c r="Y1243" t="s">
        <v>5858</v>
      </c>
      <c r="Z1243" t="s">
        <v>6037</v>
      </c>
      <c r="AA1243" s="2">
        <v>10000</v>
      </c>
      <c r="AB1243" t="s">
        <v>5863</v>
      </c>
      <c r="AC1243" t="s">
        <v>9981</v>
      </c>
      <c r="AD1243" s="32">
        <v>43279</v>
      </c>
      <c r="AJ1243" t="s">
        <v>9967</v>
      </c>
      <c r="AL1243" t="s">
        <v>14175</v>
      </c>
    </row>
    <row r="1244" spans="1:38">
      <c r="A1244" t="s">
        <v>9123</v>
      </c>
      <c r="B1244" t="s">
        <v>12520</v>
      </c>
      <c r="C1244" t="s">
        <v>9144</v>
      </c>
      <c r="D1244" t="s">
        <v>9145</v>
      </c>
      <c r="E1244" s="2">
        <v>4120</v>
      </c>
      <c r="F1244" s="2">
        <v>4120</v>
      </c>
      <c r="G1244" s="3">
        <v>43296</v>
      </c>
      <c r="H1244" s="4">
        <v>0.98525462962962995</v>
      </c>
      <c r="I1244" s="3">
        <v>43297</v>
      </c>
      <c r="J1244" s="4">
        <v>0.16885416666667</v>
      </c>
      <c r="K1244" s="2">
        <v>0</v>
      </c>
      <c r="L1244" t="s">
        <v>5856</v>
      </c>
      <c r="M1244" t="s">
        <v>9177</v>
      </c>
      <c r="N1244" s="3">
        <v>43304</v>
      </c>
      <c r="O1244" s="3">
        <v>43304</v>
      </c>
      <c r="P1244" t="s">
        <v>7755</v>
      </c>
      <c r="Q1244" t="s">
        <v>9178</v>
      </c>
      <c r="R1244" t="s">
        <v>6036</v>
      </c>
      <c r="S1244" s="3">
        <v>43304</v>
      </c>
      <c r="T1244" t="s">
        <v>9938</v>
      </c>
      <c r="U1244" t="s">
        <v>9148</v>
      </c>
      <c r="V1244" t="s">
        <v>9149</v>
      </c>
      <c r="W1244" t="s">
        <v>5857</v>
      </c>
      <c r="X1244" s="2">
        <v>935</v>
      </c>
      <c r="Y1244" t="s">
        <v>5858</v>
      </c>
      <c r="Z1244" t="s">
        <v>6037</v>
      </c>
      <c r="AA1244" s="2">
        <v>4000</v>
      </c>
      <c r="AB1244" t="s">
        <v>5863</v>
      </c>
      <c r="AC1244" t="s">
        <v>9981</v>
      </c>
      <c r="AD1244" s="32">
        <v>43276</v>
      </c>
      <c r="AJ1244" t="s">
        <v>9967</v>
      </c>
      <c r="AL1244" t="s">
        <v>11337</v>
      </c>
    </row>
    <row r="1245" spans="1:38">
      <c r="A1245" t="s">
        <v>9123</v>
      </c>
      <c r="B1245" t="s">
        <v>12521</v>
      </c>
      <c r="C1245" t="s">
        <v>9144</v>
      </c>
      <c r="D1245" t="s">
        <v>9145</v>
      </c>
      <c r="E1245" s="2">
        <v>4120</v>
      </c>
      <c r="F1245" s="2">
        <v>4120</v>
      </c>
      <c r="G1245" s="3">
        <v>43297</v>
      </c>
      <c r="H1245" s="4">
        <v>0.19663194444443999</v>
      </c>
      <c r="I1245" s="3">
        <v>43297</v>
      </c>
      <c r="J1245" s="4">
        <v>0.38023148148148</v>
      </c>
      <c r="K1245" s="2">
        <v>20</v>
      </c>
      <c r="L1245" t="s">
        <v>5856</v>
      </c>
      <c r="M1245" t="s">
        <v>9177</v>
      </c>
      <c r="N1245" s="3">
        <v>43304</v>
      </c>
      <c r="O1245" s="3">
        <v>43304</v>
      </c>
      <c r="P1245" t="s">
        <v>7755</v>
      </c>
      <c r="Q1245" t="s">
        <v>9179</v>
      </c>
      <c r="R1245" t="s">
        <v>6036</v>
      </c>
      <c r="S1245" s="3">
        <v>43304</v>
      </c>
      <c r="T1245" t="s">
        <v>9938</v>
      </c>
      <c r="U1245" t="s">
        <v>9148</v>
      </c>
      <c r="V1245" t="s">
        <v>9149</v>
      </c>
      <c r="W1245" t="s">
        <v>5857</v>
      </c>
      <c r="X1245" s="2">
        <v>935</v>
      </c>
      <c r="Y1245" t="s">
        <v>5858</v>
      </c>
      <c r="Z1245" t="s">
        <v>6037</v>
      </c>
      <c r="AA1245" s="2">
        <v>4000</v>
      </c>
      <c r="AB1245" t="s">
        <v>5863</v>
      </c>
      <c r="AC1245" t="s">
        <v>9981</v>
      </c>
      <c r="AD1245" s="32">
        <v>43276</v>
      </c>
      <c r="AJ1245" t="s">
        <v>9967</v>
      </c>
      <c r="AL1245" t="s">
        <v>11338</v>
      </c>
    </row>
    <row r="1246" spans="1:38">
      <c r="A1246" t="s">
        <v>9123</v>
      </c>
      <c r="B1246" t="s">
        <v>13482</v>
      </c>
      <c r="C1246" t="s">
        <v>9286</v>
      </c>
      <c r="D1246" t="s">
        <v>9287</v>
      </c>
      <c r="E1246" s="2">
        <v>3090</v>
      </c>
      <c r="F1246" s="2">
        <v>3090</v>
      </c>
      <c r="G1246" s="3">
        <v>43297</v>
      </c>
      <c r="H1246" s="4">
        <v>0.40800925925926002</v>
      </c>
      <c r="I1246" s="3">
        <v>43297</v>
      </c>
      <c r="J1246" s="4">
        <v>0.54570601851851996</v>
      </c>
      <c r="K1246" s="2">
        <v>0</v>
      </c>
      <c r="L1246" t="s">
        <v>5856</v>
      </c>
      <c r="M1246" t="s">
        <v>13483</v>
      </c>
      <c r="N1246" s="3">
        <v>43300</v>
      </c>
      <c r="O1246" s="3">
        <v>43299</v>
      </c>
      <c r="P1246" t="s">
        <v>5967</v>
      </c>
      <c r="Q1246" t="s">
        <v>13484</v>
      </c>
      <c r="R1246" t="s">
        <v>6036</v>
      </c>
      <c r="S1246" s="3">
        <v>43300</v>
      </c>
      <c r="T1246" t="s">
        <v>9938</v>
      </c>
      <c r="U1246" t="s">
        <v>9175</v>
      </c>
      <c r="V1246" t="s">
        <v>6041</v>
      </c>
      <c r="W1246" t="s">
        <v>5857</v>
      </c>
      <c r="X1246" s="2">
        <v>935</v>
      </c>
      <c r="Y1246" t="s">
        <v>5858</v>
      </c>
      <c r="Z1246" t="s">
        <v>6037</v>
      </c>
      <c r="AA1246" s="2">
        <v>3000</v>
      </c>
      <c r="AB1246" t="s">
        <v>5863</v>
      </c>
      <c r="AC1246" t="s">
        <v>9981</v>
      </c>
      <c r="AD1246" s="32">
        <v>43279</v>
      </c>
      <c r="AJ1246" t="s">
        <v>9967</v>
      </c>
      <c r="AL1246" t="s">
        <v>14176</v>
      </c>
    </row>
    <row r="1247" spans="1:38">
      <c r="A1247" t="s">
        <v>9123</v>
      </c>
      <c r="B1247" t="s">
        <v>12522</v>
      </c>
      <c r="C1247" t="s">
        <v>9163</v>
      </c>
      <c r="D1247" t="s">
        <v>9164</v>
      </c>
      <c r="E1247" s="5">
        <v>3141.5</v>
      </c>
      <c r="F1247" s="5">
        <v>3141.5</v>
      </c>
      <c r="G1247" s="3">
        <v>43297</v>
      </c>
      <c r="H1247" s="4">
        <v>0.56653935185185</v>
      </c>
      <c r="I1247" s="3">
        <v>43297</v>
      </c>
      <c r="J1247" s="4">
        <v>0.70653935185185002</v>
      </c>
      <c r="K1247" s="2">
        <v>20</v>
      </c>
      <c r="L1247" t="s">
        <v>5856</v>
      </c>
      <c r="M1247" t="s">
        <v>9852</v>
      </c>
      <c r="N1247" s="3">
        <v>43300</v>
      </c>
      <c r="O1247" s="3">
        <v>43299</v>
      </c>
      <c r="P1247" t="s">
        <v>5881</v>
      </c>
      <c r="Q1247" t="s">
        <v>9180</v>
      </c>
      <c r="R1247" t="s">
        <v>6036</v>
      </c>
      <c r="S1247" s="3">
        <v>43300</v>
      </c>
      <c r="T1247" t="s">
        <v>9938</v>
      </c>
      <c r="U1247" t="s">
        <v>5894</v>
      </c>
      <c r="V1247" t="s">
        <v>9166</v>
      </c>
      <c r="W1247" t="s">
        <v>5857</v>
      </c>
      <c r="X1247" s="2">
        <v>935</v>
      </c>
      <c r="Y1247" t="s">
        <v>5858</v>
      </c>
      <c r="Z1247" t="s">
        <v>6037</v>
      </c>
      <c r="AA1247" s="2">
        <v>3050</v>
      </c>
      <c r="AB1247" t="s">
        <v>5863</v>
      </c>
      <c r="AC1247" t="s">
        <v>9978</v>
      </c>
      <c r="AD1247" s="32">
        <v>43272</v>
      </c>
      <c r="AJ1247" t="s">
        <v>9958</v>
      </c>
      <c r="AL1247" t="s">
        <v>14177</v>
      </c>
    </row>
    <row r="1248" spans="1:38">
      <c r="A1248" t="s">
        <v>9123</v>
      </c>
      <c r="B1248" t="s">
        <v>13485</v>
      </c>
      <c r="C1248" t="s">
        <v>9286</v>
      </c>
      <c r="D1248" t="s">
        <v>9287</v>
      </c>
      <c r="E1248" s="2">
        <v>3090</v>
      </c>
      <c r="F1248" s="2">
        <v>3090</v>
      </c>
      <c r="G1248" s="3">
        <v>43297</v>
      </c>
      <c r="H1248" s="4">
        <v>0.72737268518519005</v>
      </c>
      <c r="I1248" s="3">
        <v>43297</v>
      </c>
      <c r="J1248" s="4">
        <v>0.86506944444444001</v>
      </c>
      <c r="K1248" s="2">
        <v>20</v>
      </c>
      <c r="L1248" t="s">
        <v>5856</v>
      </c>
      <c r="M1248" t="s">
        <v>13483</v>
      </c>
      <c r="N1248" s="3">
        <v>43300</v>
      </c>
      <c r="O1248" s="3">
        <v>43299</v>
      </c>
      <c r="P1248" t="s">
        <v>5967</v>
      </c>
      <c r="Q1248" t="s">
        <v>13486</v>
      </c>
      <c r="R1248" t="s">
        <v>6036</v>
      </c>
      <c r="S1248" s="3">
        <v>43300</v>
      </c>
      <c r="T1248" t="s">
        <v>9938</v>
      </c>
      <c r="U1248" t="s">
        <v>9175</v>
      </c>
      <c r="V1248" t="s">
        <v>6041</v>
      </c>
      <c r="W1248" t="s">
        <v>5857</v>
      </c>
      <c r="X1248" s="2">
        <v>935</v>
      </c>
      <c r="Y1248" t="s">
        <v>5858</v>
      </c>
      <c r="Z1248" t="s">
        <v>6037</v>
      </c>
      <c r="AA1248" s="2">
        <v>3000</v>
      </c>
      <c r="AB1248" t="s">
        <v>5863</v>
      </c>
      <c r="AC1248" t="s">
        <v>9981</v>
      </c>
      <c r="AD1248" s="32">
        <v>43279</v>
      </c>
      <c r="AJ1248" t="s">
        <v>9967</v>
      </c>
      <c r="AL1248" t="s">
        <v>14178</v>
      </c>
    </row>
    <row r="1249" spans="1:38">
      <c r="A1249" t="s">
        <v>9123</v>
      </c>
      <c r="B1249" t="s">
        <v>12523</v>
      </c>
      <c r="C1249" t="s">
        <v>9129</v>
      </c>
      <c r="D1249" t="s">
        <v>9130</v>
      </c>
      <c r="E1249" s="2">
        <v>3150</v>
      </c>
      <c r="F1249" s="2">
        <v>3150</v>
      </c>
      <c r="G1249" s="3">
        <v>43297</v>
      </c>
      <c r="H1249" s="4">
        <v>0.96923611111110997</v>
      </c>
      <c r="I1249" s="3">
        <v>43298</v>
      </c>
      <c r="J1249" s="4">
        <v>0.10960648148148</v>
      </c>
      <c r="K1249" s="2">
        <v>0</v>
      </c>
      <c r="L1249" t="s">
        <v>5856</v>
      </c>
      <c r="M1249" t="s">
        <v>9181</v>
      </c>
      <c r="N1249" s="3">
        <v>43305</v>
      </c>
      <c r="O1249" s="3">
        <v>43305</v>
      </c>
      <c r="P1249" t="s">
        <v>9131</v>
      </c>
      <c r="Q1249" t="s">
        <v>9182</v>
      </c>
      <c r="R1249" t="s">
        <v>6036</v>
      </c>
      <c r="S1249" s="3">
        <v>43305</v>
      </c>
      <c r="T1249" t="s">
        <v>9938</v>
      </c>
      <c r="U1249" t="s">
        <v>9132</v>
      </c>
      <c r="V1249" t="s">
        <v>9133</v>
      </c>
      <c r="W1249" t="s">
        <v>5914</v>
      </c>
      <c r="X1249" s="2">
        <v>935</v>
      </c>
      <c r="Y1249" t="s">
        <v>5858</v>
      </c>
      <c r="Z1249" t="s">
        <v>6037</v>
      </c>
      <c r="AA1249" s="2">
        <v>3000</v>
      </c>
      <c r="AB1249" t="s">
        <v>5863</v>
      </c>
      <c r="AC1249" t="s">
        <v>9981</v>
      </c>
      <c r="AD1249" s="32">
        <v>43277</v>
      </c>
      <c r="AJ1249" t="s">
        <v>9967</v>
      </c>
      <c r="AL1249" t="s">
        <v>11339</v>
      </c>
    </row>
    <row r="1250" spans="1:38">
      <c r="A1250" t="s">
        <v>9123</v>
      </c>
      <c r="B1250" t="s">
        <v>12524</v>
      </c>
      <c r="C1250" t="s">
        <v>9183</v>
      </c>
      <c r="D1250" t="s">
        <v>9184</v>
      </c>
      <c r="E1250" s="2">
        <v>2060</v>
      </c>
      <c r="F1250" s="2">
        <v>2060</v>
      </c>
      <c r="G1250" s="3">
        <v>43298</v>
      </c>
      <c r="H1250" s="4">
        <v>0.20001157407407</v>
      </c>
      <c r="I1250" s="3">
        <v>43298</v>
      </c>
      <c r="J1250" s="4">
        <v>0.29181712962963002</v>
      </c>
      <c r="K1250" s="2">
        <v>20</v>
      </c>
      <c r="L1250" t="s">
        <v>5856</v>
      </c>
      <c r="M1250" t="s">
        <v>9150</v>
      </c>
      <c r="N1250" s="3">
        <v>43301</v>
      </c>
      <c r="O1250" s="3">
        <v>43300</v>
      </c>
      <c r="P1250" t="s">
        <v>5862</v>
      </c>
      <c r="Q1250" t="s">
        <v>9185</v>
      </c>
      <c r="R1250" t="s">
        <v>6036</v>
      </c>
      <c r="S1250" s="3">
        <v>43301</v>
      </c>
      <c r="T1250" t="s">
        <v>9938</v>
      </c>
      <c r="U1250" t="s">
        <v>7909</v>
      </c>
      <c r="V1250" t="s">
        <v>9186</v>
      </c>
      <c r="W1250" t="s">
        <v>5857</v>
      </c>
      <c r="X1250" s="2">
        <v>935</v>
      </c>
      <c r="Y1250" t="s">
        <v>5858</v>
      </c>
      <c r="Z1250" t="s">
        <v>6037</v>
      </c>
      <c r="AA1250" s="2">
        <v>2000</v>
      </c>
      <c r="AB1250" t="s">
        <v>5863</v>
      </c>
      <c r="AC1250" t="s">
        <v>9981</v>
      </c>
      <c r="AD1250" s="32">
        <v>43279</v>
      </c>
      <c r="AJ1250" t="s">
        <v>9967</v>
      </c>
      <c r="AL1250" t="s">
        <v>11340</v>
      </c>
    </row>
    <row r="1251" spans="1:38">
      <c r="A1251" t="s">
        <v>9123</v>
      </c>
      <c r="B1251" t="s">
        <v>12525</v>
      </c>
      <c r="C1251" t="s">
        <v>9136</v>
      </c>
      <c r="D1251" t="s">
        <v>9137</v>
      </c>
      <c r="E1251" s="5">
        <v>15424.25</v>
      </c>
      <c r="F1251" s="5">
        <v>15424.25</v>
      </c>
      <c r="G1251" s="3">
        <v>43298</v>
      </c>
      <c r="H1251" s="4">
        <v>0.31265046296296001</v>
      </c>
      <c r="I1251" s="3">
        <v>43299</v>
      </c>
      <c r="J1251" s="4">
        <v>0</v>
      </c>
      <c r="K1251" s="2">
        <v>20</v>
      </c>
      <c r="L1251" t="s">
        <v>5856</v>
      </c>
      <c r="M1251" t="s">
        <v>9187</v>
      </c>
      <c r="N1251" s="3">
        <v>43306</v>
      </c>
      <c r="O1251" s="3">
        <v>43305</v>
      </c>
      <c r="P1251" t="s">
        <v>7755</v>
      </c>
      <c r="Q1251" t="s">
        <v>9188</v>
      </c>
      <c r="R1251" t="s">
        <v>6036</v>
      </c>
      <c r="S1251" s="3">
        <v>43306</v>
      </c>
      <c r="T1251" t="s">
        <v>9938</v>
      </c>
      <c r="U1251" t="s">
        <v>9139</v>
      </c>
      <c r="V1251" t="s">
        <v>9140</v>
      </c>
      <c r="W1251" t="s">
        <v>5857</v>
      </c>
      <c r="X1251" s="2">
        <v>935</v>
      </c>
      <c r="Y1251" t="s">
        <v>5858</v>
      </c>
      <c r="Z1251" t="s">
        <v>6037</v>
      </c>
      <c r="AA1251" s="2">
        <v>14975</v>
      </c>
      <c r="AB1251" t="s">
        <v>5863</v>
      </c>
      <c r="AC1251" t="s">
        <v>9981</v>
      </c>
      <c r="AD1251" s="32">
        <v>43277</v>
      </c>
      <c r="AJ1251" t="s">
        <v>9967</v>
      </c>
      <c r="AL1251" t="s">
        <v>11341</v>
      </c>
    </row>
    <row r="1252" spans="1:38">
      <c r="A1252" t="s">
        <v>9123</v>
      </c>
      <c r="B1252" t="s">
        <v>13487</v>
      </c>
      <c r="C1252" t="s">
        <v>9129</v>
      </c>
      <c r="D1252" t="s">
        <v>9130</v>
      </c>
      <c r="E1252" s="2">
        <v>9450</v>
      </c>
      <c r="F1252" s="2">
        <v>9450</v>
      </c>
      <c r="G1252" s="3">
        <v>43299</v>
      </c>
      <c r="H1252" s="4">
        <v>0.36079861111111</v>
      </c>
      <c r="I1252" s="3">
        <v>43299</v>
      </c>
      <c r="J1252" s="4">
        <v>0.78192129629630003</v>
      </c>
      <c r="K1252" s="2">
        <v>0</v>
      </c>
      <c r="L1252" t="s">
        <v>5856</v>
      </c>
      <c r="M1252" t="s">
        <v>9141</v>
      </c>
      <c r="N1252" s="3">
        <v>43308</v>
      </c>
      <c r="O1252" s="3">
        <v>43306</v>
      </c>
      <c r="P1252" t="s">
        <v>9131</v>
      </c>
      <c r="Q1252" t="s">
        <v>13488</v>
      </c>
      <c r="R1252" t="s">
        <v>6036</v>
      </c>
      <c r="S1252" s="3">
        <v>43308</v>
      </c>
      <c r="T1252" t="s">
        <v>9938</v>
      </c>
      <c r="U1252" t="s">
        <v>9132</v>
      </c>
      <c r="V1252" t="s">
        <v>9133</v>
      </c>
      <c r="W1252" t="s">
        <v>5914</v>
      </c>
      <c r="X1252" s="2">
        <v>935</v>
      </c>
      <c r="Y1252" t="s">
        <v>5858</v>
      </c>
      <c r="Z1252" t="s">
        <v>6037</v>
      </c>
      <c r="AA1252" s="2">
        <v>9000</v>
      </c>
      <c r="AB1252" t="s">
        <v>5863</v>
      </c>
      <c r="AC1252" t="s">
        <v>9981</v>
      </c>
      <c r="AD1252" s="32">
        <v>43280</v>
      </c>
      <c r="AJ1252" t="s">
        <v>9967</v>
      </c>
      <c r="AL1252" t="s">
        <v>14179</v>
      </c>
    </row>
    <row r="1253" spans="1:38">
      <c r="A1253" t="s">
        <v>9123</v>
      </c>
      <c r="B1253" t="s">
        <v>13489</v>
      </c>
      <c r="C1253" t="s">
        <v>9129</v>
      </c>
      <c r="D1253" t="s">
        <v>9130</v>
      </c>
      <c r="E1253" s="2">
        <v>2100</v>
      </c>
      <c r="F1253" s="2">
        <v>2100</v>
      </c>
      <c r="G1253" s="3">
        <v>43299</v>
      </c>
      <c r="H1253" s="4">
        <v>0.80969907407407005</v>
      </c>
      <c r="I1253" s="3">
        <v>43299</v>
      </c>
      <c r="J1253" s="4">
        <v>0.90328703703704005</v>
      </c>
      <c r="K1253" s="2">
        <v>0</v>
      </c>
      <c r="L1253" t="s">
        <v>5856</v>
      </c>
      <c r="M1253" t="s">
        <v>9152</v>
      </c>
      <c r="N1253" s="3">
        <v>43308</v>
      </c>
      <c r="O1253" s="3">
        <v>43306</v>
      </c>
      <c r="P1253" t="s">
        <v>9131</v>
      </c>
      <c r="Q1253" t="s">
        <v>13490</v>
      </c>
      <c r="R1253" t="s">
        <v>6036</v>
      </c>
      <c r="S1253" s="3">
        <v>43308</v>
      </c>
      <c r="T1253" t="s">
        <v>9938</v>
      </c>
      <c r="U1253" t="s">
        <v>9132</v>
      </c>
      <c r="V1253" t="s">
        <v>9133</v>
      </c>
      <c r="W1253" t="s">
        <v>5914</v>
      </c>
      <c r="X1253" s="2">
        <v>935</v>
      </c>
      <c r="Y1253" t="s">
        <v>5858</v>
      </c>
      <c r="Z1253" t="s">
        <v>6037</v>
      </c>
      <c r="AA1253" s="2">
        <v>2000</v>
      </c>
      <c r="AB1253" t="s">
        <v>5863</v>
      </c>
      <c r="AC1253" t="s">
        <v>9981</v>
      </c>
      <c r="AD1253" s="32">
        <v>43280</v>
      </c>
      <c r="AJ1253" t="s">
        <v>9967</v>
      </c>
      <c r="AL1253" t="s">
        <v>14180</v>
      </c>
    </row>
    <row r="1254" spans="1:38">
      <c r="A1254" t="s">
        <v>9123</v>
      </c>
      <c r="B1254" t="s">
        <v>13491</v>
      </c>
      <c r="C1254" t="s">
        <v>9129</v>
      </c>
      <c r="D1254" t="s">
        <v>9130</v>
      </c>
      <c r="E1254" s="2">
        <v>2100</v>
      </c>
      <c r="F1254" s="2">
        <v>2100</v>
      </c>
      <c r="G1254" s="3">
        <v>43299</v>
      </c>
      <c r="H1254" s="4">
        <v>0.93106481481480996</v>
      </c>
      <c r="I1254" s="3">
        <v>43300</v>
      </c>
      <c r="J1254" s="4">
        <v>2.4652777777780001E-2</v>
      </c>
      <c r="K1254" s="2">
        <v>0</v>
      </c>
      <c r="L1254" t="s">
        <v>5856</v>
      </c>
      <c r="M1254" t="s">
        <v>9152</v>
      </c>
      <c r="N1254" s="3">
        <v>43308</v>
      </c>
      <c r="O1254" s="3">
        <v>43307</v>
      </c>
      <c r="P1254" t="s">
        <v>9131</v>
      </c>
      <c r="Q1254" t="s">
        <v>13492</v>
      </c>
      <c r="R1254" t="s">
        <v>6036</v>
      </c>
      <c r="S1254" s="3">
        <v>43308</v>
      </c>
      <c r="T1254" t="s">
        <v>9938</v>
      </c>
      <c r="U1254" t="s">
        <v>9132</v>
      </c>
      <c r="V1254" t="s">
        <v>9133</v>
      </c>
      <c r="W1254" t="s">
        <v>5914</v>
      </c>
      <c r="X1254" s="2">
        <v>935</v>
      </c>
      <c r="Y1254" t="s">
        <v>5858</v>
      </c>
      <c r="Z1254" t="s">
        <v>6037</v>
      </c>
      <c r="AA1254" s="2">
        <v>2000</v>
      </c>
      <c r="AB1254" t="s">
        <v>5863</v>
      </c>
      <c r="AC1254" t="s">
        <v>9981</v>
      </c>
      <c r="AD1254" s="32">
        <v>43280</v>
      </c>
      <c r="AJ1254" t="s">
        <v>9967</v>
      </c>
      <c r="AL1254" t="s">
        <v>14181</v>
      </c>
    </row>
    <row r="1255" spans="1:38">
      <c r="A1255" t="s">
        <v>9123</v>
      </c>
      <c r="B1255" t="s">
        <v>13493</v>
      </c>
      <c r="C1255" t="s">
        <v>9129</v>
      </c>
      <c r="D1255" t="s">
        <v>9130</v>
      </c>
      <c r="E1255" s="2">
        <v>2100</v>
      </c>
      <c r="F1255" s="2">
        <v>2100</v>
      </c>
      <c r="G1255" s="3">
        <v>43300</v>
      </c>
      <c r="H1255" s="4">
        <v>5.2430555555559998E-2</v>
      </c>
      <c r="I1255" s="3">
        <v>43300</v>
      </c>
      <c r="J1255" s="4">
        <v>0.14601851851851999</v>
      </c>
      <c r="K1255" s="2">
        <v>0</v>
      </c>
      <c r="L1255" t="s">
        <v>5856</v>
      </c>
      <c r="M1255" t="s">
        <v>9152</v>
      </c>
      <c r="N1255" s="3">
        <v>43308</v>
      </c>
      <c r="O1255" s="3">
        <v>43307</v>
      </c>
      <c r="P1255" t="s">
        <v>9131</v>
      </c>
      <c r="Q1255" t="s">
        <v>13494</v>
      </c>
      <c r="R1255" t="s">
        <v>6036</v>
      </c>
      <c r="S1255" s="3">
        <v>43308</v>
      </c>
      <c r="T1255" t="s">
        <v>9938</v>
      </c>
      <c r="U1255" t="s">
        <v>9132</v>
      </c>
      <c r="V1255" t="s">
        <v>9133</v>
      </c>
      <c r="W1255" t="s">
        <v>5914</v>
      </c>
      <c r="X1255" s="2">
        <v>935</v>
      </c>
      <c r="Y1255" t="s">
        <v>5858</v>
      </c>
      <c r="Z1255" t="s">
        <v>6037</v>
      </c>
      <c r="AA1255" s="2">
        <v>2000</v>
      </c>
      <c r="AB1255" t="s">
        <v>5863</v>
      </c>
      <c r="AC1255" t="s">
        <v>9981</v>
      </c>
      <c r="AD1255" s="32">
        <v>43280</v>
      </c>
      <c r="AJ1255" t="s">
        <v>9967</v>
      </c>
      <c r="AL1255" t="s">
        <v>14182</v>
      </c>
    </row>
    <row r="1256" spans="1:38">
      <c r="A1256" t="s">
        <v>9123</v>
      </c>
      <c r="B1256" t="s">
        <v>12526</v>
      </c>
      <c r="C1256" t="s">
        <v>9144</v>
      </c>
      <c r="D1256" t="s">
        <v>9145</v>
      </c>
      <c r="E1256" s="2">
        <v>18540</v>
      </c>
      <c r="F1256" s="2">
        <v>18540</v>
      </c>
      <c r="G1256" s="3">
        <v>43300</v>
      </c>
      <c r="H1256" s="4">
        <v>0.1737962962963</v>
      </c>
      <c r="I1256" s="3">
        <v>43301</v>
      </c>
      <c r="J1256" s="4">
        <v>0</v>
      </c>
      <c r="K1256" s="2">
        <v>0</v>
      </c>
      <c r="L1256" t="s">
        <v>5856</v>
      </c>
      <c r="M1256" t="s">
        <v>9189</v>
      </c>
      <c r="N1256" s="3">
        <v>43308</v>
      </c>
      <c r="O1256" s="3">
        <v>43307</v>
      </c>
      <c r="P1256" t="s">
        <v>7755</v>
      </c>
      <c r="Q1256" t="s">
        <v>9190</v>
      </c>
      <c r="R1256" t="s">
        <v>6036</v>
      </c>
      <c r="S1256" s="3">
        <v>43308</v>
      </c>
      <c r="T1256" t="s">
        <v>9938</v>
      </c>
      <c r="U1256" t="s">
        <v>9148</v>
      </c>
      <c r="V1256" t="s">
        <v>9149</v>
      </c>
      <c r="W1256" t="s">
        <v>5857</v>
      </c>
      <c r="X1256" s="2">
        <v>935</v>
      </c>
      <c r="Y1256" t="s">
        <v>5858</v>
      </c>
      <c r="Z1256" t="s">
        <v>6037</v>
      </c>
      <c r="AA1256" s="2">
        <v>18000</v>
      </c>
      <c r="AB1256" t="s">
        <v>5863</v>
      </c>
      <c r="AC1256" t="s">
        <v>9981</v>
      </c>
      <c r="AD1256" s="32">
        <v>43277</v>
      </c>
      <c r="AJ1256" t="s">
        <v>9967</v>
      </c>
      <c r="AL1256" t="s">
        <v>11342</v>
      </c>
    </row>
    <row r="1257" spans="1:38">
      <c r="A1257" t="s">
        <v>9123</v>
      </c>
      <c r="B1257" t="s">
        <v>13495</v>
      </c>
      <c r="C1257" t="s">
        <v>9183</v>
      </c>
      <c r="D1257" t="s">
        <v>9184</v>
      </c>
      <c r="E1257" s="5">
        <v>3141.5</v>
      </c>
      <c r="F1257" s="5">
        <v>3141.5</v>
      </c>
      <c r="G1257" s="3">
        <v>43304</v>
      </c>
      <c r="H1257" s="4">
        <v>0.69871527777777998</v>
      </c>
      <c r="I1257" s="3">
        <v>43304</v>
      </c>
      <c r="J1257" s="4">
        <v>0.83871527777777999</v>
      </c>
      <c r="K1257" s="2">
        <v>20</v>
      </c>
      <c r="L1257" t="s">
        <v>5856</v>
      </c>
      <c r="M1257" t="s">
        <v>9852</v>
      </c>
      <c r="N1257" s="3">
        <v>43307</v>
      </c>
      <c r="O1257" s="3">
        <v>43306</v>
      </c>
      <c r="P1257" t="s">
        <v>5862</v>
      </c>
      <c r="Q1257" t="s">
        <v>6038</v>
      </c>
      <c r="R1257" t="s">
        <v>6036</v>
      </c>
      <c r="S1257" s="3">
        <v>43307</v>
      </c>
      <c r="T1257" t="s">
        <v>9938</v>
      </c>
      <c r="U1257" t="s">
        <v>7909</v>
      </c>
      <c r="V1257" t="s">
        <v>9186</v>
      </c>
      <c r="W1257" t="s">
        <v>5857</v>
      </c>
      <c r="X1257" s="2">
        <v>0</v>
      </c>
      <c r="Y1257" t="s">
        <v>5858</v>
      </c>
      <c r="Z1257" t="s">
        <v>6037</v>
      </c>
      <c r="AA1257" s="2">
        <v>3050</v>
      </c>
      <c r="AB1257" t="s">
        <v>5915</v>
      </c>
      <c r="AC1257" t="s">
        <v>9981</v>
      </c>
      <c r="AD1257" s="32"/>
      <c r="AJ1257" t="s">
        <v>9967</v>
      </c>
      <c r="AL1257" t="s">
        <v>14183</v>
      </c>
    </row>
    <row r="1258" spans="1:38">
      <c r="A1258" t="s">
        <v>9123</v>
      </c>
      <c r="B1258" t="s">
        <v>13496</v>
      </c>
      <c r="C1258" t="s">
        <v>9183</v>
      </c>
      <c r="D1258" t="s">
        <v>9184</v>
      </c>
      <c r="E1258" s="5">
        <v>3151.8</v>
      </c>
      <c r="F1258" s="5">
        <v>3151.8</v>
      </c>
      <c r="G1258" s="3">
        <v>43304</v>
      </c>
      <c r="H1258" s="4">
        <v>0.85954861111111003</v>
      </c>
      <c r="I1258" s="3">
        <v>43305</v>
      </c>
      <c r="J1258" s="4">
        <v>0</v>
      </c>
      <c r="K1258" s="2">
        <v>20</v>
      </c>
      <c r="L1258" t="s">
        <v>5856</v>
      </c>
      <c r="M1258" t="s">
        <v>13497</v>
      </c>
      <c r="N1258" s="3">
        <v>43307</v>
      </c>
      <c r="O1258" s="3">
        <v>43306</v>
      </c>
      <c r="P1258" t="s">
        <v>5862</v>
      </c>
      <c r="Q1258" t="s">
        <v>13498</v>
      </c>
      <c r="R1258" t="s">
        <v>6036</v>
      </c>
      <c r="S1258" s="3">
        <v>43307</v>
      </c>
      <c r="T1258" t="s">
        <v>9938</v>
      </c>
      <c r="U1258" t="s">
        <v>7909</v>
      </c>
      <c r="V1258" t="s">
        <v>9186</v>
      </c>
      <c r="W1258" t="s">
        <v>5857</v>
      </c>
      <c r="X1258" s="2">
        <v>935</v>
      </c>
      <c r="Y1258" t="s">
        <v>5858</v>
      </c>
      <c r="Z1258" t="s">
        <v>6037</v>
      </c>
      <c r="AA1258" s="2">
        <v>3060</v>
      </c>
      <c r="AB1258" t="s">
        <v>5863</v>
      </c>
      <c r="AC1258" t="s">
        <v>9981</v>
      </c>
      <c r="AD1258" s="32">
        <v>43280</v>
      </c>
      <c r="AJ1258" t="s">
        <v>9967</v>
      </c>
      <c r="AL1258" t="s">
        <v>14184</v>
      </c>
    </row>
    <row r="1259" spans="1:38">
      <c r="A1259" t="s">
        <v>9123</v>
      </c>
      <c r="B1259" t="s">
        <v>12527</v>
      </c>
      <c r="C1259" t="s">
        <v>9136</v>
      </c>
      <c r="D1259" t="s">
        <v>9137</v>
      </c>
      <c r="E1259" s="2">
        <v>18540</v>
      </c>
      <c r="F1259" s="2">
        <v>18540</v>
      </c>
      <c r="G1259" s="3">
        <v>43307</v>
      </c>
      <c r="H1259" s="4">
        <v>0.1737962962963</v>
      </c>
      <c r="I1259" s="3">
        <v>43308</v>
      </c>
      <c r="J1259" s="4">
        <v>0</v>
      </c>
      <c r="K1259" s="2">
        <v>0</v>
      </c>
      <c r="L1259" t="s">
        <v>5856</v>
      </c>
      <c r="M1259" t="s">
        <v>9189</v>
      </c>
      <c r="N1259" s="3">
        <v>43315</v>
      </c>
      <c r="O1259" s="3">
        <v>43314</v>
      </c>
      <c r="P1259" t="s">
        <v>7755</v>
      </c>
      <c r="Q1259" t="s">
        <v>9191</v>
      </c>
      <c r="R1259" t="s">
        <v>6036</v>
      </c>
      <c r="S1259" s="3">
        <v>43315</v>
      </c>
      <c r="T1259" t="s">
        <v>9938</v>
      </c>
      <c r="U1259" t="s">
        <v>9139</v>
      </c>
      <c r="V1259" t="s">
        <v>9140</v>
      </c>
      <c r="W1259" t="s">
        <v>5857</v>
      </c>
      <c r="X1259" s="2">
        <v>935</v>
      </c>
      <c r="Y1259" t="s">
        <v>5858</v>
      </c>
      <c r="Z1259" t="s">
        <v>6037</v>
      </c>
      <c r="AA1259" s="2">
        <v>18000</v>
      </c>
      <c r="AB1259" t="s">
        <v>5863</v>
      </c>
      <c r="AC1259" t="s">
        <v>9981</v>
      </c>
      <c r="AD1259" s="32">
        <v>43277</v>
      </c>
      <c r="AJ1259" t="s">
        <v>9967</v>
      </c>
      <c r="AL1259" t="s">
        <v>11343</v>
      </c>
    </row>
    <row r="1260" spans="1:38">
      <c r="A1260" t="s">
        <v>9123</v>
      </c>
      <c r="B1260" t="s">
        <v>12528</v>
      </c>
      <c r="C1260" t="s">
        <v>9192</v>
      </c>
      <c r="D1260" t="s">
        <v>9193</v>
      </c>
      <c r="E1260" s="2">
        <v>20000</v>
      </c>
      <c r="F1260" s="2">
        <v>20000</v>
      </c>
      <c r="G1260" s="3">
        <v>43309</v>
      </c>
      <c r="H1260" s="4">
        <v>0.10872685185185001</v>
      </c>
      <c r="I1260" s="3">
        <v>43309</v>
      </c>
      <c r="J1260" s="4">
        <v>0.99998842592592996</v>
      </c>
      <c r="K1260" s="2">
        <v>0</v>
      </c>
      <c r="L1260" t="s">
        <v>5856</v>
      </c>
      <c r="M1260" t="s">
        <v>9170</v>
      </c>
      <c r="N1260" s="3"/>
      <c r="O1260" s="3">
        <v>43311</v>
      </c>
      <c r="P1260" t="s">
        <v>5981</v>
      </c>
      <c r="Q1260" t="s">
        <v>9194</v>
      </c>
      <c r="R1260" t="s">
        <v>6036</v>
      </c>
      <c r="S1260" s="3">
        <v>43335</v>
      </c>
      <c r="T1260" t="s">
        <v>9938</v>
      </c>
      <c r="U1260" t="s">
        <v>9195</v>
      </c>
      <c r="V1260" t="s">
        <v>9196</v>
      </c>
      <c r="W1260" t="s">
        <v>5857</v>
      </c>
      <c r="X1260" s="2">
        <v>0</v>
      </c>
      <c r="Y1260" t="s">
        <v>5858</v>
      </c>
      <c r="Z1260" t="s">
        <v>6037</v>
      </c>
      <c r="AA1260" s="2">
        <v>20000</v>
      </c>
      <c r="AB1260" t="s">
        <v>5861</v>
      </c>
      <c r="AC1260" t="s">
        <v>9986</v>
      </c>
      <c r="AD1260" s="32"/>
      <c r="AJ1260" t="s">
        <v>9958</v>
      </c>
      <c r="AL1260" t="s">
        <v>14185</v>
      </c>
    </row>
    <row r="1261" spans="1:38">
      <c r="A1261" t="s">
        <v>9123</v>
      </c>
      <c r="B1261" t="s">
        <v>12529</v>
      </c>
      <c r="C1261" t="s">
        <v>6875</v>
      </c>
      <c r="D1261" t="s">
        <v>6876</v>
      </c>
      <c r="E1261" s="2">
        <v>20600</v>
      </c>
      <c r="F1261" s="2">
        <v>20600</v>
      </c>
      <c r="G1261" s="3">
        <v>43312</v>
      </c>
      <c r="H1261" s="4">
        <v>8.1979166666670003E-2</v>
      </c>
      <c r="I1261" s="3">
        <v>43312</v>
      </c>
      <c r="J1261" s="4">
        <v>0.99998842592592996</v>
      </c>
      <c r="K1261" s="2">
        <v>0</v>
      </c>
      <c r="L1261" t="s">
        <v>5856</v>
      </c>
      <c r="M1261" t="s">
        <v>9127</v>
      </c>
      <c r="N1261" s="3">
        <v>43314</v>
      </c>
      <c r="O1261" s="3">
        <v>43314</v>
      </c>
      <c r="P1261" t="s">
        <v>6026</v>
      </c>
      <c r="Q1261" t="s">
        <v>13499</v>
      </c>
      <c r="R1261" t="s">
        <v>6036</v>
      </c>
      <c r="S1261" s="3">
        <v>43325</v>
      </c>
      <c r="T1261" t="s">
        <v>9938</v>
      </c>
      <c r="U1261" t="s">
        <v>6582</v>
      </c>
      <c r="V1261" t="s">
        <v>6864</v>
      </c>
      <c r="W1261" t="s">
        <v>5857</v>
      </c>
      <c r="X1261" s="2">
        <v>0</v>
      </c>
      <c r="Y1261" t="s">
        <v>5858</v>
      </c>
      <c r="Z1261" t="s">
        <v>6037</v>
      </c>
      <c r="AA1261" s="2">
        <v>20000</v>
      </c>
      <c r="AB1261" t="s">
        <v>5915</v>
      </c>
      <c r="AC1261" t="s">
        <v>9980</v>
      </c>
      <c r="AD1261" s="32"/>
      <c r="AJ1261" t="s">
        <v>9958</v>
      </c>
      <c r="AL1261" t="s">
        <v>11345</v>
      </c>
    </row>
    <row r="1262" spans="1:38">
      <c r="A1262" t="s">
        <v>9123</v>
      </c>
      <c r="B1262" t="s">
        <v>12530</v>
      </c>
      <c r="C1262" t="s">
        <v>9192</v>
      </c>
      <c r="D1262" t="s">
        <v>9193</v>
      </c>
      <c r="E1262" s="2">
        <v>20600</v>
      </c>
      <c r="F1262" s="2">
        <v>20600</v>
      </c>
      <c r="G1262" s="3">
        <v>43319</v>
      </c>
      <c r="H1262" s="4">
        <v>8.1979166666670003E-2</v>
      </c>
      <c r="I1262" s="3">
        <v>43319</v>
      </c>
      <c r="J1262" s="4">
        <v>0.99998842592592996</v>
      </c>
      <c r="K1262" s="2">
        <v>0</v>
      </c>
      <c r="L1262" t="s">
        <v>5856</v>
      </c>
      <c r="M1262" t="s">
        <v>9127</v>
      </c>
      <c r="N1262" s="3">
        <v>43321</v>
      </c>
      <c r="O1262" s="3">
        <v>43321</v>
      </c>
      <c r="P1262" t="s">
        <v>5981</v>
      </c>
      <c r="Q1262" t="s">
        <v>9197</v>
      </c>
      <c r="R1262" t="s">
        <v>6036</v>
      </c>
      <c r="S1262" s="3">
        <v>43335</v>
      </c>
      <c r="T1262" t="s">
        <v>9938</v>
      </c>
      <c r="U1262" t="s">
        <v>9195</v>
      </c>
      <c r="V1262" t="s">
        <v>9196</v>
      </c>
      <c r="W1262" t="s">
        <v>5857</v>
      </c>
      <c r="X1262" s="2">
        <v>0</v>
      </c>
      <c r="Y1262" t="s">
        <v>5858</v>
      </c>
      <c r="Z1262" t="s">
        <v>6037</v>
      </c>
      <c r="AA1262" s="2">
        <v>20000</v>
      </c>
      <c r="AB1262" t="s">
        <v>5915</v>
      </c>
      <c r="AC1262" t="s">
        <v>9986</v>
      </c>
      <c r="AD1262" s="32"/>
      <c r="AJ1262" t="s">
        <v>9958</v>
      </c>
      <c r="AL1262" t="s">
        <v>14186</v>
      </c>
    </row>
    <row r="1263" spans="1:38">
      <c r="A1263" t="s">
        <v>9123</v>
      </c>
      <c r="B1263" t="s">
        <v>12531</v>
      </c>
      <c r="C1263" t="s">
        <v>9192</v>
      </c>
      <c r="D1263" t="s">
        <v>9193</v>
      </c>
      <c r="E1263" s="2">
        <v>20600</v>
      </c>
      <c r="F1263" s="2">
        <v>20600</v>
      </c>
      <c r="G1263" s="3">
        <v>43333</v>
      </c>
      <c r="H1263" s="4">
        <v>8.1979166666670003E-2</v>
      </c>
      <c r="I1263" s="3">
        <v>43333</v>
      </c>
      <c r="J1263" s="4">
        <v>0.99998842592592996</v>
      </c>
      <c r="K1263" s="2">
        <v>0</v>
      </c>
      <c r="L1263" t="s">
        <v>5856</v>
      </c>
      <c r="M1263" t="s">
        <v>9127</v>
      </c>
      <c r="N1263" s="3">
        <v>43335</v>
      </c>
      <c r="O1263" s="3">
        <v>43335</v>
      </c>
      <c r="P1263" t="s">
        <v>5981</v>
      </c>
      <c r="Q1263" t="s">
        <v>9198</v>
      </c>
      <c r="R1263" t="s">
        <v>6036</v>
      </c>
      <c r="S1263" s="3">
        <v>43336</v>
      </c>
      <c r="T1263" t="s">
        <v>9938</v>
      </c>
      <c r="U1263" t="s">
        <v>9195</v>
      </c>
      <c r="V1263" t="s">
        <v>9196</v>
      </c>
      <c r="W1263" t="s">
        <v>5857</v>
      </c>
      <c r="X1263" s="2">
        <v>0</v>
      </c>
      <c r="Y1263" t="s">
        <v>5858</v>
      </c>
      <c r="Z1263" t="s">
        <v>6037</v>
      </c>
      <c r="AA1263" s="2">
        <v>20000</v>
      </c>
      <c r="AB1263" t="s">
        <v>5915</v>
      </c>
      <c r="AC1263" t="s">
        <v>9986</v>
      </c>
      <c r="AD1263" s="32"/>
      <c r="AJ1263" t="s">
        <v>9958</v>
      </c>
      <c r="AL1263" t="s">
        <v>14187</v>
      </c>
    </row>
    <row r="1264" spans="1:38">
      <c r="A1264" t="s">
        <v>9123</v>
      </c>
      <c r="B1264" t="s">
        <v>12532</v>
      </c>
      <c r="C1264" t="s">
        <v>9199</v>
      </c>
      <c r="D1264" t="s">
        <v>9200</v>
      </c>
      <c r="E1264" s="2">
        <v>5000</v>
      </c>
      <c r="F1264" s="2">
        <v>5000</v>
      </c>
      <c r="G1264" s="3">
        <v>43339</v>
      </c>
      <c r="H1264" s="4">
        <v>0.77718750000000003</v>
      </c>
      <c r="I1264" s="3">
        <v>43340</v>
      </c>
      <c r="J1264" s="4">
        <v>0</v>
      </c>
      <c r="K1264" s="2">
        <v>0</v>
      </c>
      <c r="L1264" t="s">
        <v>5856</v>
      </c>
      <c r="M1264" t="s">
        <v>9142</v>
      </c>
      <c r="N1264" s="3">
        <v>43342</v>
      </c>
      <c r="O1264" s="3">
        <v>43341</v>
      </c>
      <c r="P1264" t="s">
        <v>6018</v>
      </c>
      <c r="Q1264" t="s">
        <v>9201</v>
      </c>
      <c r="R1264" t="s">
        <v>6036</v>
      </c>
      <c r="S1264" s="3">
        <v>43342</v>
      </c>
      <c r="T1264" t="s">
        <v>9938</v>
      </c>
      <c r="U1264" t="s">
        <v>9202</v>
      </c>
      <c r="V1264" t="s">
        <v>6760</v>
      </c>
      <c r="W1264" t="s">
        <v>5857</v>
      </c>
      <c r="X1264" s="2">
        <v>935</v>
      </c>
      <c r="Y1264" t="s">
        <v>5858</v>
      </c>
      <c r="Z1264" t="s">
        <v>6037</v>
      </c>
      <c r="AA1264" s="2">
        <v>5000</v>
      </c>
      <c r="AB1264" t="s">
        <v>5863</v>
      </c>
      <c r="AC1264" t="s">
        <v>9978</v>
      </c>
      <c r="AD1264" s="32"/>
      <c r="AJ1264" t="s">
        <v>9967</v>
      </c>
      <c r="AL1264" t="s">
        <v>14188</v>
      </c>
    </row>
    <row r="1265" spans="1:38">
      <c r="A1265" t="s">
        <v>9123</v>
      </c>
      <c r="B1265" t="s">
        <v>12533</v>
      </c>
      <c r="C1265" t="s">
        <v>9192</v>
      </c>
      <c r="D1265" t="s">
        <v>9193</v>
      </c>
      <c r="E1265" s="2">
        <v>20600</v>
      </c>
      <c r="F1265" s="2">
        <v>20600</v>
      </c>
      <c r="G1265" s="3">
        <v>43340</v>
      </c>
      <c r="H1265" s="4">
        <v>8.1979166666670003E-2</v>
      </c>
      <c r="I1265" s="3">
        <v>43340</v>
      </c>
      <c r="J1265" s="4">
        <v>0.99998842592592996</v>
      </c>
      <c r="K1265" s="2">
        <v>0</v>
      </c>
      <c r="L1265" t="s">
        <v>5856</v>
      </c>
      <c r="M1265" t="s">
        <v>9127</v>
      </c>
      <c r="N1265" s="3">
        <v>43342</v>
      </c>
      <c r="O1265" s="3">
        <v>43342</v>
      </c>
      <c r="P1265" t="s">
        <v>5981</v>
      </c>
      <c r="Q1265" t="s">
        <v>13500</v>
      </c>
      <c r="R1265" t="s">
        <v>6036</v>
      </c>
      <c r="S1265" s="3">
        <v>43361</v>
      </c>
      <c r="T1265" t="s">
        <v>9938</v>
      </c>
      <c r="U1265" t="s">
        <v>9195</v>
      </c>
      <c r="V1265" t="s">
        <v>9196</v>
      </c>
      <c r="W1265" t="s">
        <v>5857</v>
      </c>
      <c r="X1265" s="2">
        <v>0</v>
      </c>
      <c r="Y1265" t="s">
        <v>5858</v>
      </c>
      <c r="Z1265" t="s">
        <v>6037</v>
      </c>
      <c r="AA1265" s="2">
        <v>20000</v>
      </c>
      <c r="AB1265" t="s">
        <v>5915</v>
      </c>
      <c r="AC1265" t="s">
        <v>9986</v>
      </c>
      <c r="AD1265" s="32"/>
      <c r="AJ1265" t="s">
        <v>9958</v>
      </c>
      <c r="AL1265" t="s">
        <v>14189</v>
      </c>
    </row>
    <row r="1266" spans="1:38">
      <c r="A1266" t="s">
        <v>9203</v>
      </c>
      <c r="B1266" t="s">
        <v>13501</v>
      </c>
      <c r="C1266" t="s">
        <v>6085</v>
      </c>
      <c r="D1266" t="s">
        <v>5997</v>
      </c>
      <c r="E1266" s="2">
        <v>1000</v>
      </c>
      <c r="F1266" s="2">
        <v>21000</v>
      </c>
      <c r="G1266" s="3">
        <v>43284</v>
      </c>
      <c r="H1266" s="4">
        <v>6.6111111111109996E-2</v>
      </c>
      <c r="I1266" s="3">
        <v>43285</v>
      </c>
      <c r="J1266" s="4">
        <v>0.35287037037037</v>
      </c>
      <c r="K1266" s="2">
        <v>0</v>
      </c>
      <c r="L1266" t="s">
        <v>5856</v>
      </c>
      <c r="M1266" t="s">
        <v>9208</v>
      </c>
      <c r="N1266" s="3"/>
      <c r="O1266" s="3">
        <v>43287</v>
      </c>
      <c r="P1266" t="s">
        <v>5864</v>
      </c>
      <c r="Q1266" t="s">
        <v>6038</v>
      </c>
      <c r="R1266" t="s">
        <v>6039</v>
      </c>
      <c r="S1266" s="3"/>
      <c r="T1266" t="s">
        <v>9938</v>
      </c>
      <c r="U1266" t="s">
        <v>5906</v>
      </c>
      <c r="V1266" t="s">
        <v>6057</v>
      </c>
      <c r="W1266" t="s">
        <v>5857</v>
      </c>
      <c r="X1266" s="2">
        <v>680</v>
      </c>
      <c r="Y1266" t="s">
        <v>5858</v>
      </c>
      <c r="Z1266" t="s">
        <v>6037</v>
      </c>
      <c r="AA1266" s="2">
        <v>0</v>
      </c>
      <c r="AB1266" t="s">
        <v>5859</v>
      </c>
      <c r="AC1266" t="s">
        <v>9975</v>
      </c>
      <c r="AD1266" s="32">
        <v>43280</v>
      </c>
      <c r="AJ1266" t="s">
        <v>9967</v>
      </c>
      <c r="AL1266" t="s">
        <v>14190</v>
      </c>
    </row>
    <row r="1267" spans="1:38">
      <c r="A1267" t="s">
        <v>9203</v>
      </c>
      <c r="B1267" t="s">
        <v>13502</v>
      </c>
      <c r="C1267" t="s">
        <v>6088</v>
      </c>
      <c r="D1267" t="s">
        <v>6003</v>
      </c>
      <c r="E1267" s="5">
        <v>10499.999</v>
      </c>
      <c r="F1267" s="5">
        <v>10499.999</v>
      </c>
      <c r="G1267" s="3">
        <v>43286</v>
      </c>
      <c r="H1267" s="4">
        <v>6.230324074074E-2</v>
      </c>
      <c r="I1267" s="3">
        <v>43286</v>
      </c>
      <c r="J1267" s="4">
        <v>0.70568287037037003</v>
      </c>
      <c r="K1267" s="2">
        <v>0</v>
      </c>
      <c r="L1267" t="s">
        <v>5856</v>
      </c>
      <c r="M1267" t="s">
        <v>9204</v>
      </c>
      <c r="N1267" s="3"/>
      <c r="O1267" s="3">
        <v>43288</v>
      </c>
      <c r="P1267" t="s">
        <v>5864</v>
      </c>
      <c r="Q1267" t="s">
        <v>13503</v>
      </c>
      <c r="R1267" t="s">
        <v>6036</v>
      </c>
      <c r="S1267" s="3">
        <v>43291</v>
      </c>
      <c r="T1267" t="s">
        <v>9938</v>
      </c>
      <c r="U1267" t="s">
        <v>5865</v>
      </c>
      <c r="V1267" t="s">
        <v>6057</v>
      </c>
      <c r="W1267" t="s">
        <v>5857</v>
      </c>
      <c r="X1267" s="2">
        <v>680</v>
      </c>
      <c r="Y1267" t="s">
        <v>5858</v>
      </c>
      <c r="Z1267" t="s">
        <v>6037</v>
      </c>
      <c r="AA1267" s="2">
        <v>10000</v>
      </c>
      <c r="AB1267" t="s">
        <v>5859</v>
      </c>
      <c r="AC1267" t="s">
        <v>9975</v>
      </c>
      <c r="AD1267" s="32">
        <v>43280</v>
      </c>
      <c r="AI1267" t="s">
        <v>9939</v>
      </c>
      <c r="AJ1267" t="s">
        <v>9967</v>
      </c>
      <c r="AL1267" t="s">
        <v>14191</v>
      </c>
    </row>
    <row r="1268" spans="1:38">
      <c r="A1268" t="s">
        <v>9203</v>
      </c>
      <c r="B1268" t="s">
        <v>13504</v>
      </c>
      <c r="C1268" t="s">
        <v>6088</v>
      </c>
      <c r="D1268" t="s">
        <v>6003</v>
      </c>
      <c r="E1268" s="5">
        <v>20999.999</v>
      </c>
      <c r="F1268" s="5">
        <v>20999.999</v>
      </c>
      <c r="G1268" s="3">
        <v>43286</v>
      </c>
      <c r="H1268" s="4">
        <v>0.48483796296296</v>
      </c>
      <c r="I1268" s="3">
        <v>43287</v>
      </c>
      <c r="J1268" s="4">
        <v>0.77159722222222005</v>
      </c>
      <c r="K1268" s="2">
        <v>0</v>
      </c>
      <c r="L1268" t="s">
        <v>5856</v>
      </c>
      <c r="M1268" t="s">
        <v>9208</v>
      </c>
      <c r="N1268" s="3">
        <v>43297</v>
      </c>
      <c r="O1268" s="3">
        <v>43289</v>
      </c>
      <c r="P1268" t="s">
        <v>5864</v>
      </c>
      <c r="Q1268" t="s">
        <v>6038</v>
      </c>
      <c r="R1268" t="s">
        <v>6040</v>
      </c>
      <c r="S1268" s="3">
        <v>43313</v>
      </c>
      <c r="T1268" t="s">
        <v>9938</v>
      </c>
      <c r="U1268" t="s">
        <v>5865</v>
      </c>
      <c r="V1268" t="s">
        <v>6057</v>
      </c>
      <c r="W1268" t="s">
        <v>5857</v>
      </c>
      <c r="X1268" s="2">
        <v>680</v>
      </c>
      <c r="Y1268" t="s">
        <v>5858</v>
      </c>
      <c r="Z1268" t="s">
        <v>6037</v>
      </c>
      <c r="AA1268" s="2">
        <v>20000</v>
      </c>
      <c r="AB1268" t="s">
        <v>5863</v>
      </c>
      <c r="AC1268" t="s">
        <v>9975</v>
      </c>
      <c r="AD1268" s="32">
        <v>43280</v>
      </c>
      <c r="AI1268" t="s">
        <v>9939</v>
      </c>
      <c r="AJ1268" t="s">
        <v>9967</v>
      </c>
      <c r="AL1268" t="s">
        <v>14192</v>
      </c>
    </row>
    <row r="1269" spans="1:38">
      <c r="A1269" t="s">
        <v>9203</v>
      </c>
      <c r="B1269" t="s">
        <v>13505</v>
      </c>
      <c r="C1269" t="s">
        <v>6097</v>
      </c>
      <c r="D1269" t="s">
        <v>6015</v>
      </c>
      <c r="E1269" s="2">
        <v>875</v>
      </c>
      <c r="F1269" s="2">
        <v>21000</v>
      </c>
      <c r="G1269" s="3">
        <v>43287</v>
      </c>
      <c r="H1269" s="4">
        <v>0.39072916666667001</v>
      </c>
      <c r="I1269" s="3">
        <v>43288</v>
      </c>
      <c r="J1269" s="4">
        <v>0.67748842592592995</v>
      </c>
      <c r="K1269" s="2">
        <v>0</v>
      </c>
      <c r="L1269" t="s">
        <v>5856</v>
      </c>
      <c r="M1269" t="s">
        <v>9208</v>
      </c>
      <c r="N1269" s="3">
        <v>43292</v>
      </c>
      <c r="O1269" s="3">
        <v>43290</v>
      </c>
      <c r="P1269" t="s">
        <v>5864</v>
      </c>
      <c r="Q1269" t="s">
        <v>6038</v>
      </c>
      <c r="R1269" t="s">
        <v>6039</v>
      </c>
      <c r="S1269" s="3"/>
      <c r="T1269" t="s">
        <v>9938</v>
      </c>
      <c r="U1269" t="s">
        <v>5871</v>
      </c>
      <c r="V1269" t="s">
        <v>6057</v>
      </c>
      <c r="W1269" t="s">
        <v>5857</v>
      </c>
      <c r="X1269" s="2">
        <v>680</v>
      </c>
      <c r="Y1269" t="s">
        <v>5858</v>
      </c>
      <c r="Z1269" t="s">
        <v>6037</v>
      </c>
      <c r="AA1269" s="2">
        <v>0</v>
      </c>
      <c r="AB1269" t="s">
        <v>5859</v>
      </c>
      <c r="AC1269" t="s">
        <v>9974</v>
      </c>
      <c r="AD1269" s="32">
        <v>43279</v>
      </c>
      <c r="AI1269" t="s">
        <v>9939</v>
      </c>
      <c r="AJ1269" t="s">
        <v>9967</v>
      </c>
      <c r="AL1269" t="s">
        <v>14193</v>
      </c>
    </row>
    <row r="1270" spans="1:38">
      <c r="A1270" t="s">
        <v>9203</v>
      </c>
      <c r="B1270" t="s">
        <v>12021</v>
      </c>
      <c r="C1270" t="s">
        <v>8117</v>
      </c>
      <c r="D1270" t="s">
        <v>8118</v>
      </c>
      <c r="E1270" s="5">
        <v>3299.9989999999998</v>
      </c>
      <c r="F1270" s="5">
        <v>10499.999</v>
      </c>
      <c r="G1270" s="3">
        <v>43289</v>
      </c>
      <c r="H1270" s="4">
        <v>0.94343750000000004</v>
      </c>
      <c r="I1270" s="3">
        <v>43290</v>
      </c>
      <c r="J1270" s="4">
        <v>0.58681712962962995</v>
      </c>
      <c r="K1270" s="2">
        <v>20</v>
      </c>
      <c r="L1270" t="s">
        <v>5856</v>
      </c>
      <c r="M1270" t="s">
        <v>9204</v>
      </c>
      <c r="N1270" s="3">
        <v>43293</v>
      </c>
      <c r="O1270" s="3">
        <v>43292</v>
      </c>
      <c r="P1270" t="s">
        <v>5864</v>
      </c>
      <c r="Q1270" t="s">
        <v>8119</v>
      </c>
      <c r="R1270" t="s">
        <v>6036</v>
      </c>
      <c r="S1270" s="3">
        <v>43293</v>
      </c>
      <c r="T1270" t="s">
        <v>9938</v>
      </c>
      <c r="U1270" t="s">
        <v>5900</v>
      </c>
      <c r="V1270" t="s">
        <v>6057</v>
      </c>
      <c r="W1270" t="s">
        <v>5914</v>
      </c>
      <c r="X1270" s="2">
        <v>680</v>
      </c>
      <c r="Y1270" t="s">
        <v>5858</v>
      </c>
      <c r="Z1270" t="s">
        <v>6037</v>
      </c>
      <c r="AA1270" s="2">
        <v>2800</v>
      </c>
      <c r="AB1270" t="s">
        <v>5859</v>
      </c>
      <c r="AC1270" t="s">
        <v>9974</v>
      </c>
      <c r="AD1270" s="32">
        <v>43265</v>
      </c>
      <c r="AI1270" t="s">
        <v>9939</v>
      </c>
      <c r="AJ1270" t="s">
        <v>9967</v>
      </c>
      <c r="AL1270" t="s">
        <v>14194</v>
      </c>
    </row>
    <row r="1271" spans="1:38">
      <c r="A1271" t="s">
        <v>9203</v>
      </c>
      <c r="B1271" t="s">
        <v>12020</v>
      </c>
      <c r="C1271" t="s">
        <v>6097</v>
      </c>
      <c r="D1271" t="s">
        <v>6015</v>
      </c>
      <c r="E1271" s="5">
        <v>483.75</v>
      </c>
      <c r="F1271" s="5">
        <v>10158.75</v>
      </c>
      <c r="G1271" s="3">
        <v>43290</v>
      </c>
      <c r="H1271" s="4">
        <v>2.0833333333330002E-2</v>
      </c>
      <c r="I1271" s="3">
        <v>43290</v>
      </c>
      <c r="J1271" s="4">
        <v>0.64331018518519001</v>
      </c>
      <c r="K1271" s="2">
        <v>20</v>
      </c>
      <c r="L1271" t="s">
        <v>5856</v>
      </c>
      <c r="M1271" t="s">
        <v>13506</v>
      </c>
      <c r="N1271" s="3">
        <v>43293</v>
      </c>
      <c r="O1271" s="3">
        <v>43292</v>
      </c>
      <c r="P1271" t="s">
        <v>5864</v>
      </c>
      <c r="Q1271" t="s">
        <v>6038</v>
      </c>
      <c r="R1271" t="s">
        <v>6039</v>
      </c>
      <c r="S1271" s="3"/>
      <c r="T1271" t="s">
        <v>9938</v>
      </c>
      <c r="U1271" t="s">
        <v>5871</v>
      </c>
      <c r="V1271" t="s">
        <v>6057</v>
      </c>
      <c r="W1271" t="s">
        <v>5857</v>
      </c>
      <c r="X1271" s="2">
        <v>680</v>
      </c>
      <c r="Y1271" t="s">
        <v>5858</v>
      </c>
      <c r="Z1271" t="s">
        <v>6037</v>
      </c>
      <c r="AA1271" s="2">
        <v>0</v>
      </c>
      <c r="AB1271" t="s">
        <v>5859</v>
      </c>
      <c r="AC1271" t="s">
        <v>9974</v>
      </c>
      <c r="AD1271" s="32">
        <v>43265</v>
      </c>
      <c r="AI1271" t="s">
        <v>9939</v>
      </c>
      <c r="AJ1271" t="s">
        <v>9967</v>
      </c>
      <c r="AL1271" t="s">
        <v>14195</v>
      </c>
    </row>
    <row r="1272" spans="1:38">
      <c r="A1272" t="s">
        <v>9203</v>
      </c>
      <c r="B1272" t="s">
        <v>13507</v>
      </c>
      <c r="C1272" t="s">
        <v>9125</v>
      </c>
      <c r="D1272" t="s">
        <v>9126</v>
      </c>
      <c r="E1272" s="2">
        <v>10000</v>
      </c>
      <c r="F1272" s="2">
        <v>10000</v>
      </c>
      <c r="G1272" s="3">
        <v>43296</v>
      </c>
      <c r="H1272" s="4">
        <v>2.1562499999999998E-2</v>
      </c>
      <c r="I1272" s="3">
        <v>43296</v>
      </c>
      <c r="J1272" s="4">
        <v>0.63430555555556001</v>
      </c>
      <c r="K1272" s="2">
        <v>0</v>
      </c>
      <c r="L1272" t="s">
        <v>5856</v>
      </c>
      <c r="M1272" t="s">
        <v>8425</v>
      </c>
      <c r="N1272" s="3">
        <v>43293</v>
      </c>
      <c r="O1272" s="3">
        <v>43298</v>
      </c>
      <c r="P1272" t="s">
        <v>5862</v>
      </c>
      <c r="Q1272" t="s">
        <v>6038</v>
      </c>
      <c r="R1272" t="s">
        <v>6040</v>
      </c>
      <c r="S1272" s="3">
        <v>43288</v>
      </c>
      <c r="T1272" t="s">
        <v>9938</v>
      </c>
      <c r="U1272" t="s">
        <v>9128</v>
      </c>
      <c r="V1272" t="s">
        <v>6041</v>
      </c>
      <c r="W1272" t="s">
        <v>5914</v>
      </c>
      <c r="X1272" s="2">
        <v>680</v>
      </c>
      <c r="Y1272" t="s">
        <v>5858</v>
      </c>
      <c r="Z1272" t="s">
        <v>6037</v>
      </c>
      <c r="AA1272" s="2">
        <v>10000</v>
      </c>
      <c r="AB1272" t="s">
        <v>5863</v>
      </c>
      <c r="AC1272" t="s">
        <v>9983</v>
      </c>
      <c r="AD1272" s="32">
        <v>43280</v>
      </c>
      <c r="AJ1272" t="s">
        <v>9967</v>
      </c>
      <c r="AL1272" t="s">
        <v>14196</v>
      </c>
    </row>
    <row r="1273" spans="1:38">
      <c r="A1273" t="s">
        <v>9203</v>
      </c>
      <c r="B1273" t="s">
        <v>12025</v>
      </c>
      <c r="C1273" t="s">
        <v>6097</v>
      </c>
      <c r="D1273" t="s">
        <v>6015</v>
      </c>
      <c r="E1273" s="5">
        <v>10499.999</v>
      </c>
      <c r="F1273" s="5">
        <v>10499.999</v>
      </c>
      <c r="G1273" s="3">
        <v>43296</v>
      </c>
      <c r="H1273" s="4">
        <v>0.65513888888889005</v>
      </c>
      <c r="I1273" s="3">
        <v>43297</v>
      </c>
      <c r="J1273" s="4">
        <v>0.29851851851852002</v>
      </c>
      <c r="K1273" s="2">
        <v>20</v>
      </c>
      <c r="L1273" t="s">
        <v>5856</v>
      </c>
      <c r="M1273" t="s">
        <v>9204</v>
      </c>
      <c r="N1273" s="3">
        <v>43293</v>
      </c>
      <c r="O1273" s="3">
        <v>43299</v>
      </c>
      <c r="P1273" t="s">
        <v>5864</v>
      </c>
      <c r="Q1273" t="s">
        <v>8129</v>
      </c>
      <c r="R1273" t="s">
        <v>6036</v>
      </c>
      <c r="S1273" s="3">
        <v>43293</v>
      </c>
      <c r="T1273" t="s">
        <v>9938</v>
      </c>
      <c r="U1273" t="s">
        <v>5871</v>
      </c>
      <c r="V1273" t="s">
        <v>6057</v>
      </c>
      <c r="W1273" t="s">
        <v>5857</v>
      </c>
      <c r="X1273" s="2">
        <v>680</v>
      </c>
      <c r="Y1273" t="s">
        <v>5858</v>
      </c>
      <c r="Z1273" t="s">
        <v>6037</v>
      </c>
      <c r="AA1273" s="2">
        <v>10000</v>
      </c>
      <c r="AB1273" t="s">
        <v>5859</v>
      </c>
      <c r="AC1273" t="s">
        <v>9974</v>
      </c>
      <c r="AD1273" s="32">
        <v>43265</v>
      </c>
      <c r="AI1273" t="s">
        <v>9939</v>
      </c>
      <c r="AJ1273" t="s">
        <v>9967</v>
      </c>
      <c r="AL1273" t="s">
        <v>14197</v>
      </c>
    </row>
    <row r="1274" spans="1:38">
      <c r="A1274" t="s">
        <v>9203</v>
      </c>
      <c r="B1274" t="s">
        <v>12534</v>
      </c>
      <c r="C1274" t="s">
        <v>9125</v>
      </c>
      <c r="D1274" t="s">
        <v>9126</v>
      </c>
      <c r="E1274" s="2">
        <v>10000</v>
      </c>
      <c r="F1274" s="2">
        <v>10000</v>
      </c>
      <c r="G1274" s="3">
        <v>43297</v>
      </c>
      <c r="H1274" s="4">
        <v>0.31935185185185</v>
      </c>
      <c r="I1274" s="3">
        <v>43297</v>
      </c>
      <c r="J1274" s="4">
        <v>0.93209490740740997</v>
      </c>
      <c r="K1274" s="2">
        <v>0</v>
      </c>
      <c r="L1274" t="s">
        <v>5856</v>
      </c>
      <c r="M1274" t="s">
        <v>8425</v>
      </c>
      <c r="N1274" s="3">
        <v>43297</v>
      </c>
      <c r="O1274" s="3">
        <v>43299</v>
      </c>
      <c r="P1274" t="s">
        <v>5862</v>
      </c>
      <c r="Q1274" t="s">
        <v>6038</v>
      </c>
      <c r="R1274" t="s">
        <v>6040</v>
      </c>
      <c r="S1274" s="3">
        <v>43288</v>
      </c>
      <c r="T1274" t="s">
        <v>9938</v>
      </c>
      <c r="U1274" t="s">
        <v>9128</v>
      </c>
      <c r="V1274" t="s">
        <v>6041</v>
      </c>
      <c r="W1274" t="s">
        <v>5914</v>
      </c>
      <c r="X1274" s="2">
        <v>0</v>
      </c>
      <c r="Y1274" t="s">
        <v>5858</v>
      </c>
      <c r="Z1274" t="s">
        <v>6037</v>
      </c>
      <c r="AA1274" s="2">
        <v>10000</v>
      </c>
      <c r="AB1274" t="s">
        <v>5915</v>
      </c>
      <c r="AC1274" t="s">
        <v>9983</v>
      </c>
      <c r="AD1274" s="32"/>
      <c r="AJ1274" t="s">
        <v>9967</v>
      </c>
      <c r="AL1274" t="s">
        <v>11350</v>
      </c>
    </row>
    <row r="1275" spans="1:38">
      <c r="A1275" t="s">
        <v>9203</v>
      </c>
      <c r="B1275" t="s">
        <v>13508</v>
      </c>
      <c r="C1275" t="s">
        <v>9224</v>
      </c>
      <c r="D1275" t="s">
        <v>9225</v>
      </c>
      <c r="E1275" s="2">
        <v>5000</v>
      </c>
      <c r="F1275" s="2">
        <v>5000</v>
      </c>
      <c r="G1275" s="3">
        <v>43297</v>
      </c>
      <c r="H1275" s="4">
        <v>0.95292824074074001</v>
      </c>
      <c r="I1275" s="3">
        <v>43298</v>
      </c>
      <c r="J1275" s="4">
        <v>0.25930555555556001</v>
      </c>
      <c r="K1275" s="2">
        <v>0</v>
      </c>
      <c r="L1275" t="s">
        <v>5856</v>
      </c>
      <c r="M1275" t="s">
        <v>9226</v>
      </c>
      <c r="N1275" s="3">
        <v>43299</v>
      </c>
      <c r="O1275" s="3">
        <v>43300</v>
      </c>
      <c r="P1275" t="s">
        <v>5967</v>
      </c>
      <c r="Q1275" t="s">
        <v>9227</v>
      </c>
      <c r="R1275" t="s">
        <v>6036</v>
      </c>
      <c r="S1275" s="3">
        <v>43299</v>
      </c>
      <c r="T1275" t="s">
        <v>9938</v>
      </c>
      <c r="U1275" t="s">
        <v>9128</v>
      </c>
      <c r="V1275" t="s">
        <v>9228</v>
      </c>
      <c r="W1275" t="s">
        <v>5914</v>
      </c>
      <c r="X1275" s="2">
        <v>680</v>
      </c>
      <c r="Y1275" t="s">
        <v>5858</v>
      </c>
      <c r="Z1275" t="s">
        <v>6037</v>
      </c>
      <c r="AA1275" s="2">
        <v>5000</v>
      </c>
      <c r="AB1275" t="s">
        <v>5863</v>
      </c>
      <c r="AC1275" t="s">
        <v>9981</v>
      </c>
      <c r="AD1275" s="32">
        <v>43280</v>
      </c>
      <c r="AJ1275" t="s">
        <v>9967</v>
      </c>
      <c r="AL1275" t="s">
        <v>14198</v>
      </c>
    </row>
    <row r="1276" spans="1:38">
      <c r="A1276" t="s">
        <v>9203</v>
      </c>
      <c r="B1276" t="s">
        <v>13509</v>
      </c>
      <c r="C1276" t="s">
        <v>13478</v>
      </c>
      <c r="D1276" t="s">
        <v>13479</v>
      </c>
      <c r="E1276" s="5">
        <v>10499.999</v>
      </c>
      <c r="F1276" s="5">
        <v>10499.999</v>
      </c>
      <c r="G1276" s="3">
        <v>43298</v>
      </c>
      <c r="H1276" s="4">
        <v>0.28013888888888999</v>
      </c>
      <c r="I1276" s="3">
        <v>43298</v>
      </c>
      <c r="J1276" s="4">
        <v>0.92351851851851996</v>
      </c>
      <c r="K1276" s="2">
        <v>0</v>
      </c>
      <c r="L1276" t="s">
        <v>5856</v>
      </c>
      <c r="M1276" t="s">
        <v>9204</v>
      </c>
      <c r="N1276" s="3">
        <v>43300</v>
      </c>
      <c r="O1276" s="3">
        <v>43300</v>
      </c>
      <c r="P1276" t="s">
        <v>5862</v>
      </c>
      <c r="Q1276" t="s">
        <v>13510</v>
      </c>
      <c r="R1276" t="s">
        <v>6036</v>
      </c>
      <c r="S1276" s="3">
        <v>43300</v>
      </c>
      <c r="T1276" t="s">
        <v>9938</v>
      </c>
      <c r="U1276" t="s">
        <v>9207</v>
      </c>
      <c r="V1276" t="s">
        <v>13481</v>
      </c>
      <c r="W1276" t="s">
        <v>5914</v>
      </c>
      <c r="X1276" s="2">
        <v>680</v>
      </c>
      <c r="Y1276" t="s">
        <v>5858</v>
      </c>
      <c r="Z1276" t="s">
        <v>6037</v>
      </c>
      <c r="AA1276" s="2">
        <v>10000</v>
      </c>
      <c r="AB1276" t="s">
        <v>5863</v>
      </c>
      <c r="AC1276" t="s">
        <v>9981</v>
      </c>
      <c r="AD1276" s="32">
        <v>43279</v>
      </c>
      <c r="AJ1276" t="s">
        <v>9967</v>
      </c>
      <c r="AL1276" t="s">
        <v>14199</v>
      </c>
    </row>
    <row r="1277" spans="1:38">
      <c r="A1277" t="s">
        <v>9203</v>
      </c>
      <c r="B1277" t="s">
        <v>13511</v>
      </c>
      <c r="C1277" t="s">
        <v>7929</v>
      </c>
      <c r="D1277" t="s">
        <v>7930</v>
      </c>
      <c r="E1277" s="2">
        <v>1365</v>
      </c>
      <c r="F1277" s="2">
        <v>1365</v>
      </c>
      <c r="G1277" s="3">
        <v>43298</v>
      </c>
      <c r="H1277" s="4">
        <v>0.94435185185185</v>
      </c>
      <c r="I1277" s="3">
        <v>43299</v>
      </c>
      <c r="J1277" s="4">
        <v>2.7986111111110001E-2</v>
      </c>
      <c r="K1277" s="2">
        <v>0</v>
      </c>
      <c r="L1277" t="s">
        <v>5856</v>
      </c>
      <c r="M1277" t="s">
        <v>13512</v>
      </c>
      <c r="N1277" s="3">
        <v>43300</v>
      </c>
      <c r="O1277" s="3">
        <v>43301</v>
      </c>
      <c r="P1277" t="s">
        <v>9218</v>
      </c>
      <c r="Q1277" t="s">
        <v>13513</v>
      </c>
      <c r="R1277" t="s">
        <v>6036</v>
      </c>
      <c r="S1277" s="3">
        <v>43300</v>
      </c>
      <c r="T1277" t="s">
        <v>9938</v>
      </c>
      <c r="U1277" t="s">
        <v>7932</v>
      </c>
      <c r="V1277" t="s">
        <v>7933</v>
      </c>
      <c r="W1277" t="s">
        <v>5914</v>
      </c>
      <c r="X1277" s="2">
        <v>680</v>
      </c>
      <c r="Y1277" t="s">
        <v>5858</v>
      </c>
      <c r="Z1277" t="s">
        <v>6037</v>
      </c>
      <c r="AA1277" s="2">
        <v>1300</v>
      </c>
      <c r="AB1277" t="s">
        <v>5863</v>
      </c>
      <c r="AC1277" t="s">
        <v>9981</v>
      </c>
      <c r="AD1277" s="32">
        <v>43279</v>
      </c>
      <c r="AJ1277" t="s">
        <v>9962</v>
      </c>
      <c r="AL1277" t="s">
        <v>14200</v>
      </c>
    </row>
    <row r="1278" spans="1:38">
      <c r="A1278" t="s">
        <v>9203</v>
      </c>
      <c r="B1278" t="s">
        <v>13514</v>
      </c>
      <c r="C1278" t="s">
        <v>9205</v>
      </c>
      <c r="D1278" t="s">
        <v>9206</v>
      </c>
      <c r="E1278" s="2">
        <v>4200</v>
      </c>
      <c r="F1278" s="2">
        <v>4200</v>
      </c>
      <c r="G1278" s="3">
        <v>43299</v>
      </c>
      <c r="H1278" s="4">
        <v>6.9652777777780006E-2</v>
      </c>
      <c r="I1278" s="3">
        <v>43299</v>
      </c>
      <c r="J1278" s="4">
        <v>0.32700231481481001</v>
      </c>
      <c r="K1278" s="2">
        <v>20</v>
      </c>
      <c r="L1278" t="s">
        <v>5856</v>
      </c>
      <c r="M1278" t="s">
        <v>13002</v>
      </c>
      <c r="N1278" s="3">
        <v>43300</v>
      </c>
      <c r="O1278" s="3">
        <v>43301</v>
      </c>
      <c r="P1278" t="s">
        <v>5967</v>
      </c>
      <c r="Q1278" t="s">
        <v>13515</v>
      </c>
      <c r="R1278" t="s">
        <v>6036</v>
      </c>
      <c r="S1278" s="3">
        <v>43300</v>
      </c>
      <c r="T1278" t="s">
        <v>9938</v>
      </c>
      <c r="U1278" t="s">
        <v>9207</v>
      </c>
      <c r="V1278" t="s">
        <v>6041</v>
      </c>
      <c r="W1278" t="s">
        <v>5914</v>
      </c>
      <c r="X1278" s="2">
        <v>680</v>
      </c>
      <c r="Y1278" t="s">
        <v>5858</v>
      </c>
      <c r="Z1278" t="s">
        <v>6037</v>
      </c>
      <c r="AA1278" s="2">
        <v>4000</v>
      </c>
      <c r="AB1278" t="s">
        <v>5863</v>
      </c>
      <c r="AC1278" t="s">
        <v>9981</v>
      </c>
      <c r="AD1278" s="32">
        <v>43279</v>
      </c>
      <c r="AJ1278" t="s">
        <v>9967</v>
      </c>
      <c r="AL1278" t="s">
        <v>14201</v>
      </c>
    </row>
    <row r="1279" spans="1:38">
      <c r="A1279" t="s">
        <v>9203</v>
      </c>
      <c r="B1279" t="s">
        <v>12535</v>
      </c>
      <c r="C1279" t="s">
        <v>9211</v>
      </c>
      <c r="D1279" t="s">
        <v>9212</v>
      </c>
      <c r="E1279" s="2">
        <v>1470</v>
      </c>
      <c r="F1279" s="2">
        <v>1470</v>
      </c>
      <c r="G1279" s="3">
        <v>43299</v>
      </c>
      <c r="H1279" s="4">
        <v>0.34783564814814999</v>
      </c>
      <c r="I1279" s="3">
        <v>43299</v>
      </c>
      <c r="J1279" s="4">
        <v>0.43790509259258997</v>
      </c>
      <c r="K1279" s="2">
        <v>0</v>
      </c>
      <c r="L1279" t="s">
        <v>5856</v>
      </c>
      <c r="M1279" t="s">
        <v>9229</v>
      </c>
      <c r="N1279" s="3">
        <v>43299</v>
      </c>
      <c r="O1279" s="3">
        <v>43301</v>
      </c>
      <c r="P1279" t="s">
        <v>5862</v>
      </c>
      <c r="Q1279" t="s">
        <v>6038</v>
      </c>
      <c r="R1279" t="s">
        <v>6040</v>
      </c>
      <c r="S1279" s="3">
        <v>43288</v>
      </c>
      <c r="T1279" t="s">
        <v>9938</v>
      </c>
      <c r="U1279" t="s">
        <v>7962</v>
      </c>
      <c r="V1279" t="s">
        <v>9214</v>
      </c>
      <c r="W1279" t="s">
        <v>5914</v>
      </c>
      <c r="X1279" s="2">
        <v>0</v>
      </c>
      <c r="Y1279" t="s">
        <v>5858</v>
      </c>
      <c r="Z1279" t="s">
        <v>6037</v>
      </c>
      <c r="AA1279" s="2">
        <v>1400</v>
      </c>
      <c r="AB1279" t="s">
        <v>5861</v>
      </c>
      <c r="AC1279" t="s">
        <v>9981</v>
      </c>
      <c r="AD1279" s="32"/>
      <c r="AJ1279" t="s">
        <v>9967</v>
      </c>
      <c r="AL1279" t="s">
        <v>14202</v>
      </c>
    </row>
    <row r="1280" spans="1:38">
      <c r="A1280" t="s">
        <v>9203</v>
      </c>
      <c r="B1280" t="s">
        <v>12536</v>
      </c>
      <c r="C1280" t="s">
        <v>8060</v>
      </c>
      <c r="D1280" t="s">
        <v>8061</v>
      </c>
      <c r="E1280" s="2">
        <v>20000</v>
      </c>
      <c r="F1280" s="2">
        <v>20000</v>
      </c>
      <c r="G1280" s="3">
        <v>43299</v>
      </c>
      <c r="H1280" s="4">
        <v>0.45873842592593</v>
      </c>
      <c r="I1280" s="3">
        <v>43300</v>
      </c>
      <c r="J1280" s="4">
        <v>0.68422453703704</v>
      </c>
      <c r="K1280" s="2">
        <v>0</v>
      </c>
      <c r="L1280" t="s">
        <v>5856</v>
      </c>
      <c r="M1280" t="s">
        <v>9230</v>
      </c>
      <c r="N1280" s="3">
        <v>43300</v>
      </c>
      <c r="O1280" s="3">
        <v>43302</v>
      </c>
      <c r="P1280" t="s">
        <v>5862</v>
      </c>
      <c r="Q1280" t="s">
        <v>9231</v>
      </c>
      <c r="R1280" t="s">
        <v>6036</v>
      </c>
      <c r="S1280" s="3">
        <v>43298</v>
      </c>
      <c r="T1280" t="s">
        <v>9938</v>
      </c>
      <c r="U1280" t="s">
        <v>8062</v>
      </c>
      <c r="V1280" t="s">
        <v>7779</v>
      </c>
      <c r="W1280" t="s">
        <v>7883</v>
      </c>
      <c r="X1280" s="2">
        <v>0</v>
      </c>
      <c r="Y1280" t="s">
        <v>5858</v>
      </c>
      <c r="Z1280" t="s">
        <v>6037</v>
      </c>
      <c r="AA1280" s="2">
        <v>20000</v>
      </c>
      <c r="AB1280" t="s">
        <v>5915</v>
      </c>
      <c r="AC1280" t="s">
        <v>9983</v>
      </c>
      <c r="AD1280" s="32"/>
      <c r="AJ1280" t="s">
        <v>9967</v>
      </c>
      <c r="AL1280" t="s">
        <v>11351</v>
      </c>
    </row>
    <row r="1281" spans="1:38">
      <c r="A1281" t="s">
        <v>9203</v>
      </c>
      <c r="B1281" t="s">
        <v>12537</v>
      </c>
      <c r="C1281" t="s">
        <v>9232</v>
      </c>
      <c r="D1281" t="s">
        <v>9233</v>
      </c>
      <c r="E1281" s="2">
        <v>5250</v>
      </c>
      <c r="F1281" s="2">
        <v>5250</v>
      </c>
      <c r="G1281" s="3">
        <v>43300</v>
      </c>
      <c r="H1281" s="4">
        <v>0.70505787037037004</v>
      </c>
      <c r="I1281" s="3">
        <v>43301</v>
      </c>
      <c r="J1281" s="4">
        <v>2.6747685185189999E-2</v>
      </c>
      <c r="K1281" s="2">
        <v>0</v>
      </c>
      <c r="L1281" t="s">
        <v>5856</v>
      </c>
      <c r="M1281" t="s">
        <v>9234</v>
      </c>
      <c r="N1281" s="3">
        <v>43307</v>
      </c>
      <c r="O1281" s="3">
        <v>43308</v>
      </c>
      <c r="P1281" t="s">
        <v>5881</v>
      </c>
      <c r="Q1281" t="s">
        <v>9235</v>
      </c>
      <c r="R1281" t="s">
        <v>6036</v>
      </c>
      <c r="S1281" s="3">
        <v>43307</v>
      </c>
      <c r="T1281" t="s">
        <v>9938</v>
      </c>
      <c r="U1281" t="s">
        <v>9236</v>
      </c>
      <c r="V1281" t="s">
        <v>9237</v>
      </c>
      <c r="W1281" t="s">
        <v>5914</v>
      </c>
      <c r="X1281" s="2">
        <v>680</v>
      </c>
      <c r="Y1281" t="s">
        <v>5858</v>
      </c>
      <c r="Z1281" t="s">
        <v>6037</v>
      </c>
      <c r="AA1281" s="2">
        <v>5000</v>
      </c>
      <c r="AB1281" t="s">
        <v>5863</v>
      </c>
      <c r="AC1281" t="s">
        <v>9981</v>
      </c>
      <c r="AD1281" s="32">
        <v>43279</v>
      </c>
      <c r="AJ1281" t="s">
        <v>9967</v>
      </c>
      <c r="AL1281" t="s">
        <v>11352</v>
      </c>
    </row>
    <row r="1282" spans="1:38">
      <c r="A1282" t="s">
        <v>9203</v>
      </c>
      <c r="B1282" t="s">
        <v>12538</v>
      </c>
      <c r="C1282" t="s">
        <v>9219</v>
      </c>
      <c r="D1282" t="s">
        <v>9220</v>
      </c>
      <c r="E1282" s="2">
        <v>2520</v>
      </c>
      <c r="F1282" s="2">
        <v>2520</v>
      </c>
      <c r="G1282" s="3">
        <v>43303</v>
      </c>
      <c r="H1282" s="4">
        <v>0.19606481481481</v>
      </c>
      <c r="I1282" s="3">
        <v>43303</v>
      </c>
      <c r="J1282" s="4">
        <v>0.35047453703704001</v>
      </c>
      <c r="K1282" s="2">
        <v>0</v>
      </c>
      <c r="L1282" t="s">
        <v>5856</v>
      </c>
      <c r="M1282" t="s">
        <v>7434</v>
      </c>
      <c r="N1282" s="3"/>
      <c r="O1282" s="3">
        <v>43305</v>
      </c>
      <c r="P1282" t="s">
        <v>9218</v>
      </c>
      <c r="Q1282" t="s">
        <v>9241</v>
      </c>
      <c r="R1282" t="s">
        <v>6036</v>
      </c>
      <c r="S1282" s="3">
        <v>43306</v>
      </c>
      <c r="T1282" t="s">
        <v>9938</v>
      </c>
      <c r="U1282" t="s">
        <v>9222</v>
      </c>
      <c r="V1282" t="s">
        <v>9223</v>
      </c>
      <c r="W1282" t="s">
        <v>5914</v>
      </c>
      <c r="X1282" s="2">
        <v>0</v>
      </c>
      <c r="Y1282" t="s">
        <v>5858</v>
      </c>
      <c r="Z1282" t="s">
        <v>6037</v>
      </c>
      <c r="AA1282" s="2">
        <v>2400</v>
      </c>
      <c r="AB1282" t="s">
        <v>5861</v>
      </c>
      <c r="AC1282" t="s">
        <v>9981</v>
      </c>
      <c r="AD1282" s="32"/>
      <c r="AJ1282" t="s">
        <v>9962</v>
      </c>
      <c r="AL1282" t="s">
        <v>11353</v>
      </c>
    </row>
    <row r="1283" spans="1:38">
      <c r="A1283" t="s">
        <v>9203</v>
      </c>
      <c r="B1283" t="s">
        <v>12539</v>
      </c>
      <c r="C1283" t="s">
        <v>9205</v>
      </c>
      <c r="D1283" t="s">
        <v>9206</v>
      </c>
      <c r="E1283" s="2">
        <v>6500</v>
      </c>
      <c r="F1283" s="2">
        <v>6500</v>
      </c>
      <c r="G1283" s="3">
        <v>43303</v>
      </c>
      <c r="H1283" s="4">
        <v>0.39214120370369998</v>
      </c>
      <c r="I1283" s="3">
        <v>43303</v>
      </c>
      <c r="J1283" s="4">
        <v>0.79042824074074003</v>
      </c>
      <c r="K1283" s="2">
        <v>20</v>
      </c>
      <c r="L1283" t="s">
        <v>5856</v>
      </c>
      <c r="M1283" t="s">
        <v>9238</v>
      </c>
      <c r="N1283" s="3">
        <v>43306</v>
      </c>
      <c r="O1283" s="3">
        <v>43305</v>
      </c>
      <c r="P1283" t="s">
        <v>5967</v>
      </c>
      <c r="Q1283" t="s">
        <v>9239</v>
      </c>
      <c r="R1283" t="s">
        <v>6036</v>
      </c>
      <c r="S1283" s="3">
        <v>43306</v>
      </c>
      <c r="T1283" t="s">
        <v>9938</v>
      </c>
      <c r="U1283" t="s">
        <v>9207</v>
      </c>
      <c r="V1283" t="s">
        <v>6041</v>
      </c>
      <c r="W1283" t="s">
        <v>5914</v>
      </c>
      <c r="X1283" s="2">
        <v>680</v>
      </c>
      <c r="Y1283" t="s">
        <v>5858</v>
      </c>
      <c r="Z1283" t="s">
        <v>6037</v>
      </c>
      <c r="AA1283" s="2">
        <v>6500</v>
      </c>
      <c r="AB1283" t="s">
        <v>5863</v>
      </c>
      <c r="AC1283" t="s">
        <v>9981</v>
      </c>
      <c r="AD1283" s="32">
        <v>43259</v>
      </c>
      <c r="AJ1283" t="s">
        <v>9967</v>
      </c>
      <c r="AL1283" t="s">
        <v>11354</v>
      </c>
    </row>
    <row r="1284" spans="1:38">
      <c r="A1284" t="s">
        <v>9203</v>
      </c>
      <c r="B1284" t="s">
        <v>13516</v>
      </c>
      <c r="C1284" t="s">
        <v>13478</v>
      </c>
      <c r="D1284" t="s">
        <v>13479</v>
      </c>
      <c r="E1284" s="5">
        <v>10499.999</v>
      </c>
      <c r="F1284" s="5">
        <v>10499.999</v>
      </c>
      <c r="G1284" s="3">
        <v>43304</v>
      </c>
      <c r="H1284" s="4">
        <v>0.11028935185185</v>
      </c>
      <c r="I1284" s="3">
        <v>43304</v>
      </c>
      <c r="J1284" s="4">
        <v>0.75366898148147998</v>
      </c>
      <c r="K1284" s="2">
        <v>0</v>
      </c>
      <c r="L1284" t="s">
        <v>5856</v>
      </c>
      <c r="M1284" t="s">
        <v>9204</v>
      </c>
      <c r="N1284" s="3">
        <v>43307</v>
      </c>
      <c r="O1284" s="3">
        <v>43306</v>
      </c>
      <c r="P1284" t="s">
        <v>5862</v>
      </c>
      <c r="Q1284" t="s">
        <v>13517</v>
      </c>
      <c r="R1284" t="s">
        <v>6036</v>
      </c>
      <c r="S1284" s="3">
        <v>43307</v>
      </c>
      <c r="T1284" t="s">
        <v>9938</v>
      </c>
      <c r="U1284" t="s">
        <v>9207</v>
      </c>
      <c r="V1284" t="s">
        <v>13481</v>
      </c>
      <c r="W1284" t="s">
        <v>5914</v>
      </c>
      <c r="X1284" s="2">
        <v>680</v>
      </c>
      <c r="Y1284" t="s">
        <v>5858</v>
      </c>
      <c r="Z1284" t="s">
        <v>6037</v>
      </c>
      <c r="AA1284" s="2">
        <v>10000</v>
      </c>
      <c r="AB1284" t="s">
        <v>5863</v>
      </c>
      <c r="AC1284" t="s">
        <v>9981</v>
      </c>
      <c r="AD1284" s="32">
        <v>43279</v>
      </c>
      <c r="AJ1284" t="s">
        <v>9967</v>
      </c>
      <c r="AL1284" t="s">
        <v>14203</v>
      </c>
    </row>
    <row r="1285" spans="1:38">
      <c r="A1285" t="s">
        <v>9203</v>
      </c>
      <c r="B1285" t="s">
        <v>12540</v>
      </c>
      <c r="C1285" t="s">
        <v>8060</v>
      </c>
      <c r="D1285" t="s">
        <v>8061</v>
      </c>
      <c r="E1285" s="2">
        <v>20000</v>
      </c>
      <c r="F1285" s="2">
        <v>20000</v>
      </c>
      <c r="G1285" s="3">
        <v>43304</v>
      </c>
      <c r="H1285" s="4">
        <v>0.77450231481481002</v>
      </c>
      <c r="I1285" s="3">
        <v>43305</v>
      </c>
      <c r="J1285" s="4">
        <v>0.99998842592592996</v>
      </c>
      <c r="K1285" s="2">
        <v>0</v>
      </c>
      <c r="L1285" t="s">
        <v>5856</v>
      </c>
      <c r="M1285" t="s">
        <v>9230</v>
      </c>
      <c r="N1285" s="3">
        <v>43307</v>
      </c>
      <c r="O1285" s="3">
        <v>43307</v>
      </c>
      <c r="P1285" t="s">
        <v>5862</v>
      </c>
      <c r="Q1285" t="s">
        <v>6038</v>
      </c>
      <c r="R1285" t="s">
        <v>6040</v>
      </c>
      <c r="S1285" s="3">
        <v>43313</v>
      </c>
      <c r="T1285" t="s">
        <v>9938</v>
      </c>
      <c r="U1285" t="s">
        <v>8062</v>
      </c>
      <c r="V1285" t="s">
        <v>7779</v>
      </c>
      <c r="W1285" t="s">
        <v>7883</v>
      </c>
      <c r="X1285" s="2">
        <v>0</v>
      </c>
      <c r="Y1285" t="s">
        <v>5858</v>
      </c>
      <c r="Z1285" t="s">
        <v>6037</v>
      </c>
      <c r="AA1285" s="2">
        <v>20000</v>
      </c>
      <c r="AB1285" t="s">
        <v>5915</v>
      </c>
      <c r="AC1285" t="s">
        <v>9983</v>
      </c>
      <c r="AD1285" s="32"/>
      <c r="AJ1285" t="s">
        <v>9967</v>
      </c>
      <c r="AL1285" t="s">
        <v>11355</v>
      </c>
    </row>
    <row r="1286" spans="1:38">
      <c r="A1286" t="s">
        <v>9203</v>
      </c>
      <c r="B1286" t="s">
        <v>12541</v>
      </c>
      <c r="C1286" t="s">
        <v>9125</v>
      </c>
      <c r="D1286" t="s">
        <v>9126</v>
      </c>
      <c r="E1286" s="2">
        <v>10300</v>
      </c>
      <c r="F1286" s="2">
        <v>10300</v>
      </c>
      <c r="G1286" s="3">
        <v>43305</v>
      </c>
      <c r="H1286" s="4">
        <v>0.36886574074074002</v>
      </c>
      <c r="I1286" s="3">
        <v>43305</v>
      </c>
      <c r="J1286" s="4">
        <v>0.99998842592592996</v>
      </c>
      <c r="K1286" s="2">
        <v>0</v>
      </c>
      <c r="L1286" t="s">
        <v>5856</v>
      </c>
      <c r="M1286" t="s">
        <v>8210</v>
      </c>
      <c r="N1286" s="3">
        <v>43307</v>
      </c>
      <c r="O1286" s="3">
        <v>43307</v>
      </c>
      <c r="P1286" t="s">
        <v>5862</v>
      </c>
      <c r="Q1286" t="s">
        <v>13518</v>
      </c>
      <c r="R1286" t="s">
        <v>6044</v>
      </c>
      <c r="S1286" s="3">
        <v>43294</v>
      </c>
      <c r="T1286" t="s">
        <v>9938</v>
      </c>
      <c r="U1286" t="s">
        <v>9128</v>
      </c>
      <c r="V1286" t="s">
        <v>6041</v>
      </c>
      <c r="W1286" t="s">
        <v>5914</v>
      </c>
      <c r="X1286" s="2">
        <v>0</v>
      </c>
      <c r="Y1286" t="s">
        <v>5858</v>
      </c>
      <c r="Z1286" t="s">
        <v>6037</v>
      </c>
      <c r="AA1286" s="2">
        <v>10000</v>
      </c>
      <c r="AB1286" t="s">
        <v>5915</v>
      </c>
      <c r="AC1286" t="s">
        <v>9983</v>
      </c>
      <c r="AD1286" s="32"/>
      <c r="AJ1286" t="s">
        <v>9967</v>
      </c>
      <c r="AL1286" t="s">
        <v>11356</v>
      </c>
    </row>
    <row r="1287" spans="1:38">
      <c r="A1287" t="s">
        <v>9203</v>
      </c>
      <c r="B1287" t="s">
        <v>12542</v>
      </c>
      <c r="C1287" t="s">
        <v>6075</v>
      </c>
      <c r="D1287" t="s">
        <v>5958</v>
      </c>
      <c r="E1287" s="2">
        <v>1050</v>
      </c>
      <c r="F1287" s="2">
        <v>1050</v>
      </c>
      <c r="G1287" s="3">
        <v>43317</v>
      </c>
      <c r="H1287" s="4">
        <v>0.93565972222222005</v>
      </c>
      <c r="I1287" s="3">
        <v>43318</v>
      </c>
      <c r="J1287" s="4">
        <v>0</v>
      </c>
      <c r="K1287" s="2">
        <v>0</v>
      </c>
      <c r="L1287" t="s">
        <v>5856</v>
      </c>
      <c r="M1287" t="s">
        <v>9213</v>
      </c>
      <c r="N1287" s="3">
        <v>43320</v>
      </c>
      <c r="O1287" s="3">
        <v>43319</v>
      </c>
      <c r="P1287" t="s">
        <v>5864</v>
      </c>
      <c r="Q1287" t="s">
        <v>9240</v>
      </c>
      <c r="R1287" t="s">
        <v>6036</v>
      </c>
      <c r="S1287" s="3">
        <v>43320</v>
      </c>
      <c r="T1287" t="s">
        <v>9938</v>
      </c>
      <c r="U1287" t="s">
        <v>5959</v>
      </c>
      <c r="V1287" t="s">
        <v>6057</v>
      </c>
      <c r="W1287" t="s">
        <v>5857</v>
      </c>
      <c r="X1287" s="2">
        <v>680</v>
      </c>
      <c r="Y1287" t="s">
        <v>5858</v>
      </c>
      <c r="Z1287" t="s">
        <v>6037</v>
      </c>
      <c r="AA1287" s="2">
        <v>1000</v>
      </c>
      <c r="AB1287" t="s">
        <v>5863</v>
      </c>
      <c r="AC1287" t="s">
        <v>9974</v>
      </c>
      <c r="AD1287" s="32">
        <v>43278</v>
      </c>
      <c r="AI1287" t="s">
        <v>9939</v>
      </c>
      <c r="AJ1287" t="s">
        <v>9967</v>
      </c>
      <c r="AL1287" t="s">
        <v>14204</v>
      </c>
    </row>
    <row r="1288" spans="1:38">
      <c r="A1288" t="s">
        <v>9203</v>
      </c>
      <c r="B1288" t="s">
        <v>12543</v>
      </c>
      <c r="C1288" t="s">
        <v>9219</v>
      </c>
      <c r="D1288" t="s">
        <v>9220</v>
      </c>
      <c r="E1288" s="2">
        <v>3360</v>
      </c>
      <c r="F1288" s="2">
        <v>3360</v>
      </c>
      <c r="G1288" s="3">
        <v>43325</v>
      </c>
      <c r="H1288" s="4">
        <v>0.79410879629630005</v>
      </c>
      <c r="I1288" s="3">
        <v>43325</v>
      </c>
      <c r="J1288" s="4">
        <v>0.99998842592592996</v>
      </c>
      <c r="K1288" s="2">
        <v>0</v>
      </c>
      <c r="L1288" t="s">
        <v>5856</v>
      </c>
      <c r="M1288" t="s">
        <v>7322</v>
      </c>
      <c r="N1288" s="3"/>
      <c r="O1288" s="3">
        <v>43327</v>
      </c>
      <c r="P1288" t="s">
        <v>9218</v>
      </c>
      <c r="Q1288" t="s">
        <v>13519</v>
      </c>
      <c r="R1288" t="s">
        <v>6036</v>
      </c>
      <c r="S1288" s="3">
        <v>43328</v>
      </c>
      <c r="T1288" t="s">
        <v>9938</v>
      </c>
      <c r="U1288" t="s">
        <v>9222</v>
      </c>
      <c r="V1288" t="s">
        <v>9223</v>
      </c>
      <c r="W1288" t="s">
        <v>5914</v>
      </c>
      <c r="X1288" s="2">
        <v>0</v>
      </c>
      <c r="Y1288" t="s">
        <v>5858</v>
      </c>
      <c r="Z1288" t="s">
        <v>6037</v>
      </c>
      <c r="AA1288" s="2">
        <v>3200</v>
      </c>
      <c r="AB1288" t="s">
        <v>5861</v>
      </c>
      <c r="AC1288" t="s">
        <v>9981</v>
      </c>
      <c r="AD1288" s="32"/>
      <c r="AJ1288" t="s">
        <v>9962</v>
      </c>
      <c r="AL1288" t="s">
        <v>11358</v>
      </c>
    </row>
    <row r="1289" spans="1:38">
      <c r="A1289" t="s">
        <v>9203</v>
      </c>
      <c r="B1289" t="s">
        <v>12337</v>
      </c>
      <c r="C1289" t="s">
        <v>8685</v>
      </c>
      <c r="D1289" t="s">
        <v>8686</v>
      </c>
      <c r="E1289" s="5">
        <v>13649.999</v>
      </c>
      <c r="F1289" s="5">
        <v>13649.999</v>
      </c>
      <c r="G1289" s="3">
        <v>43337</v>
      </c>
      <c r="H1289" s="4">
        <v>4.5289351851849999E-2</v>
      </c>
      <c r="I1289" s="3">
        <v>43337</v>
      </c>
      <c r="J1289" s="4">
        <v>0.88168981481481001</v>
      </c>
      <c r="K1289" s="2">
        <v>20</v>
      </c>
      <c r="L1289" t="s">
        <v>5856</v>
      </c>
      <c r="M1289" t="s">
        <v>13520</v>
      </c>
      <c r="N1289" s="3">
        <v>43339</v>
      </c>
      <c r="O1289" s="3">
        <v>43339</v>
      </c>
      <c r="P1289" t="s">
        <v>5862</v>
      </c>
      <c r="Q1289" t="s">
        <v>8687</v>
      </c>
      <c r="R1289" t="s">
        <v>6036</v>
      </c>
      <c r="S1289" s="3">
        <v>43339</v>
      </c>
      <c r="T1289" t="s">
        <v>9938</v>
      </c>
      <c r="U1289" t="s">
        <v>8688</v>
      </c>
      <c r="V1289" t="s">
        <v>7779</v>
      </c>
      <c r="W1289" t="s">
        <v>5857</v>
      </c>
      <c r="X1289" s="2">
        <v>680</v>
      </c>
      <c r="Y1289" t="s">
        <v>5858</v>
      </c>
      <c r="Z1289" t="s">
        <v>6037</v>
      </c>
      <c r="AA1289" s="2">
        <v>13000</v>
      </c>
      <c r="AB1289" t="s">
        <v>5863</v>
      </c>
      <c r="AC1289" t="s">
        <v>9981</v>
      </c>
      <c r="AD1289" s="32"/>
      <c r="AJ1289" t="s">
        <v>9967</v>
      </c>
      <c r="AL1289" t="s">
        <v>14205</v>
      </c>
    </row>
    <row r="1290" spans="1:38">
      <c r="A1290" t="s">
        <v>9203</v>
      </c>
      <c r="B1290" t="s">
        <v>12544</v>
      </c>
      <c r="C1290" t="s">
        <v>9242</v>
      </c>
      <c r="D1290" t="s">
        <v>9243</v>
      </c>
      <c r="E1290" s="2">
        <v>5775</v>
      </c>
      <c r="F1290" s="2">
        <v>5775</v>
      </c>
      <c r="G1290" s="3">
        <v>43341</v>
      </c>
      <c r="H1290" s="4">
        <v>0.69362268518518999</v>
      </c>
      <c r="I1290" s="3">
        <v>43342</v>
      </c>
      <c r="J1290" s="4">
        <v>4.748842592593E-2</v>
      </c>
      <c r="K1290" s="2">
        <v>0</v>
      </c>
      <c r="L1290" t="s">
        <v>5856</v>
      </c>
      <c r="M1290" t="s">
        <v>9244</v>
      </c>
      <c r="N1290" s="3">
        <v>43346</v>
      </c>
      <c r="O1290" s="3">
        <v>43344</v>
      </c>
      <c r="P1290" t="s">
        <v>5967</v>
      </c>
      <c r="Q1290" t="s">
        <v>9245</v>
      </c>
      <c r="R1290" t="s">
        <v>6036</v>
      </c>
      <c r="S1290" s="3">
        <v>43346</v>
      </c>
      <c r="T1290" t="s">
        <v>9938</v>
      </c>
      <c r="U1290" t="s">
        <v>8006</v>
      </c>
      <c r="V1290" t="s">
        <v>9246</v>
      </c>
      <c r="W1290" t="s">
        <v>5914</v>
      </c>
      <c r="X1290" s="2">
        <v>680</v>
      </c>
      <c r="Y1290" t="s">
        <v>5858</v>
      </c>
      <c r="Z1290" t="s">
        <v>6037</v>
      </c>
      <c r="AA1290" s="2">
        <v>5500</v>
      </c>
      <c r="AB1290" t="s">
        <v>5863</v>
      </c>
      <c r="AC1290" t="s">
        <v>9981</v>
      </c>
      <c r="AD1290" s="32"/>
      <c r="AJ1290" t="s">
        <v>9967</v>
      </c>
      <c r="AL1290" t="s">
        <v>11359</v>
      </c>
    </row>
    <row r="1291" spans="1:38">
      <c r="A1291" t="s">
        <v>9203</v>
      </c>
      <c r="B1291" t="s">
        <v>12545</v>
      </c>
      <c r="C1291" t="s">
        <v>9242</v>
      </c>
      <c r="D1291" t="s">
        <v>9243</v>
      </c>
      <c r="E1291" s="2">
        <v>11655</v>
      </c>
      <c r="F1291" s="2">
        <v>11655</v>
      </c>
      <c r="G1291" s="3">
        <v>43342</v>
      </c>
      <c r="H1291" s="4">
        <v>6.6111111111109996E-2</v>
      </c>
      <c r="I1291" s="3">
        <v>43342</v>
      </c>
      <c r="J1291" s="4">
        <v>0.78026620370370003</v>
      </c>
      <c r="K1291" s="2">
        <v>0</v>
      </c>
      <c r="L1291" t="s">
        <v>5856</v>
      </c>
      <c r="M1291" t="s">
        <v>9247</v>
      </c>
      <c r="N1291" s="3">
        <v>43287</v>
      </c>
      <c r="O1291" s="3">
        <v>43344</v>
      </c>
      <c r="P1291" t="s">
        <v>5967</v>
      </c>
      <c r="Q1291" t="s">
        <v>9248</v>
      </c>
      <c r="R1291" t="s">
        <v>6036</v>
      </c>
      <c r="S1291" s="3">
        <v>43287</v>
      </c>
      <c r="T1291" t="s">
        <v>9938</v>
      </c>
      <c r="U1291" t="s">
        <v>8006</v>
      </c>
      <c r="V1291" t="s">
        <v>9246</v>
      </c>
      <c r="W1291" t="s">
        <v>5914</v>
      </c>
      <c r="X1291" s="2">
        <v>680</v>
      </c>
      <c r="Y1291" t="s">
        <v>5858</v>
      </c>
      <c r="Z1291" t="s">
        <v>6037</v>
      </c>
      <c r="AA1291" s="2">
        <v>11100</v>
      </c>
      <c r="AB1291" t="s">
        <v>5859</v>
      </c>
      <c r="AC1291" t="s">
        <v>9981</v>
      </c>
      <c r="AD1291" s="32"/>
      <c r="AJ1291" t="s">
        <v>9967</v>
      </c>
      <c r="AL1291" t="s">
        <v>11360</v>
      </c>
    </row>
    <row r="1292" spans="1:38">
      <c r="A1292" t="s">
        <v>9203</v>
      </c>
      <c r="B1292" t="s">
        <v>13521</v>
      </c>
      <c r="C1292" t="s">
        <v>13522</v>
      </c>
      <c r="D1292" t="s">
        <v>13523</v>
      </c>
      <c r="E1292" s="2">
        <v>1000</v>
      </c>
      <c r="F1292" s="2">
        <v>1000</v>
      </c>
      <c r="G1292" s="3">
        <v>43373</v>
      </c>
      <c r="H1292" s="4">
        <v>0.86581018518519004</v>
      </c>
      <c r="I1292" s="3">
        <v>43373</v>
      </c>
      <c r="J1292" s="4">
        <v>0.92708333333333004</v>
      </c>
      <c r="K1292" s="2">
        <v>0</v>
      </c>
      <c r="L1292" t="s">
        <v>5856</v>
      </c>
      <c r="M1292" t="s">
        <v>13524</v>
      </c>
      <c r="N1292" s="3">
        <v>43377</v>
      </c>
      <c r="O1292" s="3">
        <v>43375</v>
      </c>
      <c r="P1292" t="s">
        <v>5864</v>
      </c>
      <c r="Q1292" t="s">
        <v>13525</v>
      </c>
      <c r="R1292" t="s">
        <v>6036</v>
      </c>
      <c r="S1292" s="3">
        <v>43377</v>
      </c>
      <c r="T1292" t="s">
        <v>9938</v>
      </c>
      <c r="U1292" t="s">
        <v>13526</v>
      </c>
      <c r="V1292" t="s">
        <v>13527</v>
      </c>
      <c r="W1292" t="s">
        <v>5914</v>
      </c>
      <c r="X1292" s="2">
        <v>680</v>
      </c>
      <c r="Y1292" t="s">
        <v>5858</v>
      </c>
      <c r="Z1292" t="s">
        <v>6037</v>
      </c>
      <c r="AA1292" s="2">
        <v>1000</v>
      </c>
      <c r="AB1292" t="s">
        <v>5863</v>
      </c>
      <c r="AD1292" s="32"/>
      <c r="AJ1292" t="s">
        <v>9967</v>
      </c>
      <c r="AL1292" t="s">
        <v>14206</v>
      </c>
    </row>
    <row r="1293" spans="1:38">
      <c r="A1293" t="s">
        <v>9249</v>
      </c>
      <c r="B1293" t="s">
        <v>12546</v>
      </c>
      <c r="C1293" t="s">
        <v>8921</v>
      </c>
      <c r="D1293" t="s">
        <v>8922</v>
      </c>
      <c r="E1293" s="2">
        <v>2625</v>
      </c>
      <c r="F1293" s="2">
        <v>2625</v>
      </c>
      <c r="G1293" s="3">
        <v>43277</v>
      </c>
      <c r="H1293" s="4">
        <v>4.8240740740740001E-2</v>
      </c>
      <c r="I1293" s="3">
        <v>43277</v>
      </c>
      <c r="J1293" s="4">
        <v>0.62390046296295998</v>
      </c>
      <c r="K1293" s="2">
        <v>4</v>
      </c>
      <c r="L1293" t="s">
        <v>5856</v>
      </c>
      <c r="M1293" t="s">
        <v>9255</v>
      </c>
      <c r="N1293" s="3">
        <v>43283</v>
      </c>
      <c r="O1293" s="3">
        <v>43279</v>
      </c>
      <c r="P1293" t="s">
        <v>5971</v>
      </c>
      <c r="Q1293" t="s">
        <v>13528</v>
      </c>
      <c r="R1293" t="s">
        <v>6043</v>
      </c>
      <c r="S1293" s="3">
        <v>43285</v>
      </c>
      <c r="T1293" t="s">
        <v>9938</v>
      </c>
      <c r="U1293" t="s">
        <v>8924</v>
      </c>
      <c r="V1293" t="s">
        <v>8925</v>
      </c>
      <c r="W1293" t="s">
        <v>5857</v>
      </c>
      <c r="X1293" s="2">
        <v>190</v>
      </c>
      <c r="Y1293" t="s">
        <v>5858</v>
      </c>
      <c r="Z1293" t="s">
        <v>6037</v>
      </c>
      <c r="AA1293" s="2">
        <v>2625</v>
      </c>
      <c r="AB1293" t="s">
        <v>5859</v>
      </c>
      <c r="AC1293" t="s">
        <v>9974</v>
      </c>
      <c r="AD1293" s="32">
        <v>43265</v>
      </c>
      <c r="AI1293" t="s">
        <v>9939</v>
      </c>
      <c r="AJ1293" t="s">
        <v>9958</v>
      </c>
      <c r="AL1293" t="s">
        <v>11361</v>
      </c>
    </row>
    <row r="1294" spans="1:38">
      <c r="A1294" t="s">
        <v>9249</v>
      </c>
      <c r="B1294" t="s">
        <v>12728</v>
      </c>
      <c r="C1294" t="s">
        <v>9250</v>
      </c>
      <c r="D1294" t="s">
        <v>9251</v>
      </c>
      <c r="E1294" s="2">
        <v>315</v>
      </c>
      <c r="F1294" s="2">
        <v>315</v>
      </c>
      <c r="G1294" s="3">
        <v>43280</v>
      </c>
      <c r="H1294" s="4">
        <v>0.69146990740740999</v>
      </c>
      <c r="I1294" s="3">
        <v>43280</v>
      </c>
      <c r="J1294" s="4">
        <v>0.76054398148147995</v>
      </c>
      <c r="K1294" s="2">
        <v>10</v>
      </c>
      <c r="L1294" t="s">
        <v>5856</v>
      </c>
      <c r="M1294" t="s">
        <v>9276</v>
      </c>
      <c r="N1294" s="3"/>
      <c r="O1294" s="3">
        <v>43287</v>
      </c>
      <c r="P1294" t="s">
        <v>5862</v>
      </c>
      <c r="Q1294" t="s">
        <v>9826</v>
      </c>
      <c r="R1294" t="s">
        <v>6036</v>
      </c>
      <c r="S1294" s="3">
        <v>43287</v>
      </c>
      <c r="T1294" t="s">
        <v>9938</v>
      </c>
      <c r="U1294" t="s">
        <v>9252</v>
      </c>
      <c r="V1294" t="s">
        <v>9253</v>
      </c>
      <c r="W1294" t="s">
        <v>5857</v>
      </c>
      <c r="X1294" s="2">
        <v>0</v>
      </c>
      <c r="Y1294" t="s">
        <v>5858</v>
      </c>
      <c r="Z1294" t="s">
        <v>6037</v>
      </c>
      <c r="AA1294" s="2">
        <v>300</v>
      </c>
      <c r="AB1294" t="s">
        <v>5863</v>
      </c>
      <c r="AC1294" t="s">
        <v>9981</v>
      </c>
      <c r="AD1294" s="32">
        <v>43278</v>
      </c>
      <c r="AJ1294" t="s">
        <v>9967</v>
      </c>
      <c r="AL1294" t="s">
        <v>14207</v>
      </c>
    </row>
    <row r="1295" spans="1:38">
      <c r="A1295" t="s">
        <v>9249</v>
      </c>
      <c r="B1295" t="s">
        <v>13529</v>
      </c>
      <c r="C1295" t="s">
        <v>9215</v>
      </c>
      <c r="D1295" t="s">
        <v>9216</v>
      </c>
      <c r="E1295" s="2">
        <v>315</v>
      </c>
      <c r="F1295" s="2">
        <v>315</v>
      </c>
      <c r="G1295" s="3">
        <v>43281</v>
      </c>
      <c r="H1295" s="4">
        <v>0.93092592592593004</v>
      </c>
      <c r="I1295" s="3">
        <v>43282</v>
      </c>
      <c r="J1295" s="4">
        <v>0</v>
      </c>
      <c r="K1295" s="2">
        <v>10</v>
      </c>
      <c r="L1295" t="s">
        <v>5856</v>
      </c>
      <c r="M1295" t="s">
        <v>9276</v>
      </c>
      <c r="N1295" s="3">
        <v>43290</v>
      </c>
      <c r="O1295" s="3">
        <v>43288</v>
      </c>
      <c r="P1295" t="s">
        <v>7755</v>
      </c>
      <c r="Q1295" t="s">
        <v>13530</v>
      </c>
      <c r="R1295" t="s">
        <v>6036</v>
      </c>
      <c r="S1295" s="3">
        <v>43290</v>
      </c>
      <c r="T1295" t="s">
        <v>9938</v>
      </c>
      <c r="U1295" t="s">
        <v>9132</v>
      </c>
      <c r="V1295" t="s">
        <v>9217</v>
      </c>
      <c r="W1295" t="s">
        <v>5914</v>
      </c>
      <c r="X1295" s="2">
        <v>190</v>
      </c>
      <c r="Y1295" t="s">
        <v>5858</v>
      </c>
      <c r="Z1295" t="s">
        <v>6037</v>
      </c>
      <c r="AA1295" s="2">
        <v>300</v>
      </c>
      <c r="AB1295" t="s">
        <v>5863</v>
      </c>
      <c r="AC1295" t="s">
        <v>9981</v>
      </c>
      <c r="AD1295" s="32">
        <v>43279</v>
      </c>
      <c r="AJ1295" t="s">
        <v>9967</v>
      </c>
      <c r="AL1295" t="s">
        <v>14208</v>
      </c>
    </row>
    <row r="1296" spans="1:38">
      <c r="A1296" t="s">
        <v>9249</v>
      </c>
      <c r="B1296" t="s">
        <v>12548</v>
      </c>
      <c r="C1296" t="s">
        <v>9264</v>
      </c>
      <c r="D1296" t="s">
        <v>9265</v>
      </c>
      <c r="E1296" s="2">
        <v>252</v>
      </c>
      <c r="F1296" s="2">
        <v>252</v>
      </c>
      <c r="G1296" s="3">
        <v>43281</v>
      </c>
      <c r="H1296" s="4">
        <v>0.94473379629630005</v>
      </c>
      <c r="I1296" s="3">
        <v>43282</v>
      </c>
      <c r="J1296" s="4">
        <v>0</v>
      </c>
      <c r="K1296" s="2">
        <v>8</v>
      </c>
      <c r="L1296" t="s">
        <v>5856</v>
      </c>
      <c r="M1296" t="s">
        <v>9266</v>
      </c>
      <c r="N1296" s="3">
        <v>43284</v>
      </c>
      <c r="O1296" s="3">
        <v>43283</v>
      </c>
      <c r="P1296" t="s">
        <v>7907</v>
      </c>
      <c r="Q1296" t="s">
        <v>9267</v>
      </c>
      <c r="R1296" t="s">
        <v>6036</v>
      </c>
      <c r="S1296" s="3">
        <v>43284</v>
      </c>
      <c r="T1296" t="s">
        <v>9938</v>
      </c>
      <c r="U1296" t="s">
        <v>9268</v>
      </c>
      <c r="V1296" t="s">
        <v>9269</v>
      </c>
      <c r="W1296" t="s">
        <v>6038</v>
      </c>
      <c r="X1296" s="2">
        <v>0</v>
      </c>
      <c r="Y1296" t="s">
        <v>5858</v>
      </c>
      <c r="Z1296" t="s">
        <v>6037</v>
      </c>
      <c r="AA1296" s="2">
        <v>240</v>
      </c>
      <c r="AB1296" t="s">
        <v>5863</v>
      </c>
      <c r="AC1296" t="s">
        <v>9981</v>
      </c>
      <c r="AD1296" s="32">
        <v>43278</v>
      </c>
      <c r="AJ1296" t="s">
        <v>9967</v>
      </c>
      <c r="AL1296" t="s">
        <v>11363</v>
      </c>
    </row>
    <row r="1297" spans="1:38">
      <c r="A1297" t="s">
        <v>9249</v>
      </c>
      <c r="B1297" t="s">
        <v>12547</v>
      </c>
      <c r="C1297" t="s">
        <v>9259</v>
      </c>
      <c r="D1297" t="s">
        <v>9260</v>
      </c>
      <c r="E1297" s="2">
        <v>1050</v>
      </c>
      <c r="F1297" s="2">
        <v>1050</v>
      </c>
      <c r="G1297" s="3">
        <v>43283</v>
      </c>
      <c r="H1297" s="4">
        <v>2.0833333333330002E-2</v>
      </c>
      <c r="I1297" s="3">
        <v>43283</v>
      </c>
      <c r="J1297" s="4">
        <v>0.25108796296295999</v>
      </c>
      <c r="K1297" s="2">
        <v>8</v>
      </c>
      <c r="L1297" t="s">
        <v>5856</v>
      </c>
      <c r="M1297" t="s">
        <v>13531</v>
      </c>
      <c r="N1297" s="3">
        <v>43276</v>
      </c>
      <c r="O1297" s="3">
        <v>43285</v>
      </c>
      <c r="P1297" t="s">
        <v>5862</v>
      </c>
      <c r="Q1297" t="s">
        <v>9262</v>
      </c>
      <c r="R1297" t="s">
        <v>6036</v>
      </c>
      <c r="S1297" s="3">
        <v>43283</v>
      </c>
      <c r="T1297" t="s">
        <v>9938</v>
      </c>
      <c r="U1297" t="s">
        <v>9263</v>
      </c>
      <c r="V1297" t="s">
        <v>5916</v>
      </c>
      <c r="W1297" t="s">
        <v>7883</v>
      </c>
      <c r="X1297" s="2">
        <v>190</v>
      </c>
      <c r="Y1297" t="s">
        <v>5858</v>
      </c>
      <c r="Z1297" t="s">
        <v>6037</v>
      </c>
      <c r="AA1297" s="2">
        <v>1000</v>
      </c>
      <c r="AB1297" t="s">
        <v>5859</v>
      </c>
      <c r="AC1297" t="s">
        <v>9981</v>
      </c>
      <c r="AD1297" s="32">
        <v>43277</v>
      </c>
      <c r="AJ1297" t="s">
        <v>9965</v>
      </c>
      <c r="AL1297" t="s">
        <v>11362</v>
      </c>
    </row>
    <row r="1298" spans="1:38">
      <c r="A1298" t="s">
        <v>9249</v>
      </c>
      <c r="B1298" t="s">
        <v>12549</v>
      </c>
      <c r="C1298" t="s">
        <v>9136</v>
      </c>
      <c r="D1298" t="s">
        <v>9137</v>
      </c>
      <c r="E1298" s="2">
        <v>1000</v>
      </c>
      <c r="F1298" s="2">
        <v>1000</v>
      </c>
      <c r="G1298" s="3">
        <v>43285</v>
      </c>
      <c r="H1298" s="4">
        <v>0.73209490740741001</v>
      </c>
      <c r="I1298" s="3">
        <v>43285</v>
      </c>
      <c r="J1298" s="4">
        <v>0.95138888888888995</v>
      </c>
      <c r="K1298" s="2">
        <v>20</v>
      </c>
      <c r="L1298" t="s">
        <v>5856</v>
      </c>
      <c r="M1298" t="s">
        <v>9271</v>
      </c>
      <c r="N1298" s="3">
        <v>43293</v>
      </c>
      <c r="O1298" s="3">
        <v>43292</v>
      </c>
      <c r="P1298" t="s">
        <v>7755</v>
      </c>
      <c r="Q1298" t="s">
        <v>9272</v>
      </c>
      <c r="R1298" t="s">
        <v>6036</v>
      </c>
      <c r="S1298" s="3">
        <v>43293</v>
      </c>
      <c r="T1298" t="s">
        <v>9938</v>
      </c>
      <c r="U1298" t="s">
        <v>9139</v>
      </c>
      <c r="V1298" t="s">
        <v>9140</v>
      </c>
      <c r="W1298" t="s">
        <v>5857</v>
      </c>
      <c r="X1298" s="2">
        <v>190</v>
      </c>
      <c r="Y1298" t="s">
        <v>5858</v>
      </c>
      <c r="Z1298" t="s">
        <v>6037</v>
      </c>
      <c r="AA1298" s="2">
        <v>1000</v>
      </c>
      <c r="AB1298" t="s">
        <v>5863</v>
      </c>
      <c r="AC1298" t="s">
        <v>9981</v>
      </c>
      <c r="AD1298" s="32">
        <v>43264</v>
      </c>
      <c r="AJ1298" t="s">
        <v>9967</v>
      </c>
      <c r="AL1298" t="s">
        <v>11364</v>
      </c>
    </row>
    <row r="1299" spans="1:38">
      <c r="A1299" t="s">
        <v>9249</v>
      </c>
      <c r="B1299" t="s">
        <v>12550</v>
      </c>
      <c r="C1299" t="s">
        <v>9273</v>
      </c>
      <c r="D1299" t="s">
        <v>9274</v>
      </c>
      <c r="E1299" s="2">
        <v>350</v>
      </c>
      <c r="F1299" s="2">
        <v>350</v>
      </c>
      <c r="G1299" s="3">
        <v>43286</v>
      </c>
      <c r="H1299" s="4">
        <v>0.56164351851852001</v>
      </c>
      <c r="I1299" s="3">
        <v>43286</v>
      </c>
      <c r="J1299" s="4">
        <v>0.63840277777777998</v>
      </c>
      <c r="K1299" s="2">
        <v>4</v>
      </c>
      <c r="L1299" t="s">
        <v>5856</v>
      </c>
      <c r="M1299" t="s">
        <v>9275</v>
      </c>
      <c r="N1299" s="3">
        <v>43280</v>
      </c>
      <c r="O1299" s="3">
        <v>43288</v>
      </c>
      <c r="P1299" t="s">
        <v>5869</v>
      </c>
      <c r="Q1299" t="s">
        <v>6038</v>
      </c>
      <c r="R1299" t="s">
        <v>6039</v>
      </c>
      <c r="S1299" s="3"/>
      <c r="T1299" t="s">
        <v>9938</v>
      </c>
      <c r="U1299" t="s">
        <v>6705</v>
      </c>
      <c r="V1299" t="s">
        <v>9062</v>
      </c>
      <c r="W1299" t="s">
        <v>5857</v>
      </c>
      <c r="X1299" s="2">
        <v>190</v>
      </c>
      <c r="Y1299" t="s">
        <v>5858</v>
      </c>
      <c r="Z1299" t="s">
        <v>6037</v>
      </c>
      <c r="AA1299" s="2">
        <v>350</v>
      </c>
      <c r="AB1299" t="s">
        <v>5863</v>
      </c>
      <c r="AC1299" t="s">
        <v>9976</v>
      </c>
      <c r="AD1299" s="32">
        <v>43274</v>
      </c>
      <c r="AI1299" t="s">
        <v>9946</v>
      </c>
      <c r="AJ1299" t="s">
        <v>9958</v>
      </c>
      <c r="AL1299" t="s">
        <v>11365</v>
      </c>
    </row>
    <row r="1300" spans="1:38">
      <c r="A1300" t="s">
        <v>9249</v>
      </c>
      <c r="B1300" t="s">
        <v>12551</v>
      </c>
      <c r="C1300" t="s">
        <v>9277</v>
      </c>
      <c r="D1300" t="s">
        <v>9278</v>
      </c>
      <c r="E1300" s="2">
        <v>1155</v>
      </c>
      <c r="F1300" s="2">
        <v>1155</v>
      </c>
      <c r="G1300" s="3">
        <v>43287</v>
      </c>
      <c r="H1300" s="4">
        <v>0.20759259259259</v>
      </c>
      <c r="I1300" s="3">
        <v>43287</v>
      </c>
      <c r="J1300" s="4">
        <v>0.46087962962963003</v>
      </c>
      <c r="K1300" s="2">
        <v>20</v>
      </c>
      <c r="L1300" t="s">
        <v>5856</v>
      </c>
      <c r="M1300" t="s">
        <v>9279</v>
      </c>
      <c r="N1300" s="3">
        <v>43290</v>
      </c>
      <c r="O1300" s="3">
        <v>43289</v>
      </c>
      <c r="P1300" t="s">
        <v>5864</v>
      </c>
      <c r="Q1300" t="s">
        <v>9280</v>
      </c>
      <c r="R1300" t="s">
        <v>6036</v>
      </c>
      <c r="S1300" s="3">
        <v>43290</v>
      </c>
      <c r="T1300" t="s">
        <v>9938</v>
      </c>
      <c r="U1300" t="s">
        <v>8016</v>
      </c>
      <c r="V1300" t="s">
        <v>9281</v>
      </c>
      <c r="W1300" t="s">
        <v>5857</v>
      </c>
      <c r="X1300" s="2">
        <v>190</v>
      </c>
      <c r="Y1300" t="s">
        <v>5858</v>
      </c>
      <c r="Z1300" t="s">
        <v>6037</v>
      </c>
      <c r="AA1300" s="2">
        <v>1100</v>
      </c>
      <c r="AB1300" t="s">
        <v>5859</v>
      </c>
      <c r="AC1300" t="s">
        <v>9974</v>
      </c>
      <c r="AD1300" s="32">
        <v>43262</v>
      </c>
      <c r="AI1300" t="s">
        <v>9943</v>
      </c>
      <c r="AJ1300" t="s">
        <v>9967</v>
      </c>
      <c r="AL1300" t="s">
        <v>11366</v>
      </c>
    </row>
    <row r="1301" spans="1:38">
      <c r="A1301" t="s">
        <v>9249</v>
      </c>
      <c r="B1301" t="s">
        <v>12552</v>
      </c>
      <c r="C1301" t="s">
        <v>9282</v>
      </c>
      <c r="D1301" t="s">
        <v>9283</v>
      </c>
      <c r="E1301" s="5">
        <v>288.75</v>
      </c>
      <c r="F1301" s="5">
        <v>288.75</v>
      </c>
      <c r="G1301" s="3">
        <v>43288</v>
      </c>
      <c r="H1301" s="4">
        <v>4.1666666666670002E-2</v>
      </c>
      <c r="I1301" s="3">
        <v>43288</v>
      </c>
      <c r="J1301" s="4">
        <v>0.105</v>
      </c>
      <c r="K1301" s="2">
        <v>20</v>
      </c>
      <c r="L1301" t="s">
        <v>5856</v>
      </c>
      <c r="M1301" t="s">
        <v>13532</v>
      </c>
      <c r="N1301" s="3">
        <v>43291</v>
      </c>
      <c r="O1301" s="3">
        <v>43290</v>
      </c>
      <c r="P1301" t="s">
        <v>5880</v>
      </c>
      <c r="Q1301" t="s">
        <v>9284</v>
      </c>
      <c r="R1301" t="s">
        <v>6036</v>
      </c>
      <c r="S1301" s="3">
        <v>43291</v>
      </c>
      <c r="T1301" t="s">
        <v>9938</v>
      </c>
      <c r="U1301" t="s">
        <v>5871</v>
      </c>
      <c r="V1301" t="s">
        <v>9285</v>
      </c>
      <c r="W1301" t="s">
        <v>5857</v>
      </c>
      <c r="X1301" s="2">
        <v>190</v>
      </c>
      <c r="Y1301" t="s">
        <v>5858</v>
      </c>
      <c r="Z1301" t="s">
        <v>6037</v>
      </c>
      <c r="AA1301" s="2">
        <v>275</v>
      </c>
      <c r="AB1301" t="s">
        <v>5859</v>
      </c>
      <c r="AC1301" t="s">
        <v>9974</v>
      </c>
      <c r="AD1301" s="32">
        <v>43258</v>
      </c>
      <c r="AI1301" t="s">
        <v>9949</v>
      </c>
      <c r="AJ1301" t="s">
        <v>9967</v>
      </c>
      <c r="AL1301" t="s">
        <v>14209</v>
      </c>
    </row>
    <row r="1302" spans="1:38">
      <c r="A1302" t="s">
        <v>9249</v>
      </c>
      <c r="B1302" t="s">
        <v>12553</v>
      </c>
      <c r="C1302" t="s">
        <v>9250</v>
      </c>
      <c r="D1302" t="s">
        <v>9251</v>
      </c>
      <c r="E1302" s="2">
        <v>100</v>
      </c>
      <c r="F1302" s="2">
        <v>2100</v>
      </c>
      <c r="G1302" s="3">
        <v>43290</v>
      </c>
      <c r="H1302" s="4">
        <v>2.0833333333330002E-2</v>
      </c>
      <c r="I1302" s="3">
        <v>43290</v>
      </c>
      <c r="J1302" s="4">
        <v>0.48136574074074001</v>
      </c>
      <c r="K1302" s="2">
        <v>0</v>
      </c>
      <c r="L1302" t="s">
        <v>5856</v>
      </c>
      <c r="M1302" t="s">
        <v>13533</v>
      </c>
      <c r="N1302" s="3">
        <v>43298</v>
      </c>
      <c r="O1302" s="3">
        <v>43297</v>
      </c>
      <c r="P1302" t="s">
        <v>6021</v>
      </c>
      <c r="Q1302" t="s">
        <v>6038</v>
      </c>
      <c r="R1302" t="s">
        <v>6039</v>
      </c>
      <c r="S1302" s="3"/>
      <c r="T1302" t="s">
        <v>9938</v>
      </c>
      <c r="U1302" t="s">
        <v>9252</v>
      </c>
      <c r="V1302" t="s">
        <v>9253</v>
      </c>
      <c r="W1302" t="s">
        <v>5857</v>
      </c>
      <c r="X1302" s="2">
        <v>190</v>
      </c>
      <c r="Y1302" t="s">
        <v>5858</v>
      </c>
      <c r="Z1302" t="s">
        <v>6037</v>
      </c>
      <c r="AA1302" s="2">
        <v>0</v>
      </c>
      <c r="AB1302" t="s">
        <v>5859</v>
      </c>
      <c r="AC1302" t="s">
        <v>9981</v>
      </c>
      <c r="AD1302" s="32">
        <v>43277</v>
      </c>
      <c r="AJ1302" t="s">
        <v>9967</v>
      </c>
      <c r="AL1302" t="s">
        <v>11367</v>
      </c>
    </row>
    <row r="1303" spans="1:38">
      <c r="A1303" t="s">
        <v>9249</v>
      </c>
      <c r="B1303" t="s">
        <v>13534</v>
      </c>
      <c r="C1303" t="s">
        <v>9211</v>
      </c>
      <c r="D1303" t="s">
        <v>9212</v>
      </c>
      <c r="E1303" s="2">
        <v>50</v>
      </c>
      <c r="F1303" s="2">
        <v>1050</v>
      </c>
      <c r="G1303" s="3">
        <v>43290</v>
      </c>
      <c r="H1303" s="4">
        <v>2.0833333333330002E-2</v>
      </c>
      <c r="I1303" s="3">
        <v>43290</v>
      </c>
      <c r="J1303" s="4">
        <v>0.25108796296295999</v>
      </c>
      <c r="K1303" s="2">
        <v>0</v>
      </c>
      <c r="L1303" t="s">
        <v>5856</v>
      </c>
      <c r="M1303" t="s">
        <v>13531</v>
      </c>
      <c r="N1303" s="3">
        <v>43297</v>
      </c>
      <c r="O1303" s="3">
        <v>43292</v>
      </c>
      <c r="P1303" t="s">
        <v>5862</v>
      </c>
      <c r="Q1303" t="s">
        <v>6038</v>
      </c>
      <c r="R1303" t="s">
        <v>6039</v>
      </c>
      <c r="S1303" s="3"/>
      <c r="T1303" t="s">
        <v>9938</v>
      </c>
      <c r="U1303" t="s">
        <v>7962</v>
      </c>
      <c r="V1303" t="s">
        <v>9214</v>
      </c>
      <c r="W1303" t="s">
        <v>5914</v>
      </c>
      <c r="X1303" s="2">
        <v>190</v>
      </c>
      <c r="Y1303" t="s">
        <v>5858</v>
      </c>
      <c r="Z1303" t="s">
        <v>6037</v>
      </c>
      <c r="AA1303" s="2">
        <v>0</v>
      </c>
      <c r="AB1303" t="s">
        <v>5859</v>
      </c>
      <c r="AC1303" t="s">
        <v>9981</v>
      </c>
      <c r="AD1303" s="32">
        <v>43280</v>
      </c>
      <c r="AJ1303" t="s">
        <v>9967</v>
      </c>
      <c r="AL1303" t="s">
        <v>14210</v>
      </c>
    </row>
    <row r="1304" spans="1:38">
      <c r="A1304" t="s">
        <v>9249</v>
      </c>
      <c r="B1304" t="s">
        <v>13535</v>
      </c>
      <c r="C1304" t="s">
        <v>9205</v>
      </c>
      <c r="D1304" t="s">
        <v>9206</v>
      </c>
      <c r="E1304" s="2">
        <v>252</v>
      </c>
      <c r="F1304" s="2">
        <v>252</v>
      </c>
      <c r="G1304" s="3">
        <v>43290</v>
      </c>
      <c r="H1304" s="4">
        <v>0.94473379629630005</v>
      </c>
      <c r="I1304" s="3">
        <v>43291</v>
      </c>
      <c r="J1304" s="4">
        <v>0</v>
      </c>
      <c r="K1304" s="2">
        <v>0</v>
      </c>
      <c r="L1304" t="s">
        <v>5856</v>
      </c>
      <c r="M1304" t="s">
        <v>9266</v>
      </c>
      <c r="N1304" s="3">
        <v>43287</v>
      </c>
      <c r="O1304" s="3">
        <v>43292</v>
      </c>
      <c r="P1304" t="s">
        <v>5967</v>
      </c>
      <c r="Q1304" t="s">
        <v>9210</v>
      </c>
      <c r="R1304" t="s">
        <v>6036</v>
      </c>
      <c r="S1304" s="3">
        <v>43287</v>
      </c>
      <c r="T1304" t="s">
        <v>9938</v>
      </c>
      <c r="U1304" t="s">
        <v>9207</v>
      </c>
      <c r="V1304" t="s">
        <v>6041</v>
      </c>
      <c r="W1304" t="s">
        <v>5914</v>
      </c>
      <c r="X1304" s="2">
        <v>190</v>
      </c>
      <c r="Y1304" t="s">
        <v>5858</v>
      </c>
      <c r="Z1304" t="s">
        <v>6037</v>
      </c>
      <c r="AA1304" s="2">
        <v>240</v>
      </c>
      <c r="AB1304" t="s">
        <v>5863</v>
      </c>
      <c r="AC1304" t="s">
        <v>9981</v>
      </c>
      <c r="AD1304" s="32">
        <v>43281</v>
      </c>
      <c r="AJ1304" t="s">
        <v>9967</v>
      </c>
      <c r="AL1304" t="s">
        <v>14211</v>
      </c>
    </row>
    <row r="1305" spans="1:38">
      <c r="A1305" t="s">
        <v>9249</v>
      </c>
      <c r="B1305" t="s">
        <v>13536</v>
      </c>
      <c r="C1305" t="s">
        <v>8077</v>
      </c>
      <c r="D1305" t="s">
        <v>8078</v>
      </c>
      <c r="E1305" s="2">
        <v>2100</v>
      </c>
      <c r="F1305" s="2">
        <v>2100</v>
      </c>
      <c r="G1305" s="3">
        <v>43295</v>
      </c>
      <c r="H1305" s="4">
        <v>0.46649305555555998</v>
      </c>
      <c r="I1305" s="3">
        <v>43295</v>
      </c>
      <c r="J1305" s="4">
        <v>0.92701388888889003</v>
      </c>
      <c r="K1305" s="2">
        <v>0</v>
      </c>
      <c r="L1305" t="s">
        <v>5856</v>
      </c>
      <c r="M1305" t="s">
        <v>9289</v>
      </c>
      <c r="N1305" s="3">
        <v>43295</v>
      </c>
      <c r="O1305" s="3">
        <v>43297</v>
      </c>
      <c r="P1305" t="s">
        <v>7780</v>
      </c>
      <c r="Q1305" t="s">
        <v>6038</v>
      </c>
      <c r="R1305" t="s">
        <v>6040</v>
      </c>
      <c r="S1305" s="3">
        <v>43288</v>
      </c>
      <c r="T1305" t="s">
        <v>9938</v>
      </c>
      <c r="U1305" t="s">
        <v>8080</v>
      </c>
      <c r="V1305" t="s">
        <v>7779</v>
      </c>
      <c r="W1305" t="s">
        <v>7883</v>
      </c>
      <c r="X1305" s="2">
        <v>190</v>
      </c>
      <c r="Y1305" t="s">
        <v>5858</v>
      </c>
      <c r="Z1305" t="s">
        <v>6037</v>
      </c>
      <c r="AA1305" s="2">
        <v>2000</v>
      </c>
      <c r="AB1305" t="s">
        <v>5863</v>
      </c>
      <c r="AC1305" t="s">
        <v>9981</v>
      </c>
      <c r="AD1305" s="32">
        <v>43280</v>
      </c>
      <c r="AJ1305" t="s">
        <v>9970</v>
      </c>
      <c r="AL1305" t="s">
        <v>14212</v>
      </c>
    </row>
    <row r="1306" spans="1:38">
      <c r="A1306" t="s">
        <v>9249</v>
      </c>
      <c r="B1306" t="s">
        <v>12554</v>
      </c>
      <c r="C1306" t="s">
        <v>9291</v>
      </c>
      <c r="D1306" t="s">
        <v>9292</v>
      </c>
      <c r="E1306" s="2">
        <v>1000</v>
      </c>
      <c r="F1306" s="2">
        <v>1000</v>
      </c>
      <c r="G1306" s="3">
        <v>43295</v>
      </c>
      <c r="H1306" s="4">
        <v>0.75107638888888995</v>
      </c>
      <c r="I1306" s="3">
        <v>43295</v>
      </c>
      <c r="J1306" s="4">
        <v>0.97037037037036999</v>
      </c>
      <c r="K1306" s="2">
        <v>0</v>
      </c>
      <c r="L1306" t="s">
        <v>5856</v>
      </c>
      <c r="M1306" t="s">
        <v>9271</v>
      </c>
      <c r="N1306" s="3">
        <v>43298</v>
      </c>
      <c r="O1306" s="3">
        <v>43297</v>
      </c>
      <c r="P1306" t="s">
        <v>5889</v>
      </c>
      <c r="Q1306" t="s">
        <v>9293</v>
      </c>
      <c r="R1306" t="s">
        <v>6036</v>
      </c>
      <c r="S1306" s="3">
        <v>43298</v>
      </c>
      <c r="T1306" t="s">
        <v>9938</v>
      </c>
      <c r="U1306" t="s">
        <v>5882</v>
      </c>
      <c r="V1306" t="s">
        <v>9294</v>
      </c>
      <c r="W1306" t="s">
        <v>5857</v>
      </c>
      <c r="X1306" s="2">
        <v>190</v>
      </c>
      <c r="Y1306" t="s">
        <v>5858</v>
      </c>
      <c r="Z1306" t="s">
        <v>6037</v>
      </c>
      <c r="AA1306" s="2">
        <v>1000</v>
      </c>
      <c r="AB1306" t="s">
        <v>5863</v>
      </c>
      <c r="AC1306" t="s">
        <v>9978</v>
      </c>
      <c r="AD1306" s="32">
        <v>43272</v>
      </c>
      <c r="AJ1306" t="s">
        <v>9958</v>
      </c>
      <c r="AL1306" t="s">
        <v>11368</v>
      </c>
    </row>
    <row r="1307" spans="1:38">
      <c r="A1307" t="s">
        <v>9249</v>
      </c>
      <c r="B1307" t="s">
        <v>13537</v>
      </c>
      <c r="C1307" t="s">
        <v>9250</v>
      </c>
      <c r="D1307" t="s">
        <v>9251</v>
      </c>
      <c r="E1307" s="2">
        <v>525</v>
      </c>
      <c r="F1307" s="2">
        <v>525</v>
      </c>
      <c r="G1307" s="3">
        <v>43297</v>
      </c>
      <c r="H1307" s="4">
        <v>0.98543981481481002</v>
      </c>
      <c r="I1307" s="3">
        <v>43298</v>
      </c>
      <c r="J1307" s="4">
        <v>0.10056712962963001</v>
      </c>
      <c r="K1307" s="2">
        <v>0</v>
      </c>
      <c r="L1307" t="s">
        <v>5856</v>
      </c>
      <c r="M1307" t="s">
        <v>9254</v>
      </c>
      <c r="N1307" s="3">
        <v>43300</v>
      </c>
      <c r="O1307" s="3">
        <v>43305</v>
      </c>
      <c r="P1307" t="s">
        <v>6021</v>
      </c>
      <c r="Q1307" t="s">
        <v>13538</v>
      </c>
      <c r="R1307" t="s">
        <v>6036</v>
      </c>
      <c r="S1307" s="3">
        <v>43300</v>
      </c>
      <c r="T1307" t="s">
        <v>9938</v>
      </c>
      <c r="U1307" t="s">
        <v>9252</v>
      </c>
      <c r="V1307" t="s">
        <v>9253</v>
      </c>
      <c r="W1307" t="s">
        <v>5857</v>
      </c>
      <c r="X1307" s="2">
        <v>190</v>
      </c>
      <c r="Y1307" t="s">
        <v>5858</v>
      </c>
      <c r="Z1307" t="s">
        <v>6037</v>
      </c>
      <c r="AA1307" s="2">
        <v>500</v>
      </c>
      <c r="AB1307" t="s">
        <v>5863</v>
      </c>
      <c r="AC1307" t="s">
        <v>9981</v>
      </c>
      <c r="AD1307" s="32">
        <v>43279</v>
      </c>
      <c r="AJ1307" t="s">
        <v>9967</v>
      </c>
      <c r="AL1307" t="s">
        <v>14213</v>
      </c>
    </row>
    <row r="1308" spans="1:38">
      <c r="A1308" t="s">
        <v>9249</v>
      </c>
      <c r="B1308" t="s">
        <v>12555</v>
      </c>
      <c r="C1308" t="s">
        <v>9299</v>
      </c>
      <c r="D1308" t="s">
        <v>9300</v>
      </c>
      <c r="E1308" s="2">
        <v>2000</v>
      </c>
      <c r="F1308" s="2">
        <v>2000</v>
      </c>
      <c r="G1308" s="3">
        <v>43298</v>
      </c>
      <c r="H1308" s="4">
        <v>0.21130787037036999</v>
      </c>
      <c r="I1308" s="3">
        <v>43298</v>
      </c>
      <c r="J1308" s="4">
        <v>0.64990740740741004</v>
      </c>
      <c r="K1308" s="2">
        <v>20</v>
      </c>
      <c r="L1308" t="s">
        <v>5856</v>
      </c>
      <c r="M1308" t="s">
        <v>9301</v>
      </c>
      <c r="N1308" s="3">
        <v>43298</v>
      </c>
      <c r="O1308" s="3">
        <v>43300</v>
      </c>
      <c r="P1308" t="s">
        <v>5971</v>
      </c>
      <c r="Q1308" t="s">
        <v>9302</v>
      </c>
      <c r="R1308" t="s">
        <v>6036</v>
      </c>
      <c r="S1308" s="3">
        <v>43298</v>
      </c>
      <c r="T1308" t="s">
        <v>9938</v>
      </c>
      <c r="U1308" t="s">
        <v>6052</v>
      </c>
      <c r="V1308" t="s">
        <v>9303</v>
      </c>
      <c r="W1308" t="s">
        <v>5857</v>
      </c>
      <c r="X1308" s="2">
        <v>190</v>
      </c>
      <c r="Y1308" t="s">
        <v>5858</v>
      </c>
      <c r="Z1308" t="s">
        <v>6037</v>
      </c>
      <c r="AA1308" s="2">
        <v>2000</v>
      </c>
      <c r="AB1308" t="s">
        <v>5863</v>
      </c>
      <c r="AC1308" t="s">
        <v>9974</v>
      </c>
      <c r="AD1308" s="32">
        <v>43270</v>
      </c>
      <c r="AJ1308" t="s">
        <v>9958</v>
      </c>
      <c r="AL1308" t="s">
        <v>11369</v>
      </c>
    </row>
    <row r="1309" spans="1:38">
      <c r="A1309" t="s">
        <v>9249</v>
      </c>
      <c r="B1309" t="s">
        <v>12557</v>
      </c>
      <c r="C1309" t="s">
        <v>9309</v>
      </c>
      <c r="D1309" t="s">
        <v>9310</v>
      </c>
      <c r="E1309" s="2">
        <v>1029</v>
      </c>
      <c r="F1309" s="2">
        <v>1029</v>
      </c>
      <c r="G1309" s="3">
        <v>43299</v>
      </c>
      <c r="H1309" s="4">
        <v>0.76973379629630001</v>
      </c>
      <c r="I1309" s="3">
        <v>43299</v>
      </c>
      <c r="J1309" s="4">
        <v>0.99539351851851998</v>
      </c>
      <c r="K1309" s="2">
        <v>0</v>
      </c>
      <c r="L1309" t="s">
        <v>5856</v>
      </c>
      <c r="M1309" t="s">
        <v>13539</v>
      </c>
      <c r="N1309" s="3">
        <v>43307</v>
      </c>
      <c r="O1309" s="3">
        <v>43306</v>
      </c>
      <c r="P1309" t="s">
        <v>9311</v>
      </c>
      <c r="Q1309" t="s">
        <v>9312</v>
      </c>
      <c r="R1309" t="s">
        <v>6036</v>
      </c>
      <c r="S1309" s="3">
        <v>43307</v>
      </c>
      <c r="T1309" t="s">
        <v>9938</v>
      </c>
      <c r="U1309" t="s">
        <v>9132</v>
      </c>
      <c r="V1309" t="s">
        <v>9313</v>
      </c>
      <c r="W1309" t="s">
        <v>6038</v>
      </c>
      <c r="X1309" s="2">
        <v>190</v>
      </c>
      <c r="Y1309" t="s">
        <v>5858</v>
      </c>
      <c r="Z1309" t="s">
        <v>6037</v>
      </c>
      <c r="AA1309" s="2">
        <v>980</v>
      </c>
      <c r="AB1309" t="s">
        <v>5863</v>
      </c>
      <c r="AC1309" t="s">
        <v>9981</v>
      </c>
      <c r="AD1309" s="32">
        <v>43276</v>
      </c>
      <c r="AJ1309" t="s">
        <v>9967</v>
      </c>
      <c r="AL1309" t="s">
        <v>14214</v>
      </c>
    </row>
    <row r="1310" spans="1:38">
      <c r="A1310" t="s">
        <v>9249</v>
      </c>
      <c r="B1310" t="s">
        <v>13540</v>
      </c>
      <c r="C1310" t="s">
        <v>13541</v>
      </c>
      <c r="D1310" t="s">
        <v>13542</v>
      </c>
      <c r="E1310" s="2">
        <v>1050</v>
      </c>
      <c r="F1310" s="2">
        <v>1050</v>
      </c>
      <c r="G1310" s="3">
        <v>43301</v>
      </c>
      <c r="H1310" s="4">
        <v>0.76973379629630001</v>
      </c>
      <c r="I1310" s="3">
        <v>43302</v>
      </c>
      <c r="J1310" s="4">
        <v>0</v>
      </c>
      <c r="K1310" s="2">
        <v>0</v>
      </c>
      <c r="L1310" t="s">
        <v>5856</v>
      </c>
      <c r="M1310" t="s">
        <v>9261</v>
      </c>
      <c r="N1310" s="3">
        <v>43304</v>
      </c>
      <c r="O1310" s="3">
        <v>43303</v>
      </c>
      <c r="P1310" t="s">
        <v>5862</v>
      </c>
      <c r="Q1310" t="s">
        <v>13543</v>
      </c>
      <c r="R1310" t="s">
        <v>6036</v>
      </c>
      <c r="S1310" s="3">
        <v>43304</v>
      </c>
      <c r="T1310" t="s">
        <v>9938</v>
      </c>
      <c r="U1310" t="s">
        <v>9207</v>
      </c>
      <c r="V1310" t="s">
        <v>13544</v>
      </c>
      <c r="W1310" t="s">
        <v>5914</v>
      </c>
      <c r="X1310" s="2">
        <v>190</v>
      </c>
      <c r="Y1310" t="s">
        <v>5858</v>
      </c>
      <c r="Z1310" t="s">
        <v>6037</v>
      </c>
      <c r="AA1310" s="2">
        <v>1000</v>
      </c>
      <c r="AB1310" t="s">
        <v>5863</v>
      </c>
      <c r="AC1310" t="s">
        <v>9981</v>
      </c>
      <c r="AD1310" s="32">
        <v>43283</v>
      </c>
      <c r="AJ1310" t="s">
        <v>9967</v>
      </c>
      <c r="AL1310" t="s">
        <v>14215</v>
      </c>
    </row>
    <row r="1311" spans="1:38">
      <c r="A1311" t="s">
        <v>9249</v>
      </c>
      <c r="B1311" t="s">
        <v>12558</v>
      </c>
      <c r="C1311" t="s">
        <v>9314</v>
      </c>
      <c r="D1311" t="s">
        <v>9315</v>
      </c>
      <c r="E1311" s="2">
        <v>2100</v>
      </c>
      <c r="F1311" s="2">
        <v>2100</v>
      </c>
      <c r="G1311" s="3">
        <v>43302</v>
      </c>
      <c r="H1311" s="4">
        <v>0.29935185185184998</v>
      </c>
      <c r="I1311" s="3">
        <v>43302</v>
      </c>
      <c r="J1311" s="4">
        <v>0.75987268518519002</v>
      </c>
      <c r="K1311" s="2">
        <v>0</v>
      </c>
      <c r="L1311" t="s">
        <v>5856</v>
      </c>
      <c r="M1311" t="s">
        <v>9289</v>
      </c>
      <c r="N1311" s="3">
        <v>43306</v>
      </c>
      <c r="O1311" s="3">
        <v>43304</v>
      </c>
      <c r="P1311" t="s">
        <v>5889</v>
      </c>
      <c r="Q1311" t="s">
        <v>9316</v>
      </c>
      <c r="R1311" t="s">
        <v>6036</v>
      </c>
      <c r="S1311" s="3">
        <v>43306</v>
      </c>
      <c r="T1311" t="s">
        <v>9938</v>
      </c>
      <c r="U1311" t="s">
        <v>9317</v>
      </c>
      <c r="V1311" t="s">
        <v>6066</v>
      </c>
      <c r="W1311" t="s">
        <v>5857</v>
      </c>
      <c r="X1311" s="2">
        <v>190</v>
      </c>
      <c r="Y1311" t="s">
        <v>5858</v>
      </c>
      <c r="Z1311" t="s">
        <v>6037</v>
      </c>
      <c r="AA1311" s="2">
        <v>2000</v>
      </c>
      <c r="AB1311" t="s">
        <v>5863</v>
      </c>
      <c r="AC1311" t="s">
        <v>9978</v>
      </c>
      <c r="AD1311" s="32">
        <v>43278</v>
      </c>
      <c r="AJ1311" t="s">
        <v>9967</v>
      </c>
      <c r="AL1311" t="s">
        <v>11370</v>
      </c>
    </row>
    <row r="1312" spans="1:38">
      <c r="A1312" t="s">
        <v>9249</v>
      </c>
      <c r="B1312" t="s">
        <v>12559</v>
      </c>
      <c r="C1312" t="s">
        <v>9136</v>
      </c>
      <c r="D1312" t="s">
        <v>9137</v>
      </c>
      <c r="E1312" s="2">
        <v>1000</v>
      </c>
      <c r="F1312" s="2">
        <v>1000</v>
      </c>
      <c r="G1312" s="3">
        <v>43302</v>
      </c>
      <c r="H1312" s="4">
        <v>0.78070601851851995</v>
      </c>
      <c r="I1312" s="3">
        <v>43303</v>
      </c>
      <c r="J1312" s="4">
        <v>0</v>
      </c>
      <c r="K1312" s="2">
        <v>0</v>
      </c>
      <c r="L1312" t="s">
        <v>5856</v>
      </c>
      <c r="M1312" t="s">
        <v>9271</v>
      </c>
      <c r="N1312" s="3">
        <v>43307</v>
      </c>
      <c r="O1312" s="3">
        <v>43309</v>
      </c>
      <c r="P1312" t="s">
        <v>7755</v>
      </c>
      <c r="Q1312" t="s">
        <v>9318</v>
      </c>
      <c r="R1312" t="s">
        <v>6036</v>
      </c>
      <c r="S1312" s="3">
        <v>43307</v>
      </c>
      <c r="T1312" t="s">
        <v>9938</v>
      </c>
      <c r="U1312" t="s">
        <v>9139</v>
      </c>
      <c r="V1312" t="s">
        <v>9140</v>
      </c>
      <c r="W1312" t="s">
        <v>5857</v>
      </c>
      <c r="X1312" s="2">
        <v>190</v>
      </c>
      <c r="Y1312" t="s">
        <v>5858</v>
      </c>
      <c r="Z1312" t="s">
        <v>6037</v>
      </c>
      <c r="AA1312" s="2">
        <v>1000</v>
      </c>
      <c r="AB1312" t="s">
        <v>5863</v>
      </c>
      <c r="AC1312" t="s">
        <v>9981</v>
      </c>
      <c r="AD1312" s="32">
        <v>43262</v>
      </c>
      <c r="AJ1312" t="s">
        <v>9967</v>
      </c>
      <c r="AL1312" t="s">
        <v>11371</v>
      </c>
    </row>
    <row r="1313" spans="1:38">
      <c r="A1313" t="s">
        <v>9249</v>
      </c>
      <c r="B1313" t="s">
        <v>12560</v>
      </c>
      <c r="C1313" t="s">
        <v>8117</v>
      </c>
      <c r="D1313" t="s">
        <v>8118</v>
      </c>
      <c r="E1313" s="2">
        <v>315</v>
      </c>
      <c r="F1313" s="2">
        <v>315</v>
      </c>
      <c r="G1313" s="3">
        <v>43304</v>
      </c>
      <c r="H1313" s="4">
        <v>0.84430555555555997</v>
      </c>
      <c r="I1313" s="3">
        <v>43304</v>
      </c>
      <c r="J1313" s="4">
        <v>0.91337962962963004</v>
      </c>
      <c r="K1313" s="2">
        <v>0</v>
      </c>
      <c r="L1313" t="s">
        <v>5856</v>
      </c>
      <c r="M1313" t="s">
        <v>9276</v>
      </c>
      <c r="N1313" s="3">
        <v>43307</v>
      </c>
      <c r="O1313" s="3">
        <v>43306</v>
      </c>
      <c r="P1313" t="s">
        <v>5864</v>
      </c>
      <c r="Q1313" t="s">
        <v>9319</v>
      </c>
      <c r="R1313" t="s">
        <v>6036</v>
      </c>
      <c r="S1313" s="3">
        <v>43307</v>
      </c>
      <c r="T1313" t="s">
        <v>9938</v>
      </c>
      <c r="U1313" t="s">
        <v>5900</v>
      </c>
      <c r="V1313" t="s">
        <v>6057</v>
      </c>
      <c r="W1313" t="s">
        <v>5914</v>
      </c>
      <c r="X1313" s="2">
        <v>190</v>
      </c>
      <c r="Y1313" t="s">
        <v>5858</v>
      </c>
      <c r="Z1313" t="s">
        <v>6037</v>
      </c>
      <c r="AA1313" s="2">
        <v>300</v>
      </c>
      <c r="AB1313" t="s">
        <v>5863</v>
      </c>
      <c r="AC1313" t="s">
        <v>9974</v>
      </c>
      <c r="AD1313" s="32">
        <v>43278</v>
      </c>
      <c r="AI1313" t="s">
        <v>9939</v>
      </c>
      <c r="AJ1313" t="s">
        <v>9967</v>
      </c>
      <c r="AL1313" t="s">
        <v>11372</v>
      </c>
    </row>
    <row r="1314" spans="1:38">
      <c r="A1314" t="s">
        <v>9249</v>
      </c>
      <c r="B1314" t="s">
        <v>12561</v>
      </c>
      <c r="C1314" t="s">
        <v>9320</v>
      </c>
      <c r="D1314" t="s">
        <v>9321</v>
      </c>
      <c r="E1314" s="2">
        <v>300</v>
      </c>
      <c r="F1314" s="2">
        <v>300</v>
      </c>
      <c r="G1314" s="3">
        <v>43304</v>
      </c>
      <c r="H1314" s="4">
        <v>0.93421296296295997</v>
      </c>
      <c r="I1314" s="3">
        <v>43305</v>
      </c>
      <c r="J1314" s="4">
        <v>0</v>
      </c>
      <c r="K1314" s="2">
        <v>0</v>
      </c>
      <c r="L1314" t="s">
        <v>5856</v>
      </c>
      <c r="M1314" t="s">
        <v>9306</v>
      </c>
      <c r="N1314" s="3">
        <v>43307</v>
      </c>
      <c r="O1314" s="3">
        <v>43306</v>
      </c>
      <c r="P1314" t="s">
        <v>5862</v>
      </c>
      <c r="Q1314" t="s">
        <v>9322</v>
      </c>
      <c r="R1314" t="s">
        <v>6036</v>
      </c>
      <c r="S1314" s="3">
        <v>43307</v>
      </c>
      <c r="T1314" t="s">
        <v>9938</v>
      </c>
      <c r="U1314" t="s">
        <v>7800</v>
      </c>
      <c r="V1314" t="s">
        <v>7801</v>
      </c>
      <c r="W1314" t="s">
        <v>5914</v>
      </c>
      <c r="X1314" s="2">
        <v>0</v>
      </c>
      <c r="Y1314" t="s">
        <v>5858</v>
      </c>
      <c r="Z1314" t="s">
        <v>6037</v>
      </c>
      <c r="AA1314" s="2">
        <v>300</v>
      </c>
      <c r="AB1314" t="s">
        <v>5915</v>
      </c>
      <c r="AC1314" t="s">
        <v>9981</v>
      </c>
      <c r="AD1314" s="32"/>
      <c r="AJ1314" t="s">
        <v>9964</v>
      </c>
      <c r="AL1314" t="s">
        <v>14216</v>
      </c>
    </row>
    <row r="1315" spans="1:38">
      <c r="A1315" t="s">
        <v>9249</v>
      </c>
      <c r="B1315" t="s">
        <v>12562</v>
      </c>
      <c r="C1315" t="s">
        <v>9314</v>
      </c>
      <c r="D1315" t="s">
        <v>9315</v>
      </c>
      <c r="E1315" s="2">
        <v>2000</v>
      </c>
      <c r="F1315" s="2">
        <v>2000</v>
      </c>
      <c r="G1315" s="3">
        <v>43305</v>
      </c>
      <c r="H1315" s="4">
        <v>0.56140046296295998</v>
      </c>
      <c r="I1315" s="3">
        <v>43306</v>
      </c>
      <c r="J1315" s="4">
        <v>0</v>
      </c>
      <c r="K1315" s="2">
        <v>20</v>
      </c>
      <c r="L1315" t="s">
        <v>5856</v>
      </c>
      <c r="M1315" t="s">
        <v>9301</v>
      </c>
      <c r="N1315" s="3">
        <v>43308</v>
      </c>
      <c r="O1315" s="3">
        <v>43307</v>
      </c>
      <c r="P1315" t="s">
        <v>5889</v>
      </c>
      <c r="Q1315" t="s">
        <v>9323</v>
      </c>
      <c r="R1315" t="s">
        <v>6036</v>
      </c>
      <c r="S1315" s="3">
        <v>43308</v>
      </c>
      <c r="T1315" t="s">
        <v>9938</v>
      </c>
      <c r="U1315" t="s">
        <v>9317</v>
      </c>
      <c r="V1315" t="s">
        <v>6066</v>
      </c>
      <c r="W1315" t="s">
        <v>5857</v>
      </c>
      <c r="X1315" s="2">
        <v>190</v>
      </c>
      <c r="Y1315" t="s">
        <v>5858</v>
      </c>
      <c r="Z1315" t="s">
        <v>6037</v>
      </c>
      <c r="AA1315" s="2">
        <v>2000</v>
      </c>
      <c r="AB1315" t="s">
        <v>5863</v>
      </c>
      <c r="AC1315" t="s">
        <v>9978</v>
      </c>
      <c r="AD1315" s="32">
        <v>43249</v>
      </c>
      <c r="AJ1315" t="s">
        <v>9967</v>
      </c>
      <c r="AL1315" t="s">
        <v>11373</v>
      </c>
    </row>
    <row r="1316" spans="1:38">
      <c r="A1316" t="s">
        <v>9249</v>
      </c>
      <c r="B1316" t="s">
        <v>12563</v>
      </c>
      <c r="C1316" t="s">
        <v>9324</v>
      </c>
      <c r="D1316" t="s">
        <v>9325</v>
      </c>
      <c r="E1316" s="5">
        <v>10499.999</v>
      </c>
      <c r="F1316" s="5">
        <v>10499.999</v>
      </c>
      <c r="G1316" s="3">
        <v>43306</v>
      </c>
      <c r="H1316" s="4">
        <v>0.14364583333333</v>
      </c>
      <c r="I1316" s="3">
        <v>43308</v>
      </c>
      <c r="J1316" s="4">
        <v>0.44628472222221999</v>
      </c>
      <c r="K1316" s="2">
        <v>20</v>
      </c>
      <c r="L1316" t="s">
        <v>5856</v>
      </c>
      <c r="M1316" t="s">
        <v>13545</v>
      </c>
      <c r="N1316" s="3">
        <v>43311</v>
      </c>
      <c r="O1316" s="3">
        <v>43310</v>
      </c>
      <c r="P1316" t="s">
        <v>6018</v>
      </c>
      <c r="Q1316" t="s">
        <v>9327</v>
      </c>
      <c r="R1316" t="s">
        <v>6036</v>
      </c>
      <c r="S1316" s="3">
        <v>43311</v>
      </c>
      <c r="T1316" t="s">
        <v>9938</v>
      </c>
      <c r="U1316" t="s">
        <v>5963</v>
      </c>
      <c r="V1316" t="s">
        <v>9328</v>
      </c>
      <c r="W1316" t="s">
        <v>5857</v>
      </c>
      <c r="X1316" s="2">
        <v>2040</v>
      </c>
      <c r="Y1316" t="s">
        <v>5858</v>
      </c>
      <c r="Z1316" t="s">
        <v>6037</v>
      </c>
      <c r="AA1316" s="2">
        <v>10000</v>
      </c>
      <c r="AB1316" t="s">
        <v>5863</v>
      </c>
      <c r="AC1316" t="s">
        <v>9978</v>
      </c>
      <c r="AD1316" s="32">
        <v>43278</v>
      </c>
      <c r="AJ1316" t="s">
        <v>9958</v>
      </c>
      <c r="AL1316" t="s">
        <v>14217</v>
      </c>
    </row>
    <row r="1317" spans="1:38">
      <c r="A1317" t="s">
        <v>9249</v>
      </c>
      <c r="B1317" t="s">
        <v>13546</v>
      </c>
      <c r="C1317" t="s">
        <v>13547</v>
      </c>
      <c r="D1317" t="s">
        <v>13548</v>
      </c>
      <c r="E1317" s="2">
        <v>5250</v>
      </c>
      <c r="F1317" s="2">
        <v>5250</v>
      </c>
      <c r="G1317" s="3">
        <v>43308</v>
      </c>
      <c r="H1317" s="4">
        <v>0.46711805555556002</v>
      </c>
      <c r="I1317" s="3">
        <v>43309</v>
      </c>
      <c r="J1317" s="4">
        <v>0.61843749999999997</v>
      </c>
      <c r="K1317" s="2">
        <v>20</v>
      </c>
      <c r="L1317" t="s">
        <v>5856</v>
      </c>
      <c r="M1317" t="s">
        <v>9326</v>
      </c>
      <c r="N1317" s="3">
        <v>43322</v>
      </c>
      <c r="O1317" s="3">
        <v>43311</v>
      </c>
      <c r="P1317" t="s">
        <v>5889</v>
      </c>
      <c r="Q1317" t="s">
        <v>13549</v>
      </c>
      <c r="R1317" t="s">
        <v>6036</v>
      </c>
      <c r="S1317" s="3">
        <v>43322</v>
      </c>
      <c r="T1317" t="s">
        <v>9938</v>
      </c>
      <c r="U1317" t="s">
        <v>5886</v>
      </c>
      <c r="V1317" t="s">
        <v>13550</v>
      </c>
      <c r="W1317" t="s">
        <v>5857</v>
      </c>
      <c r="X1317" s="2">
        <v>190</v>
      </c>
      <c r="Y1317" t="s">
        <v>5858</v>
      </c>
      <c r="Z1317" t="s">
        <v>6037</v>
      </c>
      <c r="AA1317" s="2">
        <v>5000</v>
      </c>
      <c r="AB1317" t="s">
        <v>5863</v>
      </c>
      <c r="AC1317" t="s">
        <v>9978</v>
      </c>
      <c r="AD1317" s="32">
        <v>43280</v>
      </c>
      <c r="AJ1317" t="s">
        <v>9958</v>
      </c>
      <c r="AL1317" t="s">
        <v>14218</v>
      </c>
    </row>
    <row r="1318" spans="1:38">
      <c r="A1318" t="s">
        <v>9249</v>
      </c>
      <c r="B1318" t="s">
        <v>12564</v>
      </c>
      <c r="C1318" t="s">
        <v>9329</v>
      </c>
      <c r="D1318" t="s">
        <v>9330</v>
      </c>
      <c r="E1318" s="2">
        <v>6300</v>
      </c>
      <c r="F1318" s="2">
        <v>6300</v>
      </c>
      <c r="G1318" s="3">
        <v>43309</v>
      </c>
      <c r="H1318" s="4">
        <v>0.63927083333333001</v>
      </c>
      <c r="I1318" s="3">
        <v>43312</v>
      </c>
      <c r="J1318" s="4">
        <v>2.0844907407410001E-2</v>
      </c>
      <c r="K1318" s="2">
        <v>20</v>
      </c>
      <c r="L1318" t="s">
        <v>5856</v>
      </c>
      <c r="M1318" t="s">
        <v>13551</v>
      </c>
      <c r="N1318" s="3">
        <v>43315</v>
      </c>
      <c r="O1318" s="3">
        <v>43314</v>
      </c>
      <c r="P1318" t="s">
        <v>5869</v>
      </c>
      <c r="Q1318" t="s">
        <v>9331</v>
      </c>
      <c r="R1318" t="s">
        <v>6036</v>
      </c>
      <c r="S1318" s="3">
        <v>43315</v>
      </c>
      <c r="T1318" t="s">
        <v>9938</v>
      </c>
      <c r="U1318" t="s">
        <v>6513</v>
      </c>
      <c r="V1318" t="s">
        <v>9332</v>
      </c>
      <c r="W1318" t="s">
        <v>5857</v>
      </c>
      <c r="X1318" s="2">
        <v>190</v>
      </c>
      <c r="Y1318" t="s">
        <v>5858</v>
      </c>
      <c r="Z1318" t="s">
        <v>6037</v>
      </c>
      <c r="AA1318" s="2">
        <v>6000</v>
      </c>
      <c r="AB1318" t="s">
        <v>5863</v>
      </c>
      <c r="AC1318" t="s">
        <v>9974</v>
      </c>
      <c r="AD1318" s="32">
        <v>43277</v>
      </c>
      <c r="AJ1318" t="s">
        <v>9959</v>
      </c>
      <c r="AL1318" t="s">
        <v>11375</v>
      </c>
    </row>
    <row r="1319" spans="1:38">
      <c r="A1319" t="s">
        <v>9249</v>
      </c>
      <c r="B1319" t="s">
        <v>12565</v>
      </c>
      <c r="C1319" t="s">
        <v>6982</v>
      </c>
      <c r="D1319" t="s">
        <v>6983</v>
      </c>
      <c r="E1319" s="2">
        <v>500</v>
      </c>
      <c r="F1319" s="2">
        <v>500</v>
      </c>
      <c r="G1319" s="3">
        <v>43312</v>
      </c>
      <c r="H1319" s="4">
        <v>4.1678240740740002E-2</v>
      </c>
      <c r="I1319" s="3">
        <v>43312</v>
      </c>
      <c r="J1319" s="4">
        <v>0.15133101851851999</v>
      </c>
      <c r="K1319" s="2">
        <v>0</v>
      </c>
      <c r="L1319" t="s">
        <v>5856</v>
      </c>
      <c r="M1319" t="s">
        <v>9290</v>
      </c>
      <c r="N1319" s="3">
        <v>43320</v>
      </c>
      <c r="O1319" s="3">
        <v>43314</v>
      </c>
      <c r="P1319" t="s">
        <v>5978</v>
      </c>
      <c r="Q1319" t="s">
        <v>9333</v>
      </c>
      <c r="R1319" t="s">
        <v>6036</v>
      </c>
      <c r="S1319" s="3">
        <v>43320</v>
      </c>
      <c r="T1319" t="s">
        <v>9938</v>
      </c>
      <c r="U1319" t="s">
        <v>5987</v>
      </c>
      <c r="V1319" t="s">
        <v>6986</v>
      </c>
      <c r="W1319" t="s">
        <v>5857</v>
      </c>
      <c r="X1319" s="2">
        <v>190</v>
      </c>
      <c r="Y1319" t="s">
        <v>5858</v>
      </c>
      <c r="Z1319" t="s">
        <v>6037</v>
      </c>
      <c r="AA1319" s="2">
        <v>500</v>
      </c>
      <c r="AB1319" t="s">
        <v>5863</v>
      </c>
      <c r="AC1319" t="s">
        <v>9978</v>
      </c>
      <c r="AD1319" s="32">
        <v>43265</v>
      </c>
      <c r="AI1319" t="s">
        <v>9943</v>
      </c>
      <c r="AJ1319" t="s">
        <v>9958</v>
      </c>
      <c r="AL1319" t="s">
        <v>11376</v>
      </c>
    </row>
    <row r="1320" spans="1:38">
      <c r="A1320" t="s">
        <v>9249</v>
      </c>
      <c r="B1320" t="s">
        <v>12566</v>
      </c>
      <c r="C1320" t="s">
        <v>9320</v>
      </c>
      <c r="D1320" t="s">
        <v>9321</v>
      </c>
      <c r="E1320" s="2">
        <v>200</v>
      </c>
      <c r="F1320" s="2">
        <v>200</v>
      </c>
      <c r="G1320" s="3">
        <v>43312</v>
      </c>
      <c r="H1320" s="4">
        <v>0.17216435185185</v>
      </c>
      <c r="I1320" s="3">
        <v>43312</v>
      </c>
      <c r="J1320" s="4">
        <v>0.21601851851852</v>
      </c>
      <c r="K1320" s="2">
        <v>0</v>
      </c>
      <c r="L1320" t="s">
        <v>5856</v>
      </c>
      <c r="M1320" t="s">
        <v>9334</v>
      </c>
      <c r="N1320" s="3">
        <v>43314</v>
      </c>
      <c r="O1320" s="3">
        <v>43314</v>
      </c>
      <c r="P1320" t="s">
        <v>5862</v>
      </c>
      <c r="Q1320" t="s">
        <v>9335</v>
      </c>
      <c r="R1320" t="s">
        <v>6036</v>
      </c>
      <c r="S1320" s="3">
        <v>43314</v>
      </c>
      <c r="T1320" t="s">
        <v>9938</v>
      </c>
      <c r="U1320" t="s">
        <v>7800</v>
      </c>
      <c r="V1320" t="s">
        <v>7801</v>
      </c>
      <c r="W1320" t="s">
        <v>5914</v>
      </c>
      <c r="X1320" s="2">
        <v>0</v>
      </c>
      <c r="Y1320" t="s">
        <v>5858</v>
      </c>
      <c r="Z1320" t="s">
        <v>6037</v>
      </c>
      <c r="AA1320" s="2">
        <v>200</v>
      </c>
      <c r="AB1320" t="s">
        <v>5915</v>
      </c>
      <c r="AC1320" t="s">
        <v>9981</v>
      </c>
      <c r="AD1320" s="32"/>
      <c r="AJ1320" t="s">
        <v>9964</v>
      </c>
      <c r="AL1320" t="s">
        <v>14219</v>
      </c>
    </row>
    <row r="1321" spans="1:38">
      <c r="A1321" t="s">
        <v>9249</v>
      </c>
      <c r="B1321" t="s">
        <v>12567</v>
      </c>
      <c r="C1321" t="s">
        <v>7200</v>
      </c>
      <c r="D1321" t="s">
        <v>7201</v>
      </c>
      <c r="E1321" s="2">
        <v>1050</v>
      </c>
      <c r="F1321" s="2">
        <v>1050</v>
      </c>
      <c r="G1321" s="3">
        <v>43312</v>
      </c>
      <c r="H1321" s="4">
        <v>0.36293981481481002</v>
      </c>
      <c r="I1321" s="3">
        <v>43312</v>
      </c>
      <c r="J1321" s="4">
        <v>0.59320601851851995</v>
      </c>
      <c r="K1321" s="2">
        <v>0</v>
      </c>
      <c r="L1321" t="s">
        <v>5856</v>
      </c>
      <c r="M1321" t="s">
        <v>9261</v>
      </c>
      <c r="N1321" s="3">
        <v>43319</v>
      </c>
      <c r="O1321" s="3">
        <v>43314</v>
      </c>
      <c r="P1321" t="s">
        <v>5881</v>
      </c>
      <c r="Q1321" t="s">
        <v>9336</v>
      </c>
      <c r="R1321" t="s">
        <v>6036</v>
      </c>
      <c r="S1321" s="3">
        <v>43319</v>
      </c>
      <c r="T1321" t="s">
        <v>9938</v>
      </c>
      <c r="U1321" t="s">
        <v>5894</v>
      </c>
      <c r="V1321" t="s">
        <v>7203</v>
      </c>
      <c r="W1321" t="s">
        <v>5857</v>
      </c>
      <c r="X1321" s="2">
        <v>190</v>
      </c>
      <c r="Y1321" t="s">
        <v>5858</v>
      </c>
      <c r="Z1321" t="s">
        <v>6037</v>
      </c>
      <c r="AA1321" s="2">
        <v>1000</v>
      </c>
      <c r="AB1321" t="s">
        <v>5863</v>
      </c>
      <c r="AC1321" t="s">
        <v>9978</v>
      </c>
      <c r="AD1321" s="32">
        <v>43277</v>
      </c>
      <c r="AJ1321" t="s">
        <v>9958</v>
      </c>
      <c r="AL1321" t="s">
        <v>11378</v>
      </c>
    </row>
    <row r="1322" spans="1:38">
      <c r="A1322" t="s">
        <v>9249</v>
      </c>
      <c r="B1322" t="s">
        <v>12568</v>
      </c>
      <c r="C1322" t="s">
        <v>9337</v>
      </c>
      <c r="D1322" t="s">
        <v>9338</v>
      </c>
      <c r="E1322" s="2">
        <v>20000</v>
      </c>
      <c r="F1322" s="2">
        <v>20000</v>
      </c>
      <c r="G1322" s="3">
        <v>43312</v>
      </c>
      <c r="H1322" s="4">
        <v>0.61403935185184999</v>
      </c>
      <c r="I1322" s="3">
        <v>43317</v>
      </c>
      <c r="J1322" s="4">
        <v>0</v>
      </c>
      <c r="K1322" s="2">
        <v>20</v>
      </c>
      <c r="L1322" t="s">
        <v>5856</v>
      </c>
      <c r="M1322" t="s">
        <v>9339</v>
      </c>
      <c r="N1322" s="3">
        <v>43320</v>
      </c>
      <c r="O1322" s="3">
        <v>43318</v>
      </c>
      <c r="P1322" t="s">
        <v>5889</v>
      </c>
      <c r="Q1322" t="s">
        <v>9340</v>
      </c>
      <c r="R1322" t="s">
        <v>6042</v>
      </c>
      <c r="S1322" s="3">
        <v>43320</v>
      </c>
      <c r="T1322" t="s">
        <v>9938</v>
      </c>
      <c r="U1322" t="s">
        <v>6568</v>
      </c>
      <c r="V1322" t="s">
        <v>9341</v>
      </c>
      <c r="W1322" t="s">
        <v>5857</v>
      </c>
      <c r="X1322" s="2">
        <v>190</v>
      </c>
      <c r="Y1322" t="s">
        <v>5858</v>
      </c>
      <c r="Z1322" t="s">
        <v>6037</v>
      </c>
      <c r="AA1322" s="2">
        <v>20000</v>
      </c>
      <c r="AB1322" t="s">
        <v>5863</v>
      </c>
      <c r="AC1322" t="s">
        <v>9978</v>
      </c>
      <c r="AD1322" s="32">
        <v>43265</v>
      </c>
      <c r="AJ1322" t="s">
        <v>9958</v>
      </c>
      <c r="AL1322" t="s">
        <v>11379</v>
      </c>
    </row>
    <row r="1323" spans="1:38">
      <c r="A1323" t="s">
        <v>9249</v>
      </c>
      <c r="B1323" t="s">
        <v>12569</v>
      </c>
      <c r="C1323" t="s">
        <v>8003</v>
      </c>
      <c r="D1323" t="s">
        <v>8004</v>
      </c>
      <c r="E1323" s="2">
        <v>2050</v>
      </c>
      <c r="F1323" s="2">
        <v>2050</v>
      </c>
      <c r="G1323" s="3">
        <v>43316</v>
      </c>
      <c r="H1323" s="4">
        <v>0.70246527777778001</v>
      </c>
      <c r="I1323" s="3">
        <v>43318</v>
      </c>
      <c r="J1323" s="4">
        <v>0.15202546296295999</v>
      </c>
      <c r="K1323" s="2">
        <v>45</v>
      </c>
      <c r="L1323" t="s">
        <v>5856</v>
      </c>
      <c r="M1323" t="s">
        <v>9342</v>
      </c>
      <c r="N1323" s="3">
        <v>43279</v>
      </c>
      <c r="O1323" s="3">
        <v>43320</v>
      </c>
      <c r="P1323" t="s">
        <v>5967</v>
      </c>
      <c r="Q1323" t="s">
        <v>6038</v>
      </c>
      <c r="R1323" t="s">
        <v>6039</v>
      </c>
      <c r="S1323" s="3"/>
      <c r="T1323" t="s">
        <v>9938</v>
      </c>
      <c r="U1323" t="s">
        <v>8006</v>
      </c>
      <c r="V1323" t="s">
        <v>6041</v>
      </c>
      <c r="W1323" t="s">
        <v>5914</v>
      </c>
      <c r="X1323" s="2">
        <v>190</v>
      </c>
      <c r="Y1323" t="s">
        <v>5858</v>
      </c>
      <c r="Z1323" t="s">
        <v>6037</v>
      </c>
      <c r="AA1323" s="2">
        <v>2050</v>
      </c>
      <c r="AB1323" t="s">
        <v>5863</v>
      </c>
      <c r="AC1323" t="s">
        <v>9981</v>
      </c>
      <c r="AD1323" s="32">
        <v>43269</v>
      </c>
      <c r="AJ1323" t="s">
        <v>9967</v>
      </c>
      <c r="AL1323" t="s">
        <v>11380</v>
      </c>
    </row>
    <row r="1324" spans="1:38">
      <c r="A1324" t="s">
        <v>9249</v>
      </c>
      <c r="B1324" t="s">
        <v>12570</v>
      </c>
      <c r="C1324" t="s">
        <v>9343</v>
      </c>
      <c r="D1324" t="s">
        <v>9344</v>
      </c>
      <c r="E1324" s="2">
        <v>1000</v>
      </c>
      <c r="F1324" s="2">
        <v>1000</v>
      </c>
      <c r="G1324" s="3">
        <v>43318</v>
      </c>
      <c r="H1324" s="4">
        <v>0.78070601851851995</v>
      </c>
      <c r="I1324" s="3">
        <v>43319</v>
      </c>
      <c r="J1324" s="4">
        <v>0</v>
      </c>
      <c r="K1324" s="2">
        <v>0</v>
      </c>
      <c r="L1324" t="s">
        <v>5856</v>
      </c>
      <c r="M1324" t="s">
        <v>9271</v>
      </c>
      <c r="N1324" s="3">
        <v>43321</v>
      </c>
      <c r="O1324" s="3">
        <v>43320</v>
      </c>
      <c r="P1324" t="s">
        <v>7980</v>
      </c>
      <c r="Q1324" t="s">
        <v>9345</v>
      </c>
      <c r="R1324" t="s">
        <v>6036</v>
      </c>
      <c r="S1324" s="3">
        <v>43321</v>
      </c>
      <c r="T1324" t="s">
        <v>9938</v>
      </c>
      <c r="U1324" t="s">
        <v>7762</v>
      </c>
      <c r="V1324" t="s">
        <v>5899</v>
      </c>
      <c r="W1324" t="s">
        <v>5914</v>
      </c>
      <c r="X1324" s="2">
        <v>190</v>
      </c>
      <c r="Y1324" t="s">
        <v>5858</v>
      </c>
      <c r="Z1324" t="s">
        <v>6037</v>
      </c>
      <c r="AA1324" s="2">
        <v>1000</v>
      </c>
      <c r="AB1324" t="s">
        <v>5863</v>
      </c>
      <c r="AC1324" t="s">
        <v>9981</v>
      </c>
      <c r="AD1324" s="32">
        <v>43272</v>
      </c>
      <c r="AJ1324" t="s">
        <v>9963</v>
      </c>
      <c r="AL1324" t="s">
        <v>14220</v>
      </c>
    </row>
    <row r="1325" spans="1:38">
      <c r="A1325" t="s">
        <v>9249</v>
      </c>
      <c r="B1325" t="s">
        <v>13552</v>
      </c>
      <c r="C1325" t="s">
        <v>13553</v>
      </c>
      <c r="D1325" t="s">
        <v>13554</v>
      </c>
      <c r="E1325" s="2">
        <v>3150</v>
      </c>
      <c r="F1325" s="2">
        <v>3150</v>
      </c>
      <c r="G1325" s="3">
        <v>43319</v>
      </c>
      <c r="H1325" s="4">
        <v>0.30921296296296003</v>
      </c>
      <c r="I1325" s="3">
        <v>43320</v>
      </c>
      <c r="J1325" s="4">
        <v>0</v>
      </c>
      <c r="K1325" s="2">
        <v>20</v>
      </c>
      <c r="L1325" t="s">
        <v>5856</v>
      </c>
      <c r="M1325" t="s">
        <v>13555</v>
      </c>
      <c r="N1325" s="3">
        <v>43322</v>
      </c>
      <c r="O1325" s="3">
        <v>43321</v>
      </c>
      <c r="P1325" t="s">
        <v>5971</v>
      </c>
      <c r="Q1325" t="s">
        <v>13556</v>
      </c>
      <c r="R1325" t="s">
        <v>6036</v>
      </c>
      <c r="S1325" s="3">
        <v>43322</v>
      </c>
      <c r="T1325" t="s">
        <v>9938</v>
      </c>
      <c r="U1325" t="s">
        <v>6052</v>
      </c>
      <c r="V1325" t="s">
        <v>13557</v>
      </c>
      <c r="W1325" t="s">
        <v>5857</v>
      </c>
      <c r="X1325" s="2">
        <v>190</v>
      </c>
      <c r="Y1325" t="s">
        <v>5858</v>
      </c>
      <c r="Z1325" t="s">
        <v>6037</v>
      </c>
      <c r="AA1325" s="2">
        <v>3000</v>
      </c>
      <c r="AB1325" t="s">
        <v>5863</v>
      </c>
      <c r="AC1325" t="s">
        <v>9974</v>
      </c>
      <c r="AD1325" s="32">
        <v>43280</v>
      </c>
      <c r="AJ1325" t="s">
        <v>9958</v>
      </c>
      <c r="AL1325" t="s">
        <v>14221</v>
      </c>
    </row>
    <row r="1326" spans="1:38">
      <c r="A1326" t="s">
        <v>9249</v>
      </c>
      <c r="B1326" t="s">
        <v>12571</v>
      </c>
      <c r="C1326" t="s">
        <v>9346</v>
      </c>
      <c r="D1326" t="s">
        <v>9347</v>
      </c>
      <c r="E1326" s="2">
        <v>5250</v>
      </c>
      <c r="F1326" s="2">
        <v>5250</v>
      </c>
      <c r="G1326" s="3">
        <v>43322</v>
      </c>
      <c r="H1326" s="4">
        <v>0.86951388888889003</v>
      </c>
      <c r="I1326" s="3">
        <v>43325</v>
      </c>
      <c r="J1326" s="4">
        <v>2.0833333333330002E-2</v>
      </c>
      <c r="K1326" s="2">
        <v>0</v>
      </c>
      <c r="L1326" t="s">
        <v>5856</v>
      </c>
      <c r="M1326" t="s">
        <v>9348</v>
      </c>
      <c r="N1326" s="3">
        <v>43328</v>
      </c>
      <c r="O1326" s="3">
        <v>43327</v>
      </c>
      <c r="P1326" t="s">
        <v>9218</v>
      </c>
      <c r="Q1326" t="s">
        <v>9349</v>
      </c>
      <c r="R1326" t="s">
        <v>6036</v>
      </c>
      <c r="S1326" s="3">
        <v>43328</v>
      </c>
      <c r="T1326" t="s">
        <v>9938</v>
      </c>
      <c r="U1326" t="s">
        <v>9350</v>
      </c>
      <c r="V1326" t="s">
        <v>9351</v>
      </c>
      <c r="W1326" t="s">
        <v>5914</v>
      </c>
      <c r="X1326" s="2">
        <v>190</v>
      </c>
      <c r="Y1326" t="s">
        <v>5858</v>
      </c>
      <c r="Z1326" t="s">
        <v>6037</v>
      </c>
      <c r="AA1326" s="2">
        <v>5250</v>
      </c>
      <c r="AB1326" t="s">
        <v>5859</v>
      </c>
      <c r="AC1326" t="s">
        <v>9981</v>
      </c>
      <c r="AD1326" s="32"/>
      <c r="AJ1326" t="s">
        <v>9962</v>
      </c>
      <c r="AL1326" t="s">
        <v>11382</v>
      </c>
    </row>
    <row r="1327" spans="1:38">
      <c r="A1327" t="s">
        <v>9249</v>
      </c>
      <c r="B1327" t="s">
        <v>12572</v>
      </c>
      <c r="C1327" t="s">
        <v>9314</v>
      </c>
      <c r="D1327" t="s">
        <v>9315</v>
      </c>
      <c r="E1327" s="2">
        <v>2100</v>
      </c>
      <c r="F1327" s="2">
        <v>2100</v>
      </c>
      <c r="G1327" s="3">
        <v>43330</v>
      </c>
      <c r="H1327" s="4">
        <v>0.45285879629629999</v>
      </c>
      <c r="I1327" s="3">
        <v>43330</v>
      </c>
      <c r="J1327" s="4">
        <v>0.91337962962963004</v>
      </c>
      <c r="K1327" s="2">
        <v>20</v>
      </c>
      <c r="L1327" t="s">
        <v>5856</v>
      </c>
      <c r="M1327" t="s">
        <v>9289</v>
      </c>
      <c r="N1327" s="3">
        <v>43334</v>
      </c>
      <c r="O1327" s="3">
        <v>43332</v>
      </c>
      <c r="P1327" t="s">
        <v>5889</v>
      </c>
      <c r="Q1327" t="s">
        <v>9352</v>
      </c>
      <c r="R1327" t="s">
        <v>6036</v>
      </c>
      <c r="S1327" s="3">
        <v>43334</v>
      </c>
      <c r="T1327" t="s">
        <v>9938</v>
      </c>
      <c r="U1327" t="s">
        <v>9317</v>
      </c>
      <c r="V1327" t="s">
        <v>6066</v>
      </c>
      <c r="W1327" t="s">
        <v>5857</v>
      </c>
      <c r="X1327" s="2">
        <v>190</v>
      </c>
      <c r="Y1327" t="s">
        <v>5858</v>
      </c>
      <c r="Z1327" t="s">
        <v>6037</v>
      </c>
      <c r="AA1327" s="2">
        <v>2000</v>
      </c>
      <c r="AB1327" t="s">
        <v>5863</v>
      </c>
      <c r="AC1327" t="s">
        <v>9978</v>
      </c>
      <c r="AD1327" s="32"/>
      <c r="AJ1327" t="s">
        <v>9967</v>
      </c>
      <c r="AL1327" t="s">
        <v>11383</v>
      </c>
    </row>
    <row r="1328" spans="1:38">
      <c r="A1328" t="s">
        <v>9249</v>
      </c>
      <c r="B1328" t="s">
        <v>12573</v>
      </c>
      <c r="C1328" t="s">
        <v>9353</v>
      </c>
      <c r="D1328" t="s">
        <v>9354</v>
      </c>
      <c r="E1328" s="2">
        <v>300</v>
      </c>
      <c r="F1328" s="2">
        <v>300</v>
      </c>
      <c r="G1328" s="3">
        <v>43330</v>
      </c>
      <c r="H1328" s="4">
        <v>0.93421296296295997</v>
      </c>
      <c r="I1328" s="3">
        <v>43331</v>
      </c>
      <c r="J1328" s="4">
        <v>0</v>
      </c>
      <c r="K1328" s="2">
        <v>0</v>
      </c>
      <c r="L1328" t="s">
        <v>5856</v>
      </c>
      <c r="M1328" t="s">
        <v>9306</v>
      </c>
      <c r="N1328" s="3">
        <v>43333</v>
      </c>
      <c r="O1328" s="3">
        <v>43332</v>
      </c>
      <c r="P1328" t="s">
        <v>5967</v>
      </c>
      <c r="Q1328" t="s">
        <v>9355</v>
      </c>
      <c r="R1328" t="s">
        <v>6036</v>
      </c>
      <c r="S1328" s="3">
        <v>43333</v>
      </c>
      <c r="T1328" t="s">
        <v>9938</v>
      </c>
      <c r="U1328" t="s">
        <v>9356</v>
      </c>
      <c r="V1328" t="s">
        <v>9357</v>
      </c>
      <c r="W1328" t="s">
        <v>5914</v>
      </c>
      <c r="X1328" s="2">
        <v>190</v>
      </c>
      <c r="Y1328" t="s">
        <v>5858</v>
      </c>
      <c r="Z1328" t="s">
        <v>6037</v>
      </c>
      <c r="AA1328" s="2">
        <v>300</v>
      </c>
      <c r="AB1328" t="s">
        <v>5863</v>
      </c>
      <c r="AD1328" s="32"/>
      <c r="AJ1328" t="s">
        <v>9962</v>
      </c>
      <c r="AL1328" t="s">
        <v>11384</v>
      </c>
    </row>
    <row r="1329" spans="1:38">
      <c r="A1329" t="s">
        <v>9249</v>
      </c>
      <c r="B1329" t="s">
        <v>12574</v>
      </c>
      <c r="C1329" t="s">
        <v>6982</v>
      </c>
      <c r="D1329" t="s">
        <v>6983</v>
      </c>
      <c r="E1329" s="2">
        <v>500</v>
      </c>
      <c r="F1329" s="2">
        <v>500</v>
      </c>
      <c r="G1329" s="3">
        <v>43335</v>
      </c>
      <c r="H1329" s="4">
        <v>0.48355324074074002</v>
      </c>
      <c r="I1329" s="3">
        <v>43335</v>
      </c>
      <c r="J1329" s="4">
        <v>0.59320601851851995</v>
      </c>
      <c r="K1329" s="2">
        <v>0</v>
      </c>
      <c r="L1329" t="s">
        <v>5856</v>
      </c>
      <c r="M1329" t="s">
        <v>9290</v>
      </c>
      <c r="N1329" s="3">
        <v>43340</v>
      </c>
      <c r="O1329" s="3">
        <v>43337</v>
      </c>
      <c r="P1329" t="s">
        <v>5978</v>
      </c>
      <c r="Q1329" t="s">
        <v>9358</v>
      </c>
      <c r="R1329" t="s">
        <v>6036</v>
      </c>
      <c r="S1329" s="3">
        <v>43340</v>
      </c>
      <c r="T1329" t="s">
        <v>9938</v>
      </c>
      <c r="U1329" t="s">
        <v>5987</v>
      </c>
      <c r="V1329" t="s">
        <v>6986</v>
      </c>
      <c r="W1329" t="s">
        <v>5857</v>
      </c>
      <c r="X1329" s="2">
        <v>190</v>
      </c>
      <c r="Y1329" t="s">
        <v>5858</v>
      </c>
      <c r="Z1329" t="s">
        <v>6037</v>
      </c>
      <c r="AA1329" s="2">
        <v>500</v>
      </c>
      <c r="AB1329" t="s">
        <v>5863</v>
      </c>
      <c r="AC1329" t="s">
        <v>9978</v>
      </c>
      <c r="AD1329" s="32"/>
      <c r="AI1329" t="s">
        <v>9943</v>
      </c>
      <c r="AJ1329" t="s">
        <v>9958</v>
      </c>
      <c r="AL1329" t="s">
        <v>11385</v>
      </c>
    </row>
    <row r="1330" spans="1:38">
      <c r="A1330" t="s">
        <v>9249</v>
      </c>
      <c r="B1330" t="s">
        <v>12575</v>
      </c>
      <c r="C1330" t="s">
        <v>7781</v>
      </c>
      <c r="D1330" t="s">
        <v>7782</v>
      </c>
      <c r="E1330" s="2">
        <v>1000</v>
      </c>
      <c r="F1330" s="2">
        <v>1000</v>
      </c>
      <c r="G1330" s="3">
        <v>43350</v>
      </c>
      <c r="H1330" s="4">
        <v>0.78070601851851995</v>
      </c>
      <c r="I1330" s="3">
        <v>43351</v>
      </c>
      <c r="J1330" s="4">
        <v>0</v>
      </c>
      <c r="K1330" s="2">
        <v>0</v>
      </c>
      <c r="L1330" t="s">
        <v>5856</v>
      </c>
      <c r="M1330" t="s">
        <v>9271</v>
      </c>
      <c r="N1330" s="3">
        <v>43353</v>
      </c>
      <c r="O1330" s="3">
        <v>43352</v>
      </c>
      <c r="P1330" t="s">
        <v>7784</v>
      </c>
      <c r="Q1330" t="s">
        <v>9359</v>
      </c>
      <c r="R1330" t="s">
        <v>6036</v>
      </c>
      <c r="S1330" s="3">
        <v>43353</v>
      </c>
      <c r="T1330" t="s">
        <v>9938</v>
      </c>
      <c r="U1330" t="s">
        <v>7786</v>
      </c>
      <c r="V1330" t="s">
        <v>7787</v>
      </c>
      <c r="W1330" t="s">
        <v>5914</v>
      </c>
      <c r="X1330" s="2">
        <v>190</v>
      </c>
      <c r="Y1330" t="s">
        <v>5858</v>
      </c>
      <c r="Z1330" t="s">
        <v>6037</v>
      </c>
      <c r="AA1330" s="2">
        <v>1000</v>
      </c>
      <c r="AB1330" t="s">
        <v>5863</v>
      </c>
      <c r="AC1330" t="s">
        <v>9981</v>
      </c>
      <c r="AD1330" s="32"/>
      <c r="AJ1330" t="s">
        <v>9965</v>
      </c>
      <c r="AL1330" t="s">
        <v>11386</v>
      </c>
    </row>
    <row r="1331" spans="1:38">
      <c r="A1331" t="s">
        <v>9249</v>
      </c>
      <c r="B1331" t="s">
        <v>12576</v>
      </c>
      <c r="C1331" t="s">
        <v>9360</v>
      </c>
      <c r="D1331" t="s">
        <v>9361</v>
      </c>
      <c r="E1331" s="2">
        <v>1000</v>
      </c>
      <c r="F1331" s="2">
        <v>1000</v>
      </c>
      <c r="G1331" s="3">
        <v>43368</v>
      </c>
      <c r="H1331" s="4">
        <v>0.78070601851851995</v>
      </c>
      <c r="I1331" s="3">
        <v>43369</v>
      </c>
      <c r="J1331" s="4">
        <v>0</v>
      </c>
      <c r="K1331" s="2">
        <v>0</v>
      </c>
      <c r="L1331" t="s">
        <v>5856</v>
      </c>
      <c r="M1331" t="s">
        <v>9271</v>
      </c>
      <c r="N1331" s="3">
        <v>43371</v>
      </c>
      <c r="O1331" s="3">
        <v>43370</v>
      </c>
      <c r="P1331" t="s">
        <v>5971</v>
      </c>
      <c r="Q1331" t="s">
        <v>9362</v>
      </c>
      <c r="R1331" t="s">
        <v>6036</v>
      </c>
      <c r="S1331" s="3">
        <v>43371</v>
      </c>
      <c r="T1331" t="s">
        <v>9938</v>
      </c>
      <c r="U1331" t="s">
        <v>6824</v>
      </c>
      <c r="V1331" t="s">
        <v>6041</v>
      </c>
      <c r="W1331" t="s">
        <v>5857</v>
      </c>
      <c r="X1331" s="2">
        <v>190</v>
      </c>
      <c r="Y1331" t="s">
        <v>5858</v>
      </c>
      <c r="Z1331" t="s">
        <v>6037</v>
      </c>
      <c r="AA1331" s="2">
        <v>1000</v>
      </c>
      <c r="AB1331" t="s">
        <v>5863</v>
      </c>
      <c r="AC1331" t="s">
        <v>9974</v>
      </c>
      <c r="AD1331" s="32"/>
      <c r="AI1331" t="s">
        <v>9939</v>
      </c>
      <c r="AJ1331" t="s">
        <v>9958</v>
      </c>
      <c r="AL1331" t="s">
        <v>14222</v>
      </c>
    </row>
    <row r="1332" spans="1:38">
      <c r="A1332" t="s">
        <v>9363</v>
      </c>
      <c r="B1332" t="s">
        <v>12577</v>
      </c>
      <c r="C1332" t="s">
        <v>7798</v>
      </c>
      <c r="D1332" t="s">
        <v>7799</v>
      </c>
      <c r="E1332" s="2">
        <v>1070</v>
      </c>
      <c r="F1332" s="2">
        <v>1070</v>
      </c>
      <c r="G1332" s="3">
        <v>43281</v>
      </c>
      <c r="H1332" s="4">
        <v>0.46402777777777998</v>
      </c>
      <c r="I1332" s="3">
        <v>43281</v>
      </c>
      <c r="J1332" s="4">
        <v>0.54509259259259002</v>
      </c>
      <c r="K1332" s="2">
        <v>4</v>
      </c>
      <c r="L1332" t="s">
        <v>5856</v>
      </c>
      <c r="M1332" t="s">
        <v>9364</v>
      </c>
      <c r="N1332" s="3">
        <v>43298</v>
      </c>
      <c r="O1332" s="3">
        <v>43283</v>
      </c>
      <c r="P1332" t="s">
        <v>5862</v>
      </c>
      <c r="Q1332" t="s">
        <v>6038</v>
      </c>
      <c r="R1332" t="s">
        <v>6039</v>
      </c>
      <c r="S1332" s="3"/>
      <c r="T1332" t="s">
        <v>9938</v>
      </c>
      <c r="U1332" t="s">
        <v>7800</v>
      </c>
      <c r="V1332" t="s">
        <v>7801</v>
      </c>
      <c r="W1332" t="s">
        <v>6038</v>
      </c>
      <c r="X1332" s="2">
        <v>0</v>
      </c>
      <c r="Y1332" t="s">
        <v>5858</v>
      </c>
      <c r="Z1332" t="s">
        <v>6037</v>
      </c>
      <c r="AA1332" s="2">
        <v>1000</v>
      </c>
      <c r="AB1332" t="s">
        <v>5863</v>
      </c>
      <c r="AC1332" t="s">
        <v>9981</v>
      </c>
      <c r="AD1332" s="32">
        <v>43257</v>
      </c>
      <c r="AJ1332" t="s">
        <v>9964</v>
      </c>
      <c r="AL1332" t="s">
        <v>11388</v>
      </c>
    </row>
    <row r="1333" spans="1:38">
      <c r="A1333" t="s">
        <v>9363</v>
      </c>
      <c r="B1333" t="s">
        <v>12578</v>
      </c>
      <c r="C1333" t="s">
        <v>7798</v>
      </c>
      <c r="D1333" t="s">
        <v>7799</v>
      </c>
      <c r="E1333" s="2">
        <v>428</v>
      </c>
      <c r="F1333" s="2">
        <v>428</v>
      </c>
      <c r="G1333" s="3">
        <v>43281</v>
      </c>
      <c r="H1333" s="4">
        <v>0.56592592592593005</v>
      </c>
      <c r="I1333" s="3">
        <v>43281</v>
      </c>
      <c r="J1333" s="4">
        <v>0.59834490740740998</v>
      </c>
      <c r="K1333" s="2">
        <v>4</v>
      </c>
      <c r="L1333" t="s">
        <v>5856</v>
      </c>
      <c r="M1333" t="s">
        <v>9365</v>
      </c>
      <c r="N1333" s="3">
        <v>43305</v>
      </c>
      <c r="O1333" s="3">
        <v>43283</v>
      </c>
      <c r="P1333" t="s">
        <v>5862</v>
      </c>
      <c r="Q1333" t="s">
        <v>6038</v>
      </c>
      <c r="R1333" t="s">
        <v>6039</v>
      </c>
      <c r="S1333" s="3"/>
      <c r="T1333" t="s">
        <v>9938</v>
      </c>
      <c r="U1333" t="s">
        <v>7800</v>
      </c>
      <c r="V1333" t="s">
        <v>7801</v>
      </c>
      <c r="W1333" t="s">
        <v>6038</v>
      </c>
      <c r="X1333" s="2">
        <v>0</v>
      </c>
      <c r="Y1333" t="s">
        <v>5858</v>
      </c>
      <c r="Z1333" t="s">
        <v>6037</v>
      </c>
      <c r="AA1333" s="2">
        <v>400</v>
      </c>
      <c r="AB1333" t="s">
        <v>5863</v>
      </c>
      <c r="AC1333" t="s">
        <v>9981</v>
      </c>
      <c r="AD1333" s="32">
        <v>43263</v>
      </c>
      <c r="AJ1333" t="s">
        <v>9964</v>
      </c>
      <c r="AL1333" t="s">
        <v>11389</v>
      </c>
    </row>
    <row r="1334" spans="1:38">
      <c r="A1334" t="s">
        <v>9363</v>
      </c>
      <c r="B1334" t="s">
        <v>12579</v>
      </c>
      <c r="C1334" t="s">
        <v>8020</v>
      </c>
      <c r="D1334" t="s">
        <v>8021</v>
      </c>
      <c r="E1334" s="2">
        <v>1070</v>
      </c>
      <c r="F1334" s="2">
        <v>1070</v>
      </c>
      <c r="G1334" s="3">
        <v>43301</v>
      </c>
      <c r="H1334" s="4">
        <v>0.70302083333332999</v>
      </c>
      <c r="I1334" s="3">
        <v>43301</v>
      </c>
      <c r="J1334" s="4">
        <v>0.78408564814814996</v>
      </c>
      <c r="K1334" s="2">
        <v>0</v>
      </c>
      <c r="L1334" t="s">
        <v>5856</v>
      </c>
      <c r="M1334" t="s">
        <v>9364</v>
      </c>
      <c r="N1334" s="3"/>
      <c r="O1334" s="3">
        <v>43303</v>
      </c>
      <c r="P1334" t="s">
        <v>9218</v>
      </c>
      <c r="Q1334" t="s">
        <v>9366</v>
      </c>
      <c r="R1334" t="s">
        <v>6036</v>
      </c>
      <c r="S1334" s="3">
        <v>43300</v>
      </c>
      <c r="T1334" t="s">
        <v>9938</v>
      </c>
      <c r="U1334" t="s">
        <v>8023</v>
      </c>
      <c r="V1334" t="s">
        <v>8024</v>
      </c>
      <c r="W1334" t="s">
        <v>5914</v>
      </c>
      <c r="X1334" s="2">
        <v>0</v>
      </c>
      <c r="Y1334" t="s">
        <v>5858</v>
      </c>
      <c r="Z1334" t="s">
        <v>6037</v>
      </c>
      <c r="AA1334" s="2">
        <v>1000</v>
      </c>
      <c r="AB1334" t="s">
        <v>5861</v>
      </c>
      <c r="AC1334" t="s">
        <v>9981</v>
      </c>
      <c r="AD1334" s="32"/>
      <c r="AJ1334" t="s">
        <v>9962</v>
      </c>
      <c r="AL1334" t="s">
        <v>11390</v>
      </c>
    </row>
    <row r="1335" spans="1:38">
      <c r="A1335" t="s">
        <v>9363</v>
      </c>
      <c r="B1335" t="s">
        <v>13558</v>
      </c>
      <c r="C1335" t="s">
        <v>6761</v>
      </c>
      <c r="D1335" t="s">
        <v>6762</v>
      </c>
      <c r="E1335" s="2">
        <v>3424</v>
      </c>
      <c r="F1335" s="2">
        <v>3424</v>
      </c>
      <c r="G1335" s="3">
        <v>43309</v>
      </c>
      <c r="H1335" s="4">
        <v>0.74060185185185001</v>
      </c>
      <c r="I1335" s="3">
        <v>43310</v>
      </c>
      <c r="J1335" s="4">
        <v>0</v>
      </c>
      <c r="K1335" s="2">
        <v>20</v>
      </c>
      <c r="L1335" t="s">
        <v>5856</v>
      </c>
      <c r="M1335" t="s">
        <v>13559</v>
      </c>
      <c r="N1335" s="3">
        <v>43312</v>
      </c>
      <c r="O1335" s="3">
        <v>43311</v>
      </c>
      <c r="P1335" t="s">
        <v>5862</v>
      </c>
      <c r="Q1335" t="s">
        <v>13560</v>
      </c>
      <c r="R1335" t="s">
        <v>6036</v>
      </c>
      <c r="S1335" s="3">
        <v>43312</v>
      </c>
      <c r="T1335" t="s">
        <v>9938</v>
      </c>
      <c r="U1335" t="s">
        <v>6555</v>
      </c>
      <c r="V1335" t="s">
        <v>6765</v>
      </c>
      <c r="W1335" t="s">
        <v>5857</v>
      </c>
      <c r="X1335" s="2">
        <v>550</v>
      </c>
      <c r="Y1335" t="s">
        <v>5858</v>
      </c>
      <c r="Z1335" t="s">
        <v>6037</v>
      </c>
      <c r="AA1335" s="2">
        <v>3200</v>
      </c>
      <c r="AB1335" t="s">
        <v>5863</v>
      </c>
      <c r="AC1335" t="s">
        <v>9978</v>
      </c>
      <c r="AD1335" s="32">
        <v>43280</v>
      </c>
      <c r="AJ1335" t="s">
        <v>9958</v>
      </c>
      <c r="AL1335" t="s">
        <v>14223</v>
      </c>
    </row>
    <row r="1336" spans="1:38">
      <c r="A1336" t="s">
        <v>9367</v>
      </c>
      <c r="B1336" t="s">
        <v>13561</v>
      </c>
      <c r="C1336" t="s">
        <v>9371</v>
      </c>
      <c r="D1336" t="s">
        <v>9372</v>
      </c>
      <c r="E1336" s="2">
        <v>2140</v>
      </c>
      <c r="F1336" s="2">
        <v>2140</v>
      </c>
      <c r="G1336" s="3">
        <v>43285</v>
      </c>
      <c r="H1336" s="4">
        <v>0.83787037037037004</v>
      </c>
      <c r="I1336" s="3">
        <v>43285</v>
      </c>
      <c r="J1336" s="4">
        <v>0.99998842592592996</v>
      </c>
      <c r="K1336" s="2">
        <v>8</v>
      </c>
      <c r="L1336" t="s">
        <v>5856</v>
      </c>
      <c r="M1336" t="s">
        <v>9373</v>
      </c>
      <c r="N1336" s="3">
        <v>43284</v>
      </c>
      <c r="O1336" s="3">
        <v>43287</v>
      </c>
      <c r="P1336" t="s">
        <v>5967</v>
      </c>
      <c r="Q1336" t="s">
        <v>9374</v>
      </c>
      <c r="R1336" t="s">
        <v>6036</v>
      </c>
      <c r="S1336" s="3">
        <v>43284</v>
      </c>
      <c r="T1336" t="s">
        <v>9938</v>
      </c>
      <c r="U1336" t="s">
        <v>7909</v>
      </c>
      <c r="V1336" t="s">
        <v>9375</v>
      </c>
      <c r="W1336" t="s">
        <v>6038</v>
      </c>
      <c r="X1336" s="2">
        <v>550</v>
      </c>
      <c r="Y1336" t="s">
        <v>5858</v>
      </c>
      <c r="Z1336" t="s">
        <v>6037</v>
      </c>
      <c r="AA1336" s="2">
        <v>2000</v>
      </c>
      <c r="AB1336" t="s">
        <v>5863</v>
      </c>
      <c r="AC1336" t="s">
        <v>9981</v>
      </c>
      <c r="AD1336" s="32">
        <v>43280</v>
      </c>
      <c r="AJ1336" t="s">
        <v>9967</v>
      </c>
      <c r="AL1336" t="s">
        <v>14224</v>
      </c>
    </row>
    <row r="1337" spans="1:38">
      <c r="A1337" t="s">
        <v>9367</v>
      </c>
      <c r="B1337" t="s">
        <v>12581</v>
      </c>
      <c r="C1337" t="s">
        <v>9386</v>
      </c>
      <c r="D1337" t="s">
        <v>9387</v>
      </c>
      <c r="E1337" s="2">
        <v>749</v>
      </c>
      <c r="F1337" s="2">
        <v>749</v>
      </c>
      <c r="G1337" s="3">
        <v>43286</v>
      </c>
      <c r="H1337" s="4">
        <v>8.3333333333329998E-2</v>
      </c>
      <c r="I1337" s="3">
        <v>43286</v>
      </c>
      <c r="J1337" s="4">
        <v>0.14008101851852001</v>
      </c>
      <c r="K1337" s="2">
        <v>0</v>
      </c>
      <c r="L1337" t="s">
        <v>5856</v>
      </c>
      <c r="M1337" t="s">
        <v>9388</v>
      </c>
      <c r="N1337" s="3">
        <v>43290</v>
      </c>
      <c r="O1337" s="3">
        <v>43288</v>
      </c>
      <c r="P1337" t="s">
        <v>9131</v>
      </c>
      <c r="Q1337" t="s">
        <v>9389</v>
      </c>
      <c r="R1337" t="s">
        <v>6036</v>
      </c>
      <c r="S1337" s="3">
        <v>43290</v>
      </c>
      <c r="T1337" t="s">
        <v>9938</v>
      </c>
      <c r="U1337" t="s">
        <v>7962</v>
      </c>
      <c r="V1337" t="s">
        <v>9390</v>
      </c>
      <c r="W1337" t="s">
        <v>5914</v>
      </c>
      <c r="X1337" s="2">
        <v>550</v>
      </c>
      <c r="Y1337" t="s">
        <v>5858</v>
      </c>
      <c r="Z1337" t="s">
        <v>6037</v>
      </c>
      <c r="AA1337" s="2">
        <v>700</v>
      </c>
      <c r="AB1337" t="s">
        <v>5859</v>
      </c>
      <c r="AC1337" t="s">
        <v>9981</v>
      </c>
      <c r="AD1337" s="32">
        <v>43277</v>
      </c>
      <c r="AJ1337" t="s">
        <v>9967</v>
      </c>
      <c r="AL1337" t="s">
        <v>11391</v>
      </c>
    </row>
    <row r="1338" spans="1:38">
      <c r="A1338" t="s">
        <v>9367</v>
      </c>
      <c r="B1338" t="s">
        <v>12580</v>
      </c>
      <c r="C1338" t="s">
        <v>9381</v>
      </c>
      <c r="D1338" t="s">
        <v>9382</v>
      </c>
      <c r="E1338" s="5">
        <v>19741.5</v>
      </c>
      <c r="F1338" s="5">
        <v>19741.5</v>
      </c>
      <c r="G1338" s="3">
        <v>43286</v>
      </c>
      <c r="H1338" s="4">
        <v>0.16091435185184999</v>
      </c>
      <c r="I1338" s="3">
        <v>43287</v>
      </c>
      <c r="J1338" s="4">
        <v>0.65648148148148</v>
      </c>
      <c r="K1338" s="2">
        <v>0</v>
      </c>
      <c r="L1338" t="s">
        <v>5856</v>
      </c>
      <c r="M1338" t="s">
        <v>13562</v>
      </c>
      <c r="N1338" s="3">
        <v>43290</v>
      </c>
      <c r="O1338" s="3">
        <v>43289</v>
      </c>
      <c r="P1338" t="s">
        <v>5870</v>
      </c>
      <c r="Q1338" t="s">
        <v>9383</v>
      </c>
      <c r="R1338" t="s">
        <v>6036</v>
      </c>
      <c r="S1338" s="3">
        <v>43290</v>
      </c>
      <c r="T1338" t="s">
        <v>9938</v>
      </c>
      <c r="U1338" t="s">
        <v>9384</v>
      </c>
      <c r="V1338" t="s">
        <v>9385</v>
      </c>
      <c r="W1338" t="s">
        <v>5857</v>
      </c>
      <c r="X1338" s="2">
        <v>550</v>
      </c>
      <c r="Y1338" t="s">
        <v>5858</v>
      </c>
      <c r="Z1338" t="s">
        <v>6037</v>
      </c>
      <c r="AA1338" s="2">
        <v>18450</v>
      </c>
      <c r="AB1338" t="s">
        <v>5859</v>
      </c>
      <c r="AC1338" t="s">
        <v>9974</v>
      </c>
      <c r="AD1338" s="32">
        <v>43263</v>
      </c>
      <c r="AJ1338" t="s">
        <v>9967</v>
      </c>
      <c r="AL1338" t="s">
        <v>14225</v>
      </c>
    </row>
    <row r="1339" spans="1:38">
      <c r="A1339" t="s">
        <v>9367</v>
      </c>
      <c r="B1339" t="s">
        <v>12582</v>
      </c>
      <c r="C1339" t="s">
        <v>9392</v>
      </c>
      <c r="D1339" t="s">
        <v>9393</v>
      </c>
      <c r="E1339" s="5">
        <v>2632.2</v>
      </c>
      <c r="F1339" s="5">
        <v>2632.2</v>
      </c>
      <c r="G1339" s="3">
        <v>43288</v>
      </c>
      <c r="H1339" s="4">
        <v>0.87460648148148001</v>
      </c>
      <c r="I1339" s="3">
        <v>43290</v>
      </c>
      <c r="J1339" s="4">
        <v>7.4016203703700004E-2</v>
      </c>
      <c r="K1339" s="2">
        <v>0</v>
      </c>
      <c r="L1339" t="s">
        <v>5856</v>
      </c>
      <c r="M1339" t="s">
        <v>13563</v>
      </c>
      <c r="N1339" s="3">
        <v>43292</v>
      </c>
      <c r="O1339" s="3">
        <v>43292</v>
      </c>
      <c r="P1339" t="s">
        <v>9394</v>
      </c>
      <c r="Q1339" t="s">
        <v>9395</v>
      </c>
      <c r="R1339" t="s">
        <v>6036</v>
      </c>
      <c r="S1339" s="3">
        <v>43292</v>
      </c>
      <c r="T1339" t="s">
        <v>9938</v>
      </c>
      <c r="U1339" t="s">
        <v>8006</v>
      </c>
      <c r="V1339" t="s">
        <v>9396</v>
      </c>
      <c r="W1339" t="s">
        <v>5914</v>
      </c>
      <c r="X1339" s="2">
        <v>550</v>
      </c>
      <c r="Y1339" t="s">
        <v>5858</v>
      </c>
      <c r="Z1339" t="s">
        <v>6037</v>
      </c>
      <c r="AA1339" s="2">
        <v>2460</v>
      </c>
      <c r="AB1339" t="s">
        <v>5859</v>
      </c>
      <c r="AC1339" t="s">
        <v>9981</v>
      </c>
      <c r="AD1339" s="32">
        <v>43273</v>
      </c>
      <c r="AJ1339" t="s">
        <v>9967</v>
      </c>
      <c r="AL1339" t="s">
        <v>11392</v>
      </c>
    </row>
    <row r="1340" spans="1:38">
      <c r="A1340" t="s">
        <v>9367</v>
      </c>
      <c r="B1340" t="s">
        <v>12583</v>
      </c>
      <c r="C1340" t="s">
        <v>7819</v>
      </c>
      <c r="D1340" t="s">
        <v>7820</v>
      </c>
      <c r="E1340" s="2">
        <v>963</v>
      </c>
      <c r="F1340" s="2">
        <v>963</v>
      </c>
      <c r="G1340" s="3">
        <v>43290</v>
      </c>
      <c r="H1340" s="4">
        <v>9.4849537037039994E-2</v>
      </c>
      <c r="I1340" s="3">
        <v>43290</v>
      </c>
      <c r="J1340" s="4">
        <v>0.16780092592592999</v>
      </c>
      <c r="K1340" s="2">
        <v>0</v>
      </c>
      <c r="L1340" t="s">
        <v>5856</v>
      </c>
      <c r="M1340" t="s">
        <v>13564</v>
      </c>
      <c r="N1340" s="3">
        <v>43291</v>
      </c>
      <c r="O1340" s="3">
        <v>43292</v>
      </c>
      <c r="P1340" t="s">
        <v>5960</v>
      </c>
      <c r="Q1340" t="s">
        <v>9397</v>
      </c>
      <c r="R1340" t="s">
        <v>6036</v>
      </c>
      <c r="S1340" s="3">
        <v>43291</v>
      </c>
      <c r="T1340" t="s">
        <v>9938</v>
      </c>
      <c r="U1340" t="s">
        <v>7823</v>
      </c>
      <c r="V1340" t="s">
        <v>7824</v>
      </c>
      <c r="W1340" t="s">
        <v>5857</v>
      </c>
      <c r="X1340" s="2">
        <v>550</v>
      </c>
      <c r="Y1340" t="s">
        <v>5858</v>
      </c>
      <c r="Z1340" t="s">
        <v>6037</v>
      </c>
      <c r="AA1340" s="2">
        <v>900</v>
      </c>
      <c r="AB1340" t="s">
        <v>5859</v>
      </c>
      <c r="AC1340" t="s">
        <v>9976</v>
      </c>
      <c r="AD1340" s="32">
        <v>43270</v>
      </c>
      <c r="AJ1340" t="s">
        <v>9967</v>
      </c>
      <c r="AL1340" t="s">
        <v>14226</v>
      </c>
    </row>
    <row r="1341" spans="1:38">
      <c r="A1341" t="s">
        <v>9367</v>
      </c>
      <c r="B1341" t="s">
        <v>12584</v>
      </c>
      <c r="C1341" t="s">
        <v>9398</v>
      </c>
      <c r="D1341" t="s">
        <v>9399</v>
      </c>
      <c r="E1341" s="2">
        <v>5000</v>
      </c>
      <c r="F1341" s="2">
        <v>5000</v>
      </c>
      <c r="G1341" s="3">
        <v>43290</v>
      </c>
      <c r="H1341" s="4">
        <v>0.18863425925926</v>
      </c>
      <c r="I1341" s="3">
        <v>43290</v>
      </c>
      <c r="J1341" s="4">
        <v>0.56741898148147996</v>
      </c>
      <c r="K1341" s="2">
        <v>0</v>
      </c>
      <c r="L1341" t="s">
        <v>5856</v>
      </c>
      <c r="M1341" t="s">
        <v>9400</v>
      </c>
      <c r="N1341" s="3">
        <v>43292</v>
      </c>
      <c r="O1341" s="3">
        <v>43292</v>
      </c>
      <c r="P1341" t="s">
        <v>5952</v>
      </c>
      <c r="Q1341" t="s">
        <v>9401</v>
      </c>
      <c r="R1341" t="s">
        <v>6036</v>
      </c>
      <c r="S1341" s="3">
        <v>43292</v>
      </c>
      <c r="T1341" t="s">
        <v>9938</v>
      </c>
      <c r="U1341" t="s">
        <v>8016</v>
      </c>
      <c r="V1341" t="s">
        <v>9402</v>
      </c>
      <c r="W1341" t="s">
        <v>5857</v>
      </c>
      <c r="X1341" s="2">
        <v>550</v>
      </c>
      <c r="Y1341" t="s">
        <v>5858</v>
      </c>
      <c r="Z1341" t="s">
        <v>6037</v>
      </c>
      <c r="AA1341" s="2">
        <v>5000</v>
      </c>
      <c r="AB1341" t="s">
        <v>5863</v>
      </c>
      <c r="AC1341" t="s">
        <v>9974</v>
      </c>
      <c r="AD1341" s="32">
        <v>43264</v>
      </c>
      <c r="AI1341" t="s">
        <v>9943</v>
      </c>
      <c r="AJ1341" t="s">
        <v>9967</v>
      </c>
      <c r="AL1341" t="s">
        <v>11393</v>
      </c>
    </row>
    <row r="1342" spans="1:38">
      <c r="A1342" t="s">
        <v>9367</v>
      </c>
      <c r="B1342" t="s">
        <v>12004</v>
      </c>
      <c r="C1342" t="s">
        <v>8008</v>
      </c>
      <c r="D1342" t="s">
        <v>8009</v>
      </c>
      <c r="E1342" s="5">
        <v>21239.501</v>
      </c>
      <c r="F1342" s="5">
        <v>21239.501</v>
      </c>
      <c r="G1342" s="3">
        <v>43290</v>
      </c>
      <c r="H1342" s="4">
        <v>0.51472222222221997</v>
      </c>
      <c r="I1342" s="3">
        <v>43297</v>
      </c>
      <c r="J1342" s="4">
        <v>0.12376157407407</v>
      </c>
      <c r="K1342" s="2">
        <v>20</v>
      </c>
      <c r="L1342" t="s">
        <v>5856</v>
      </c>
      <c r="M1342" t="s">
        <v>13565</v>
      </c>
      <c r="N1342" s="3">
        <v>43293</v>
      </c>
      <c r="O1342" s="3">
        <v>43299</v>
      </c>
      <c r="P1342" t="s">
        <v>5952</v>
      </c>
      <c r="Q1342" t="s">
        <v>8075</v>
      </c>
      <c r="R1342" t="s">
        <v>6036</v>
      </c>
      <c r="S1342" s="3">
        <v>43293</v>
      </c>
      <c r="T1342" t="s">
        <v>9938</v>
      </c>
      <c r="U1342" t="s">
        <v>5906</v>
      </c>
      <c r="V1342" t="s">
        <v>8012</v>
      </c>
      <c r="W1342" t="s">
        <v>5857</v>
      </c>
      <c r="X1342" s="2">
        <v>550</v>
      </c>
      <c r="Y1342" t="s">
        <v>5858</v>
      </c>
      <c r="Z1342" t="s">
        <v>6037</v>
      </c>
      <c r="AA1342" s="2">
        <v>19850</v>
      </c>
      <c r="AB1342" t="s">
        <v>5863</v>
      </c>
      <c r="AC1342" t="s">
        <v>9974</v>
      </c>
      <c r="AD1342" s="32">
        <v>43265</v>
      </c>
      <c r="AI1342" t="s">
        <v>9943</v>
      </c>
      <c r="AJ1342" t="s">
        <v>9967</v>
      </c>
      <c r="AL1342" t="s">
        <v>14227</v>
      </c>
    </row>
    <row r="1343" spans="1:38">
      <c r="A1343" t="s">
        <v>9367</v>
      </c>
      <c r="B1343" t="s">
        <v>12585</v>
      </c>
      <c r="C1343" t="s">
        <v>9403</v>
      </c>
      <c r="D1343" t="s">
        <v>9404</v>
      </c>
      <c r="E1343" s="5">
        <v>1043.25</v>
      </c>
      <c r="F1343" s="5">
        <v>1043.25</v>
      </c>
      <c r="G1343" s="3">
        <v>43290</v>
      </c>
      <c r="H1343" s="4">
        <v>0.58825231481481</v>
      </c>
      <c r="I1343" s="3">
        <v>43290</v>
      </c>
      <c r="J1343" s="4">
        <v>0.66729166666666995</v>
      </c>
      <c r="K1343" s="2">
        <v>0</v>
      </c>
      <c r="L1343" t="s">
        <v>5856</v>
      </c>
      <c r="M1343" t="s">
        <v>9405</v>
      </c>
      <c r="N1343" s="3">
        <v>43293</v>
      </c>
      <c r="O1343" s="3">
        <v>43292</v>
      </c>
      <c r="P1343" t="s">
        <v>5862</v>
      </c>
      <c r="Q1343" t="s">
        <v>9406</v>
      </c>
      <c r="R1343" t="s">
        <v>6036</v>
      </c>
      <c r="S1343" s="3">
        <v>43293</v>
      </c>
      <c r="T1343" t="s">
        <v>9938</v>
      </c>
      <c r="U1343" t="s">
        <v>7909</v>
      </c>
      <c r="V1343" t="s">
        <v>9407</v>
      </c>
      <c r="W1343" t="s">
        <v>5857</v>
      </c>
      <c r="X1343" s="2">
        <v>550</v>
      </c>
      <c r="Y1343" t="s">
        <v>5858</v>
      </c>
      <c r="Z1343" t="s">
        <v>6037</v>
      </c>
      <c r="AA1343" s="2">
        <v>975</v>
      </c>
      <c r="AB1343" t="s">
        <v>5863</v>
      </c>
      <c r="AC1343" t="s">
        <v>9981</v>
      </c>
      <c r="AD1343" s="32">
        <v>43272</v>
      </c>
      <c r="AJ1343" t="s">
        <v>9967</v>
      </c>
      <c r="AL1343" t="s">
        <v>11394</v>
      </c>
    </row>
    <row r="1344" spans="1:38">
      <c r="A1344" t="s">
        <v>9367</v>
      </c>
      <c r="B1344" t="s">
        <v>13566</v>
      </c>
      <c r="C1344" t="s">
        <v>9376</v>
      </c>
      <c r="D1344" t="s">
        <v>9377</v>
      </c>
      <c r="E1344" s="2">
        <v>535</v>
      </c>
      <c r="F1344" s="2">
        <v>535</v>
      </c>
      <c r="G1344" s="3">
        <v>43290</v>
      </c>
      <c r="H1344" s="4">
        <v>0.85270833333332996</v>
      </c>
      <c r="I1344" s="3">
        <v>43290</v>
      </c>
      <c r="J1344" s="4">
        <v>0.89324074074074</v>
      </c>
      <c r="K1344" s="2">
        <v>0</v>
      </c>
      <c r="L1344" t="s">
        <v>5856</v>
      </c>
      <c r="M1344" t="s">
        <v>9380</v>
      </c>
      <c r="N1344" s="3">
        <v>43300</v>
      </c>
      <c r="O1344" s="3">
        <v>43297</v>
      </c>
      <c r="P1344" t="s">
        <v>6021</v>
      </c>
      <c r="Q1344" t="s">
        <v>13567</v>
      </c>
      <c r="R1344" t="s">
        <v>6036</v>
      </c>
      <c r="S1344" s="3">
        <v>43300</v>
      </c>
      <c r="T1344" t="s">
        <v>9938</v>
      </c>
      <c r="U1344" t="s">
        <v>9252</v>
      </c>
      <c r="V1344" t="s">
        <v>9378</v>
      </c>
      <c r="W1344" t="s">
        <v>5857</v>
      </c>
      <c r="X1344" s="2">
        <v>550</v>
      </c>
      <c r="Y1344" t="s">
        <v>5858</v>
      </c>
      <c r="Z1344" t="s">
        <v>6037</v>
      </c>
      <c r="AA1344" s="2">
        <v>500</v>
      </c>
      <c r="AB1344" t="s">
        <v>5863</v>
      </c>
      <c r="AC1344" t="s">
        <v>9981</v>
      </c>
      <c r="AD1344" s="32">
        <v>43279</v>
      </c>
      <c r="AJ1344" t="s">
        <v>9967</v>
      </c>
      <c r="AL1344" t="s">
        <v>14228</v>
      </c>
    </row>
    <row r="1345" spans="1:38">
      <c r="A1345" t="s">
        <v>9367</v>
      </c>
      <c r="B1345" t="s">
        <v>12586</v>
      </c>
      <c r="C1345" t="s">
        <v>9408</v>
      </c>
      <c r="D1345" t="s">
        <v>9409</v>
      </c>
      <c r="E1345" s="5">
        <v>4253.25</v>
      </c>
      <c r="F1345" s="5">
        <v>4253.25</v>
      </c>
      <c r="G1345" s="3">
        <v>43294</v>
      </c>
      <c r="H1345" s="4">
        <v>0.99998842592592996</v>
      </c>
      <c r="I1345" s="3">
        <v>43295</v>
      </c>
      <c r="J1345" s="4">
        <v>0.32219907407407</v>
      </c>
      <c r="K1345" s="2">
        <v>0</v>
      </c>
      <c r="L1345" t="s">
        <v>5856</v>
      </c>
      <c r="M1345" t="s">
        <v>9410</v>
      </c>
      <c r="N1345" s="3">
        <v>43319</v>
      </c>
      <c r="O1345" s="3">
        <v>43299</v>
      </c>
      <c r="P1345" t="s">
        <v>9131</v>
      </c>
      <c r="Q1345" t="s">
        <v>9411</v>
      </c>
      <c r="R1345" t="s">
        <v>6036</v>
      </c>
      <c r="S1345" s="3">
        <v>43319</v>
      </c>
      <c r="T1345" t="s">
        <v>9938</v>
      </c>
      <c r="U1345" t="s">
        <v>9175</v>
      </c>
      <c r="V1345" t="s">
        <v>9412</v>
      </c>
      <c r="W1345" t="s">
        <v>6038</v>
      </c>
      <c r="X1345" s="2">
        <v>550</v>
      </c>
      <c r="Y1345" t="s">
        <v>5858</v>
      </c>
      <c r="Z1345" t="s">
        <v>6037</v>
      </c>
      <c r="AA1345" s="5">
        <v>4253.25</v>
      </c>
      <c r="AB1345" t="s">
        <v>5859</v>
      </c>
      <c r="AC1345" t="s">
        <v>9981</v>
      </c>
      <c r="AD1345" s="32">
        <v>43262</v>
      </c>
      <c r="AJ1345" t="s">
        <v>9967</v>
      </c>
      <c r="AL1345" t="s">
        <v>11395</v>
      </c>
    </row>
    <row r="1346" spans="1:38">
      <c r="A1346" t="s">
        <v>9367</v>
      </c>
      <c r="B1346" t="s">
        <v>12587</v>
      </c>
      <c r="C1346" t="s">
        <v>9420</v>
      </c>
      <c r="D1346" t="s">
        <v>9421</v>
      </c>
      <c r="E1346" s="5">
        <v>1524.75</v>
      </c>
      <c r="F1346" s="5">
        <v>1524.75</v>
      </c>
      <c r="G1346" s="3">
        <v>43295</v>
      </c>
      <c r="H1346" s="4">
        <v>0.65531249999999996</v>
      </c>
      <c r="I1346" s="3">
        <v>43295</v>
      </c>
      <c r="J1346" s="4">
        <v>0.77082175925926</v>
      </c>
      <c r="K1346" s="2">
        <v>0</v>
      </c>
      <c r="L1346" t="s">
        <v>5856</v>
      </c>
      <c r="M1346" t="s">
        <v>9422</v>
      </c>
      <c r="N1346" s="3">
        <v>43299</v>
      </c>
      <c r="O1346" s="3">
        <v>43297</v>
      </c>
      <c r="P1346" t="s">
        <v>5862</v>
      </c>
      <c r="Q1346" t="s">
        <v>9423</v>
      </c>
      <c r="R1346" t="s">
        <v>6036</v>
      </c>
      <c r="S1346" s="3">
        <v>43299</v>
      </c>
      <c r="T1346" t="s">
        <v>9938</v>
      </c>
      <c r="U1346" t="s">
        <v>5906</v>
      </c>
      <c r="V1346" t="s">
        <v>9424</v>
      </c>
      <c r="W1346" t="s">
        <v>6038</v>
      </c>
      <c r="X1346" s="2">
        <v>550</v>
      </c>
      <c r="Y1346" t="s">
        <v>5858</v>
      </c>
      <c r="Z1346" t="s">
        <v>6037</v>
      </c>
      <c r="AA1346" s="2">
        <v>1425</v>
      </c>
      <c r="AB1346" t="s">
        <v>5863</v>
      </c>
      <c r="AC1346" t="s">
        <v>9974</v>
      </c>
      <c r="AD1346" s="32">
        <v>43271</v>
      </c>
      <c r="AJ1346" t="s">
        <v>9967</v>
      </c>
      <c r="AL1346" t="s">
        <v>11396</v>
      </c>
    </row>
    <row r="1347" spans="1:38">
      <c r="A1347" t="s">
        <v>9367</v>
      </c>
      <c r="B1347" t="s">
        <v>12589</v>
      </c>
      <c r="C1347" t="s">
        <v>9392</v>
      </c>
      <c r="D1347" t="s">
        <v>9393</v>
      </c>
      <c r="E1347" s="2">
        <v>2140</v>
      </c>
      <c r="F1347" s="2">
        <v>2140</v>
      </c>
      <c r="G1347" s="3">
        <v>43297</v>
      </c>
      <c r="H1347" s="4">
        <v>0.40295138888888998</v>
      </c>
      <c r="I1347" s="3">
        <v>43297</v>
      </c>
      <c r="J1347" s="4">
        <v>0.56506944444443996</v>
      </c>
      <c r="K1347" s="2">
        <v>0</v>
      </c>
      <c r="L1347" t="s">
        <v>5856</v>
      </c>
      <c r="M1347" t="s">
        <v>9373</v>
      </c>
      <c r="N1347" s="3">
        <v>43301</v>
      </c>
      <c r="O1347" s="3">
        <v>43299</v>
      </c>
      <c r="P1347" t="s">
        <v>9394</v>
      </c>
      <c r="Q1347" t="s">
        <v>9430</v>
      </c>
      <c r="R1347" t="s">
        <v>6036</v>
      </c>
      <c r="S1347" s="3">
        <v>43301</v>
      </c>
      <c r="T1347" t="s">
        <v>9938</v>
      </c>
      <c r="U1347" t="s">
        <v>8006</v>
      </c>
      <c r="V1347" t="s">
        <v>9396</v>
      </c>
      <c r="W1347" t="s">
        <v>5914</v>
      </c>
      <c r="X1347" s="2">
        <v>550</v>
      </c>
      <c r="Y1347" t="s">
        <v>5858</v>
      </c>
      <c r="Z1347" t="s">
        <v>6037</v>
      </c>
      <c r="AA1347" s="2">
        <v>2000</v>
      </c>
      <c r="AB1347" t="s">
        <v>5863</v>
      </c>
      <c r="AC1347" t="s">
        <v>9981</v>
      </c>
      <c r="AD1347" s="32">
        <v>43279</v>
      </c>
      <c r="AJ1347" t="s">
        <v>9967</v>
      </c>
      <c r="AL1347" t="s">
        <v>11397</v>
      </c>
    </row>
    <row r="1348" spans="1:38">
      <c r="A1348" t="s">
        <v>9367</v>
      </c>
      <c r="B1348" t="s">
        <v>12590</v>
      </c>
      <c r="C1348" t="s">
        <v>7819</v>
      </c>
      <c r="D1348" t="s">
        <v>7820</v>
      </c>
      <c r="E1348" s="2">
        <v>1391</v>
      </c>
      <c r="F1348" s="2">
        <v>1391</v>
      </c>
      <c r="G1348" s="3">
        <v>43297</v>
      </c>
      <c r="H1348" s="4">
        <v>0.58590277777777999</v>
      </c>
      <c r="I1348" s="3">
        <v>43297</v>
      </c>
      <c r="J1348" s="4">
        <v>0.69128472222222004</v>
      </c>
      <c r="K1348" s="2">
        <v>0</v>
      </c>
      <c r="L1348" t="s">
        <v>5856</v>
      </c>
      <c r="M1348" t="s">
        <v>9431</v>
      </c>
      <c r="N1348" s="3">
        <v>43300</v>
      </c>
      <c r="O1348" s="3">
        <v>43299</v>
      </c>
      <c r="P1348" t="s">
        <v>5960</v>
      </c>
      <c r="Q1348" t="s">
        <v>9432</v>
      </c>
      <c r="R1348" t="s">
        <v>6036</v>
      </c>
      <c r="S1348" s="3">
        <v>43300</v>
      </c>
      <c r="T1348" t="s">
        <v>9938</v>
      </c>
      <c r="U1348" t="s">
        <v>7823</v>
      </c>
      <c r="V1348" t="s">
        <v>7824</v>
      </c>
      <c r="W1348" t="s">
        <v>5857</v>
      </c>
      <c r="X1348" s="2">
        <v>550</v>
      </c>
      <c r="Y1348" t="s">
        <v>5858</v>
      </c>
      <c r="Z1348" t="s">
        <v>6037</v>
      </c>
      <c r="AA1348" s="2">
        <v>1300</v>
      </c>
      <c r="AB1348" t="s">
        <v>5863</v>
      </c>
      <c r="AC1348" t="s">
        <v>9976</v>
      </c>
      <c r="AD1348" s="32">
        <v>43277</v>
      </c>
      <c r="AJ1348" t="s">
        <v>9967</v>
      </c>
      <c r="AL1348" t="s">
        <v>11398</v>
      </c>
    </row>
    <row r="1349" spans="1:38">
      <c r="A1349" t="s">
        <v>9367</v>
      </c>
      <c r="B1349" t="s">
        <v>12591</v>
      </c>
      <c r="C1349" t="s">
        <v>9433</v>
      </c>
      <c r="D1349" t="s">
        <v>9434</v>
      </c>
      <c r="E1349" s="2">
        <v>3025</v>
      </c>
      <c r="F1349" s="2">
        <v>3025</v>
      </c>
      <c r="G1349" s="3">
        <v>43297</v>
      </c>
      <c r="H1349" s="4">
        <v>0.71211805555555996</v>
      </c>
      <c r="I1349" s="3">
        <v>43297</v>
      </c>
      <c r="J1349" s="4">
        <v>0.94128472222222004</v>
      </c>
      <c r="K1349" s="2">
        <v>20</v>
      </c>
      <c r="L1349" t="s">
        <v>5856</v>
      </c>
      <c r="M1349" t="s">
        <v>9435</v>
      </c>
      <c r="N1349" s="3">
        <v>43300</v>
      </c>
      <c r="O1349" s="3">
        <v>43299</v>
      </c>
      <c r="P1349" t="s">
        <v>5862</v>
      </c>
      <c r="Q1349" t="s">
        <v>9436</v>
      </c>
      <c r="R1349" t="s">
        <v>6036</v>
      </c>
      <c r="S1349" s="3">
        <v>43300</v>
      </c>
      <c r="T1349" t="s">
        <v>9938</v>
      </c>
      <c r="U1349" t="s">
        <v>6555</v>
      </c>
      <c r="V1349" t="s">
        <v>9437</v>
      </c>
      <c r="W1349" t="s">
        <v>5857</v>
      </c>
      <c r="X1349" s="2">
        <v>550</v>
      </c>
      <c r="Y1349" t="s">
        <v>5858</v>
      </c>
      <c r="Z1349" t="s">
        <v>6037</v>
      </c>
      <c r="AA1349" s="2">
        <v>3025</v>
      </c>
      <c r="AB1349" t="s">
        <v>5863</v>
      </c>
      <c r="AC1349" t="s">
        <v>9978</v>
      </c>
      <c r="AD1349" s="32">
        <v>43264</v>
      </c>
      <c r="AJ1349" t="s">
        <v>9958</v>
      </c>
      <c r="AL1349" t="s">
        <v>11399</v>
      </c>
    </row>
    <row r="1350" spans="1:38">
      <c r="A1350" t="s">
        <v>9367</v>
      </c>
      <c r="B1350" t="s">
        <v>12592</v>
      </c>
      <c r="C1350" t="s">
        <v>9403</v>
      </c>
      <c r="D1350" t="s">
        <v>9404</v>
      </c>
      <c r="E1350" s="2">
        <v>500</v>
      </c>
      <c r="F1350" s="2">
        <v>500</v>
      </c>
      <c r="G1350" s="3">
        <v>43297</v>
      </c>
      <c r="H1350" s="4">
        <v>0.96211805555555996</v>
      </c>
      <c r="I1350" s="3">
        <v>43298</v>
      </c>
      <c r="J1350" s="4">
        <v>0</v>
      </c>
      <c r="K1350" s="2">
        <v>20</v>
      </c>
      <c r="L1350" t="s">
        <v>5856</v>
      </c>
      <c r="M1350" t="s">
        <v>9438</v>
      </c>
      <c r="N1350" s="3">
        <v>43300</v>
      </c>
      <c r="O1350" s="3">
        <v>43299</v>
      </c>
      <c r="P1350" t="s">
        <v>5862</v>
      </c>
      <c r="Q1350" t="s">
        <v>9439</v>
      </c>
      <c r="R1350" t="s">
        <v>6036</v>
      </c>
      <c r="S1350" s="3">
        <v>43300</v>
      </c>
      <c r="T1350" t="s">
        <v>9938</v>
      </c>
      <c r="U1350" t="s">
        <v>7909</v>
      </c>
      <c r="V1350" t="s">
        <v>9407</v>
      </c>
      <c r="W1350" t="s">
        <v>5857</v>
      </c>
      <c r="X1350" s="2">
        <v>550</v>
      </c>
      <c r="Y1350" t="s">
        <v>5858</v>
      </c>
      <c r="Z1350" t="s">
        <v>6037</v>
      </c>
      <c r="AA1350" s="2">
        <v>500</v>
      </c>
      <c r="AB1350" t="s">
        <v>5863</v>
      </c>
      <c r="AC1350" t="s">
        <v>9981</v>
      </c>
      <c r="AD1350" s="32">
        <v>43263</v>
      </c>
      <c r="AJ1350" t="s">
        <v>9967</v>
      </c>
      <c r="AL1350" t="s">
        <v>11400</v>
      </c>
    </row>
    <row r="1351" spans="1:38">
      <c r="A1351" t="s">
        <v>9367</v>
      </c>
      <c r="B1351" t="s">
        <v>12593</v>
      </c>
      <c r="C1351" t="s">
        <v>9440</v>
      </c>
      <c r="D1351" t="s">
        <v>9441</v>
      </c>
      <c r="E1351" s="2">
        <v>1070</v>
      </c>
      <c r="F1351" s="2">
        <v>1070</v>
      </c>
      <c r="G1351" s="3">
        <v>43298</v>
      </c>
      <c r="H1351" s="4">
        <v>5.7187500000000002E-2</v>
      </c>
      <c r="I1351" s="3">
        <v>43298</v>
      </c>
      <c r="J1351" s="4">
        <v>0.13825231481481001</v>
      </c>
      <c r="K1351" s="2">
        <v>20</v>
      </c>
      <c r="L1351" t="s">
        <v>5856</v>
      </c>
      <c r="M1351" t="s">
        <v>9364</v>
      </c>
      <c r="N1351" s="3">
        <v>43307</v>
      </c>
      <c r="O1351" s="3">
        <v>43305</v>
      </c>
      <c r="P1351" t="s">
        <v>9394</v>
      </c>
      <c r="Q1351" t="s">
        <v>9442</v>
      </c>
      <c r="R1351" t="s">
        <v>6036</v>
      </c>
      <c r="S1351" s="3">
        <v>43307</v>
      </c>
      <c r="T1351" t="s">
        <v>9938</v>
      </c>
      <c r="U1351" t="s">
        <v>9132</v>
      </c>
      <c r="V1351" t="s">
        <v>9443</v>
      </c>
      <c r="W1351" t="s">
        <v>5914</v>
      </c>
      <c r="X1351" s="2">
        <v>550</v>
      </c>
      <c r="Y1351" t="s">
        <v>5858</v>
      </c>
      <c r="Z1351" t="s">
        <v>6037</v>
      </c>
      <c r="AA1351" s="2">
        <v>1000</v>
      </c>
      <c r="AB1351" t="s">
        <v>5863</v>
      </c>
      <c r="AC1351" t="s">
        <v>9981</v>
      </c>
      <c r="AD1351" s="32">
        <v>43279</v>
      </c>
      <c r="AJ1351" t="s">
        <v>9967</v>
      </c>
      <c r="AL1351" t="s">
        <v>11401</v>
      </c>
    </row>
    <row r="1352" spans="1:38">
      <c r="A1352" t="s">
        <v>9367</v>
      </c>
      <c r="B1352" t="s">
        <v>12594</v>
      </c>
      <c r="C1352" t="s">
        <v>9381</v>
      </c>
      <c r="D1352" t="s">
        <v>9382</v>
      </c>
      <c r="E1352" s="5">
        <v>20677.751</v>
      </c>
      <c r="F1352" s="5">
        <v>20677.751</v>
      </c>
      <c r="G1352" s="3">
        <v>43298</v>
      </c>
      <c r="H1352" s="4">
        <v>0.15908564814814999</v>
      </c>
      <c r="I1352" s="3">
        <v>43299</v>
      </c>
      <c r="J1352" s="4">
        <v>0.72557870370370003</v>
      </c>
      <c r="K1352" s="2">
        <v>0</v>
      </c>
      <c r="L1352" t="s">
        <v>5856</v>
      </c>
      <c r="M1352" t="s">
        <v>9444</v>
      </c>
      <c r="N1352" s="3">
        <v>43301</v>
      </c>
      <c r="O1352" s="3">
        <v>43301</v>
      </c>
      <c r="P1352" t="s">
        <v>5870</v>
      </c>
      <c r="Q1352" t="s">
        <v>9445</v>
      </c>
      <c r="R1352" t="s">
        <v>6036</v>
      </c>
      <c r="S1352" s="3">
        <v>43301</v>
      </c>
      <c r="T1352" t="s">
        <v>9938</v>
      </c>
      <c r="U1352" t="s">
        <v>9384</v>
      </c>
      <c r="V1352" t="s">
        <v>9385</v>
      </c>
      <c r="W1352" t="s">
        <v>5857</v>
      </c>
      <c r="X1352" s="2">
        <v>550</v>
      </c>
      <c r="Y1352" t="s">
        <v>5858</v>
      </c>
      <c r="Z1352" t="s">
        <v>6037</v>
      </c>
      <c r="AA1352" s="2">
        <v>19325</v>
      </c>
      <c r="AB1352" t="s">
        <v>5863</v>
      </c>
      <c r="AC1352" t="s">
        <v>9974</v>
      </c>
      <c r="AD1352" s="32">
        <v>43272</v>
      </c>
      <c r="AJ1352" t="s">
        <v>9967</v>
      </c>
      <c r="AL1352" t="s">
        <v>11402</v>
      </c>
    </row>
    <row r="1353" spans="1:38">
      <c r="A1353" t="s">
        <v>9367</v>
      </c>
      <c r="B1353" t="s">
        <v>12595</v>
      </c>
      <c r="C1353" t="s">
        <v>9446</v>
      </c>
      <c r="D1353" t="s">
        <v>9447</v>
      </c>
      <c r="E1353" s="2">
        <v>500</v>
      </c>
      <c r="F1353" s="2">
        <v>500</v>
      </c>
      <c r="G1353" s="3">
        <v>43298</v>
      </c>
      <c r="H1353" s="4">
        <v>0.96211805555555996</v>
      </c>
      <c r="I1353" s="3">
        <v>43299</v>
      </c>
      <c r="J1353" s="4">
        <v>0</v>
      </c>
      <c r="K1353" s="2">
        <v>0</v>
      </c>
      <c r="L1353" t="s">
        <v>5856</v>
      </c>
      <c r="M1353" t="s">
        <v>9438</v>
      </c>
      <c r="N1353" s="3">
        <v>43301</v>
      </c>
      <c r="O1353" s="3">
        <v>43300</v>
      </c>
      <c r="P1353" t="s">
        <v>5992</v>
      </c>
      <c r="Q1353" t="s">
        <v>9448</v>
      </c>
      <c r="R1353" t="s">
        <v>6036</v>
      </c>
      <c r="S1353" s="3">
        <v>43301</v>
      </c>
      <c r="T1353" t="s">
        <v>9938</v>
      </c>
      <c r="U1353" t="s">
        <v>6705</v>
      </c>
      <c r="V1353" t="s">
        <v>9449</v>
      </c>
      <c r="W1353" t="s">
        <v>5857</v>
      </c>
      <c r="X1353" s="2">
        <v>550</v>
      </c>
      <c r="Y1353" t="s">
        <v>5858</v>
      </c>
      <c r="Z1353" t="s">
        <v>6037</v>
      </c>
      <c r="AA1353" s="2">
        <v>500</v>
      </c>
      <c r="AB1353" t="s">
        <v>5863</v>
      </c>
      <c r="AC1353" t="s">
        <v>9976</v>
      </c>
      <c r="AD1353" s="32">
        <v>43257</v>
      </c>
      <c r="AI1353" t="s">
        <v>9946</v>
      </c>
      <c r="AJ1353" t="s">
        <v>9958</v>
      </c>
      <c r="AL1353" t="s">
        <v>11403</v>
      </c>
    </row>
    <row r="1354" spans="1:38">
      <c r="A1354" t="s">
        <v>9367</v>
      </c>
      <c r="B1354" t="s">
        <v>12596</v>
      </c>
      <c r="C1354" t="s">
        <v>9450</v>
      </c>
      <c r="D1354" t="s">
        <v>9451</v>
      </c>
      <c r="E1354" s="5">
        <v>1412.4</v>
      </c>
      <c r="F1354" s="5">
        <v>1412.4</v>
      </c>
      <c r="G1354" s="3">
        <v>43299</v>
      </c>
      <c r="H1354" s="4">
        <v>0.83788194444443997</v>
      </c>
      <c r="I1354" s="3">
        <v>43299</v>
      </c>
      <c r="J1354" s="4">
        <v>0.94488425925926001</v>
      </c>
      <c r="K1354" s="2">
        <v>0</v>
      </c>
      <c r="L1354" t="s">
        <v>5856</v>
      </c>
      <c r="M1354" t="s">
        <v>9452</v>
      </c>
      <c r="N1354" s="3">
        <v>43307</v>
      </c>
      <c r="O1354" s="3">
        <v>43306</v>
      </c>
      <c r="P1354" t="s">
        <v>9453</v>
      </c>
      <c r="Q1354" t="s">
        <v>9454</v>
      </c>
      <c r="R1354" t="s">
        <v>6036</v>
      </c>
      <c r="S1354" s="3">
        <v>43307</v>
      </c>
      <c r="T1354" t="s">
        <v>9938</v>
      </c>
      <c r="U1354" t="s">
        <v>9132</v>
      </c>
      <c r="V1354" t="s">
        <v>9455</v>
      </c>
      <c r="W1354" t="s">
        <v>5914</v>
      </c>
      <c r="X1354" s="2">
        <v>550</v>
      </c>
      <c r="Y1354" t="s">
        <v>5858</v>
      </c>
      <c r="Z1354" t="s">
        <v>6037</v>
      </c>
      <c r="AA1354" s="2">
        <v>1320</v>
      </c>
      <c r="AB1354" t="s">
        <v>5863</v>
      </c>
      <c r="AC1354" t="s">
        <v>9981</v>
      </c>
      <c r="AD1354" s="32">
        <v>43276</v>
      </c>
      <c r="AJ1354" t="s">
        <v>9967</v>
      </c>
      <c r="AL1354" t="s">
        <v>11404</v>
      </c>
    </row>
    <row r="1355" spans="1:38">
      <c r="A1355" t="s">
        <v>9367</v>
      </c>
      <c r="B1355" t="s">
        <v>12597</v>
      </c>
      <c r="C1355" t="s">
        <v>6817</v>
      </c>
      <c r="D1355" t="s">
        <v>6818</v>
      </c>
      <c r="E1355" s="2">
        <v>1000</v>
      </c>
      <c r="F1355" s="2">
        <v>1000</v>
      </c>
      <c r="G1355" s="3">
        <v>43302</v>
      </c>
      <c r="H1355" s="4">
        <v>0.92424768518518996</v>
      </c>
      <c r="I1355" s="3">
        <v>43303</v>
      </c>
      <c r="J1355" s="4">
        <v>0</v>
      </c>
      <c r="K1355" s="2">
        <v>0</v>
      </c>
      <c r="L1355" t="s">
        <v>5856</v>
      </c>
      <c r="M1355" t="s">
        <v>9427</v>
      </c>
      <c r="N1355" s="3">
        <v>43305</v>
      </c>
      <c r="O1355" s="3">
        <v>43304</v>
      </c>
      <c r="P1355" t="s">
        <v>5883</v>
      </c>
      <c r="Q1355" t="s">
        <v>9456</v>
      </c>
      <c r="R1355" t="s">
        <v>6036</v>
      </c>
      <c r="S1355" s="3">
        <v>43305</v>
      </c>
      <c r="T1355" t="s">
        <v>9938</v>
      </c>
      <c r="U1355" t="s">
        <v>5893</v>
      </c>
      <c r="V1355" t="s">
        <v>6820</v>
      </c>
      <c r="W1355" t="s">
        <v>5857</v>
      </c>
      <c r="X1355" s="2">
        <v>550</v>
      </c>
      <c r="Y1355" t="s">
        <v>5858</v>
      </c>
      <c r="Z1355" t="s">
        <v>6037</v>
      </c>
      <c r="AA1355" s="2">
        <v>1000</v>
      </c>
      <c r="AB1355" t="s">
        <v>5863</v>
      </c>
      <c r="AC1355" t="s">
        <v>9978</v>
      </c>
      <c r="AD1355" s="32">
        <v>43263</v>
      </c>
      <c r="AI1355" t="s">
        <v>9943</v>
      </c>
      <c r="AJ1355" t="s">
        <v>9958</v>
      </c>
      <c r="AL1355" t="s">
        <v>11405</v>
      </c>
    </row>
    <row r="1356" spans="1:38">
      <c r="A1356" t="s">
        <v>9367</v>
      </c>
      <c r="B1356" t="s">
        <v>12598</v>
      </c>
      <c r="C1356" t="s">
        <v>9457</v>
      </c>
      <c r="D1356" t="s">
        <v>9458</v>
      </c>
      <c r="E1356" s="2">
        <v>2140</v>
      </c>
      <c r="F1356" s="2">
        <v>2140</v>
      </c>
      <c r="G1356" s="3">
        <v>43304</v>
      </c>
      <c r="H1356" s="4">
        <v>0.60362268518519002</v>
      </c>
      <c r="I1356" s="3">
        <v>43304</v>
      </c>
      <c r="J1356" s="4">
        <v>0.76574074074073994</v>
      </c>
      <c r="K1356" s="2">
        <v>0</v>
      </c>
      <c r="L1356" t="s">
        <v>5856</v>
      </c>
      <c r="M1356" t="s">
        <v>9373</v>
      </c>
      <c r="N1356" s="3">
        <v>43307</v>
      </c>
      <c r="O1356" s="3">
        <v>43306</v>
      </c>
      <c r="P1356" t="s">
        <v>5898</v>
      </c>
      <c r="Q1356" t="s">
        <v>9459</v>
      </c>
      <c r="R1356" t="s">
        <v>6036</v>
      </c>
      <c r="S1356" s="3">
        <v>43307</v>
      </c>
      <c r="T1356" t="s">
        <v>9938</v>
      </c>
      <c r="U1356" t="s">
        <v>9460</v>
      </c>
      <c r="V1356" t="s">
        <v>9461</v>
      </c>
      <c r="W1356" t="s">
        <v>5857</v>
      </c>
      <c r="X1356" s="2">
        <v>550</v>
      </c>
      <c r="Y1356" t="s">
        <v>5858</v>
      </c>
      <c r="Z1356" t="s">
        <v>6037</v>
      </c>
      <c r="AA1356" s="2">
        <v>2140</v>
      </c>
      <c r="AB1356" t="s">
        <v>5859</v>
      </c>
      <c r="AC1356" t="s">
        <v>9982</v>
      </c>
      <c r="AD1356" s="32">
        <v>43217</v>
      </c>
      <c r="AJ1356" t="s">
        <v>9967</v>
      </c>
      <c r="AL1356" t="s">
        <v>11406</v>
      </c>
    </row>
    <row r="1357" spans="1:38">
      <c r="A1357" t="s">
        <v>9367</v>
      </c>
      <c r="B1357" t="s">
        <v>13568</v>
      </c>
      <c r="C1357" t="s">
        <v>9450</v>
      </c>
      <c r="D1357" t="s">
        <v>9451</v>
      </c>
      <c r="E1357" s="2">
        <v>1070</v>
      </c>
      <c r="F1357" s="2">
        <v>1070</v>
      </c>
      <c r="G1357" s="3">
        <v>43304</v>
      </c>
      <c r="H1357" s="4">
        <v>0.80151620370370003</v>
      </c>
      <c r="I1357" s="3">
        <v>43304</v>
      </c>
      <c r="J1357" s="4">
        <v>0.88258101851852</v>
      </c>
      <c r="K1357" s="2">
        <v>0</v>
      </c>
      <c r="L1357" t="s">
        <v>5856</v>
      </c>
      <c r="M1357" t="s">
        <v>9364</v>
      </c>
      <c r="N1357" s="3">
        <v>43312</v>
      </c>
      <c r="O1357" s="3">
        <v>43311</v>
      </c>
      <c r="P1357" t="s">
        <v>9453</v>
      </c>
      <c r="Q1357" t="s">
        <v>13569</v>
      </c>
      <c r="R1357" t="s">
        <v>6036</v>
      </c>
      <c r="S1357" s="3">
        <v>43312</v>
      </c>
      <c r="T1357" t="s">
        <v>9938</v>
      </c>
      <c r="U1357" t="s">
        <v>9132</v>
      </c>
      <c r="V1357" t="s">
        <v>9455</v>
      </c>
      <c r="W1357" t="s">
        <v>5914</v>
      </c>
      <c r="X1357" s="2">
        <v>550</v>
      </c>
      <c r="Y1357" t="s">
        <v>5858</v>
      </c>
      <c r="Z1357" t="s">
        <v>6037</v>
      </c>
      <c r="AA1357" s="2">
        <v>1000</v>
      </c>
      <c r="AB1357" t="s">
        <v>5863</v>
      </c>
      <c r="AC1357" t="s">
        <v>9981</v>
      </c>
      <c r="AD1357" s="32">
        <v>43280</v>
      </c>
      <c r="AJ1357" t="s">
        <v>9967</v>
      </c>
      <c r="AL1357" t="s">
        <v>14229</v>
      </c>
    </row>
    <row r="1358" spans="1:38">
      <c r="A1358" t="s">
        <v>9367</v>
      </c>
      <c r="B1358" t="s">
        <v>13570</v>
      </c>
      <c r="C1358" t="s">
        <v>9433</v>
      </c>
      <c r="D1358" t="s">
        <v>9434</v>
      </c>
      <c r="E1358" s="2">
        <v>3210</v>
      </c>
      <c r="F1358" s="2">
        <v>3210</v>
      </c>
      <c r="G1358" s="3">
        <v>43309</v>
      </c>
      <c r="H1358" s="4">
        <v>0.66023148148148003</v>
      </c>
      <c r="I1358" s="3">
        <v>43309</v>
      </c>
      <c r="J1358" s="4">
        <v>0.90341435185185004</v>
      </c>
      <c r="K1358" s="2">
        <v>20</v>
      </c>
      <c r="L1358" t="s">
        <v>5856</v>
      </c>
      <c r="M1358" t="s">
        <v>13571</v>
      </c>
      <c r="N1358" s="3">
        <v>43312</v>
      </c>
      <c r="O1358" s="3">
        <v>43311</v>
      </c>
      <c r="P1358" t="s">
        <v>5862</v>
      </c>
      <c r="Q1358" t="s">
        <v>13572</v>
      </c>
      <c r="R1358" t="s">
        <v>6036</v>
      </c>
      <c r="S1358" s="3">
        <v>43312</v>
      </c>
      <c r="T1358" t="s">
        <v>9938</v>
      </c>
      <c r="U1358" t="s">
        <v>6555</v>
      </c>
      <c r="V1358" t="s">
        <v>9437</v>
      </c>
      <c r="W1358" t="s">
        <v>5857</v>
      </c>
      <c r="X1358" s="2">
        <v>550</v>
      </c>
      <c r="Y1358" t="s">
        <v>5858</v>
      </c>
      <c r="Z1358" t="s">
        <v>6037</v>
      </c>
      <c r="AA1358" s="2">
        <v>3000</v>
      </c>
      <c r="AB1358" t="s">
        <v>5863</v>
      </c>
      <c r="AC1358" t="s">
        <v>9978</v>
      </c>
      <c r="AD1358" s="32">
        <v>43280</v>
      </c>
      <c r="AJ1358" t="s">
        <v>9958</v>
      </c>
      <c r="AL1358" t="s">
        <v>14230</v>
      </c>
    </row>
    <row r="1359" spans="1:38">
      <c r="A1359" t="s">
        <v>9367</v>
      </c>
      <c r="B1359" t="s">
        <v>12600</v>
      </c>
      <c r="C1359" t="s">
        <v>9440</v>
      </c>
      <c r="D1359" t="s">
        <v>9441</v>
      </c>
      <c r="E1359" s="2">
        <v>1000</v>
      </c>
      <c r="F1359" s="2">
        <v>1000</v>
      </c>
      <c r="G1359" s="3">
        <v>43309</v>
      </c>
      <c r="H1359" s="4">
        <v>0.92424768518518996</v>
      </c>
      <c r="I1359" s="3">
        <v>43310</v>
      </c>
      <c r="J1359" s="4">
        <v>0</v>
      </c>
      <c r="K1359" s="2">
        <v>4</v>
      </c>
      <c r="L1359" t="s">
        <v>5856</v>
      </c>
      <c r="M1359" t="s">
        <v>9427</v>
      </c>
      <c r="N1359" s="3">
        <v>43319</v>
      </c>
      <c r="O1359" s="3">
        <v>43317</v>
      </c>
      <c r="P1359" t="s">
        <v>9394</v>
      </c>
      <c r="Q1359" t="s">
        <v>9463</v>
      </c>
      <c r="R1359" t="s">
        <v>6036</v>
      </c>
      <c r="S1359" s="3">
        <v>43319</v>
      </c>
      <c r="T1359" t="s">
        <v>9938</v>
      </c>
      <c r="U1359" t="s">
        <v>9132</v>
      </c>
      <c r="V1359" t="s">
        <v>9443</v>
      </c>
      <c r="W1359" t="s">
        <v>5914</v>
      </c>
      <c r="X1359" s="2">
        <v>550</v>
      </c>
      <c r="Y1359" t="s">
        <v>5858</v>
      </c>
      <c r="Z1359" t="s">
        <v>6037</v>
      </c>
      <c r="AA1359" s="2">
        <v>1000</v>
      </c>
      <c r="AB1359" t="s">
        <v>5863</v>
      </c>
      <c r="AC1359" t="s">
        <v>9981</v>
      </c>
      <c r="AD1359" s="32">
        <v>43259</v>
      </c>
      <c r="AJ1359" t="s">
        <v>9967</v>
      </c>
      <c r="AL1359" t="s">
        <v>11407</v>
      </c>
    </row>
    <row r="1360" spans="1:38">
      <c r="A1360" t="s">
        <v>9367</v>
      </c>
      <c r="B1360" t="s">
        <v>12601</v>
      </c>
      <c r="C1360" t="s">
        <v>9464</v>
      </c>
      <c r="D1360" t="s">
        <v>9465</v>
      </c>
      <c r="E1360" s="2">
        <v>1000</v>
      </c>
      <c r="F1360" s="2">
        <v>1000</v>
      </c>
      <c r="G1360" s="3">
        <v>43320</v>
      </c>
      <c r="H1360" s="4">
        <v>0.92423611111111004</v>
      </c>
      <c r="I1360" s="3">
        <v>43320</v>
      </c>
      <c r="J1360" s="4">
        <v>0.99998842592592996</v>
      </c>
      <c r="K1360" s="2">
        <v>0</v>
      </c>
      <c r="L1360" t="s">
        <v>5856</v>
      </c>
      <c r="M1360" t="s">
        <v>9427</v>
      </c>
      <c r="N1360" s="3"/>
      <c r="O1360" s="3">
        <v>43322</v>
      </c>
      <c r="P1360" t="s">
        <v>5994</v>
      </c>
      <c r="Q1360" t="s">
        <v>9466</v>
      </c>
      <c r="R1360" t="s">
        <v>6036</v>
      </c>
      <c r="S1360" s="3">
        <v>43326</v>
      </c>
      <c r="T1360" t="s">
        <v>9938</v>
      </c>
      <c r="U1360" t="s">
        <v>6013</v>
      </c>
      <c r="V1360" t="s">
        <v>9467</v>
      </c>
      <c r="W1360" t="s">
        <v>5857</v>
      </c>
      <c r="X1360" s="2">
        <v>0</v>
      </c>
      <c r="Y1360" t="s">
        <v>5858</v>
      </c>
      <c r="Z1360" t="s">
        <v>6037</v>
      </c>
      <c r="AA1360" s="2">
        <v>1000</v>
      </c>
      <c r="AB1360" t="s">
        <v>5861</v>
      </c>
      <c r="AC1360" t="s">
        <v>9974</v>
      </c>
      <c r="AD1360" s="32"/>
      <c r="AJ1360" t="s">
        <v>9958</v>
      </c>
      <c r="AL1360" t="s">
        <v>14231</v>
      </c>
    </row>
    <row r="1361" spans="1:38">
      <c r="A1361" t="s">
        <v>9367</v>
      </c>
      <c r="B1361" t="s">
        <v>12602</v>
      </c>
      <c r="C1361" t="s">
        <v>7584</v>
      </c>
      <c r="D1361" t="s">
        <v>7585</v>
      </c>
      <c r="E1361" s="2">
        <v>1070</v>
      </c>
      <c r="F1361" s="2">
        <v>1070</v>
      </c>
      <c r="G1361" s="3">
        <v>43325</v>
      </c>
      <c r="H1361" s="4">
        <v>0.91893518518519002</v>
      </c>
      <c r="I1361" s="3">
        <v>43326</v>
      </c>
      <c r="J1361" s="4">
        <v>0</v>
      </c>
      <c r="K1361" s="2">
        <v>0</v>
      </c>
      <c r="L1361" t="s">
        <v>5856</v>
      </c>
      <c r="M1361" t="s">
        <v>9364</v>
      </c>
      <c r="N1361" s="3">
        <v>43328</v>
      </c>
      <c r="O1361" s="3">
        <v>43327</v>
      </c>
      <c r="P1361" t="s">
        <v>6580</v>
      </c>
      <c r="Q1361" t="s">
        <v>9468</v>
      </c>
      <c r="R1361" t="s">
        <v>6036</v>
      </c>
      <c r="S1361" s="3">
        <v>43328</v>
      </c>
      <c r="T1361" t="s">
        <v>9938</v>
      </c>
      <c r="U1361" t="s">
        <v>6582</v>
      </c>
      <c r="V1361" t="s">
        <v>7586</v>
      </c>
      <c r="W1361" t="s">
        <v>5857</v>
      </c>
      <c r="X1361" s="2">
        <v>550</v>
      </c>
      <c r="Y1361" t="s">
        <v>5858</v>
      </c>
      <c r="Z1361" t="s">
        <v>6037</v>
      </c>
      <c r="AA1361" s="2">
        <v>1000</v>
      </c>
      <c r="AB1361" t="s">
        <v>5863</v>
      </c>
      <c r="AC1361" t="s">
        <v>9976</v>
      </c>
      <c r="AD1361" s="32"/>
      <c r="AJ1361" t="s">
        <v>9958</v>
      </c>
      <c r="AL1361" t="s">
        <v>11409</v>
      </c>
    </row>
    <row r="1362" spans="1:38">
      <c r="A1362" t="s">
        <v>9367</v>
      </c>
      <c r="B1362" t="s">
        <v>12603</v>
      </c>
      <c r="C1362" t="s">
        <v>9413</v>
      </c>
      <c r="D1362" t="s">
        <v>9414</v>
      </c>
      <c r="E1362" s="2">
        <v>1000</v>
      </c>
      <c r="F1362" s="2">
        <v>1000</v>
      </c>
      <c r="G1362" s="3">
        <v>43328</v>
      </c>
      <c r="H1362" s="4">
        <v>0.92423611111111004</v>
      </c>
      <c r="I1362" s="3">
        <v>43328</v>
      </c>
      <c r="J1362" s="4">
        <v>0.99998842592592996</v>
      </c>
      <c r="K1362" s="2">
        <v>0</v>
      </c>
      <c r="L1362" t="s">
        <v>5856</v>
      </c>
      <c r="M1362" t="s">
        <v>9427</v>
      </c>
      <c r="N1362" s="3">
        <v>43330</v>
      </c>
      <c r="O1362" s="3">
        <v>43330</v>
      </c>
      <c r="P1362" t="s">
        <v>9416</v>
      </c>
      <c r="Q1362" t="s">
        <v>9469</v>
      </c>
      <c r="R1362" t="s">
        <v>6036</v>
      </c>
      <c r="S1362" s="3">
        <v>43332</v>
      </c>
      <c r="T1362" t="s">
        <v>9938</v>
      </c>
      <c r="U1362" t="s">
        <v>9418</v>
      </c>
      <c r="V1362" t="s">
        <v>9419</v>
      </c>
      <c r="W1362" t="s">
        <v>5914</v>
      </c>
      <c r="X1362" s="2">
        <v>0</v>
      </c>
      <c r="Y1362" t="s">
        <v>5858</v>
      </c>
      <c r="Z1362" t="s">
        <v>6037</v>
      </c>
      <c r="AA1362" s="2">
        <v>1000</v>
      </c>
      <c r="AB1362" t="s">
        <v>5861</v>
      </c>
      <c r="AC1362" t="s">
        <v>9981</v>
      </c>
      <c r="AD1362" s="32"/>
      <c r="AJ1362" t="s">
        <v>9962</v>
      </c>
      <c r="AL1362" t="s">
        <v>14232</v>
      </c>
    </row>
    <row r="1363" spans="1:38">
      <c r="A1363" t="s">
        <v>9367</v>
      </c>
      <c r="B1363" t="s">
        <v>12604</v>
      </c>
      <c r="C1363" t="s">
        <v>9470</v>
      </c>
      <c r="D1363" t="s">
        <v>9471</v>
      </c>
      <c r="E1363" s="2">
        <v>2000</v>
      </c>
      <c r="F1363" s="2">
        <v>2000</v>
      </c>
      <c r="G1363" s="3">
        <v>43329</v>
      </c>
      <c r="H1363" s="4">
        <v>0.8484837962963</v>
      </c>
      <c r="I1363" s="3">
        <v>43330</v>
      </c>
      <c r="J1363" s="4">
        <v>0</v>
      </c>
      <c r="K1363" s="2">
        <v>0</v>
      </c>
      <c r="L1363" t="s">
        <v>5856</v>
      </c>
      <c r="M1363" t="s">
        <v>9415</v>
      </c>
      <c r="N1363" s="3">
        <v>43332</v>
      </c>
      <c r="O1363" s="3">
        <v>43331</v>
      </c>
      <c r="P1363" t="s">
        <v>5883</v>
      </c>
      <c r="Q1363" t="s">
        <v>9472</v>
      </c>
      <c r="R1363" t="s">
        <v>6036</v>
      </c>
      <c r="S1363" s="3">
        <v>43332</v>
      </c>
      <c r="T1363" t="s">
        <v>9938</v>
      </c>
      <c r="U1363" t="s">
        <v>5894</v>
      </c>
      <c r="V1363" t="s">
        <v>9473</v>
      </c>
      <c r="W1363" t="s">
        <v>5857</v>
      </c>
      <c r="X1363" s="2">
        <v>550</v>
      </c>
      <c r="Y1363" t="s">
        <v>5858</v>
      </c>
      <c r="Z1363" t="s">
        <v>6037</v>
      </c>
      <c r="AA1363" s="2">
        <v>2000</v>
      </c>
      <c r="AB1363" t="s">
        <v>5863</v>
      </c>
      <c r="AD1363" s="32"/>
      <c r="AJ1363" t="s">
        <v>9958</v>
      </c>
      <c r="AL1363" t="s">
        <v>11411</v>
      </c>
    </row>
    <row r="1364" spans="1:38">
      <c r="A1364" t="s">
        <v>9367</v>
      </c>
      <c r="B1364" t="s">
        <v>12605</v>
      </c>
      <c r="C1364" t="s">
        <v>9474</v>
      </c>
      <c r="D1364" t="s">
        <v>9475</v>
      </c>
      <c r="E1364" s="2">
        <v>5350</v>
      </c>
      <c r="F1364" s="2">
        <v>5350</v>
      </c>
      <c r="G1364" s="3">
        <v>43339</v>
      </c>
      <c r="H1364" s="4">
        <v>0.59469907407406997</v>
      </c>
      <c r="I1364" s="3">
        <v>43340</v>
      </c>
      <c r="J1364" s="4">
        <v>0</v>
      </c>
      <c r="K1364" s="2">
        <v>0</v>
      </c>
      <c r="L1364" t="s">
        <v>5856</v>
      </c>
      <c r="M1364" t="s">
        <v>9379</v>
      </c>
      <c r="N1364" s="3">
        <v>43342</v>
      </c>
      <c r="O1364" s="3">
        <v>43341</v>
      </c>
      <c r="P1364" t="s">
        <v>5870</v>
      </c>
      <c r="Q1364" t="s">
        <v>9476</v>
      </c>
      <c r="R1364" t="s">
        <v>6036</v>
      </c>
      <c r="S1364" s="3">
        <v>43342</v>
      </c>
      <c r="T1364" t="s">
        <v>9938</v>
      </c>
      <c r="U1364" t="s">
        <v>5865</v>
      </c>
      <c r="V1364" t="s">
        <v>9477</v>
      </c>
      <c r="W1364" t="s">
        <v>5857</v>
      </c>
      <c r="X1364" s="2">
        <v>550</v>
      </c>
      <c r="Y1364" t="s">
        <v>5858</v>
      </c>
      <c r="Z1364" t="s">
        <v>6037</v>
      </c>
      <c r="AA1364" s="2">
        <v>5000</v>
      </c>
      <c r="AB1364" t="s">
        <v>5863</v>
      </c>
      <c r="AD1364" s="32"/>
      <c r="AI1364" t="s">
        <v>9939</v>
      </c>
      <c r="AJ1364" t="s">
        <v>9967</v>
      </c>
      <c r="AL1364" t="s">
        <v>11412</v>
      </c>
    </row>
    <row r="1365" spans="1:38">
      <c r="A1365" t="s">
        <v>9367</v>
      </c>
      <c r="B1365" t="s">
        <v>12606</v>
      </c>
      <c r="C1365" t="s">
        <v>7956</v>
      </c>
      <c r="D1365" t="s">
        <v>7957</v>
      </c>
      <c r="E1365" s="2">
        <v>1000</v>
      </c>
      <c r="F1365" s="2">
        <v>1000</v>
      </c>
      <c r="G1365" s="3">
        <v>43339</v>
      </c>
      <c r="H1365" s="4">
        <v>0.93589120370370005</v>
      </c>
      <c r="I1365" s="3">
        <v>43340</v>
      </c>
      <c r="J1365" s="4">
        <v>1.164351851852E-2</v>
      </c>
      <c r="K1365" s="2">
        <v>0</v>
      </c>
      <c r="L1365" t="s">
        <v>5856</v>
      </c>
      <c r="M1365" t="s">
        <v>9427</v>
      </c>
      <c r="N1365" s="3"/>
      <c r="O1365" s="3">
        <v>43342</v>
      </c>
      <c r="P1365" t="s">
        <v>7766</v>
      </c>
      <c r="Q1365" t="s">
        <v>13573</v>
      </c>
      <c r="R1365" t="s">
        <v>6036</v>
      </c>
      <c r="S1365" s="3">
        <v>43383</v>
      </c>
      <c r="T1365" t="s">
        <v>9938</v>
      </c>
      <c r="U1365" t="s">
        <v>7958</v>
      </c>
      <c r="V1365" t="s">
        <v>7779</v>
      </c>
      <c r="W1365" t="s">
        <v>5914</v>
      </c>
      <c r="X1365" s="2">
        <v>0</v>
      </c>
      <c r="Y1365" t="s">
        <v>5858</v>
      </c>
      <c r="Z1365" t="s">
        <v>6037</v>
      </c>
      <c r="AA1365" s="2">
        <v>1000</v>
      </c>
      <c r="AB1365" t="s">
        <v>5861</v>
      </c>
      <c r="AC1365" t="s">
        <v>9981</v>
      </c>
      <c r="AD1365" s="32"/>
      <c r="AJ1365" t="s">
        <v>9962</v>
      </c>
      <c r="AL1365" t="s">
        <v>11413</v>
      </c>
    </row>
    <row r="1366" spans="1:38">
      <c r="A1366" t="s">
        <v>9367</v>
      </c>
      <c r="B1366" t="s">
        <v>12607</v>
      </c>
      <c r="C1366" t="s">
        <v>9413</v>
      </c>
      <c r="D1366" t="s">
        <v>9414</v>
      </c>
      <c r="E1366" s="2">
        <v>1000</v>
      </c>
      <c r="F1366" s="2">
        <v>1000</v>
      </c>
      <c r="G1366" s="3">
        <v>43351</v>
      </c>
      <c r="H1366" s="4">
        <v>0.92423611111111004</v>
      </c>
      <c r="I1366" s="3">
        <v>43351</v>
      </c>
      <c r="J1366" s="4">
        <v>0.99998842592592996</v>
      </c>
      <c r="K1366" s="2">
        <v>0</v>
      </c>
      <c r="L1366" t="s">
        <v>5856</v>
      </c>
      <c r="M1366" t="s">
        <v>9427</v>
      </c>
      <c r="N1366" s="3">
        <v>43353</v>
      </c>
      <c r="O1366" s="3">
        <v>43353</v>
      </c>
      <c r="P1366" t="s">
        <v>9416</v>
      </c>
      <c r="Q1366" t="s">
        <v>9478</v>
      </c>
      <c r="R1366" t="s">
        <v>6036</v>
      </c>
      <c r="S1366" s="3">
        <v>43354</v>
      </c>
      <c r="T1366" t="s">
        <v>9938</v>
      </c>
      <c r="U1366" t="s">
        <v>9418</v>
      </c>
      <c r="V1366" t="s">
        <v>9419</v>
      </c>
      <c r="W1366" t="s">
        <v>5914</v>
      </c>
      <c r="X1366" s="2">
        <v>0</v>
      </c>
      <c r="Y1366" t="s">
        <v>5858</v>
      </c>
      <c r="Z1366" t="s">
        <v>6037</v>
      </c>
      <c r="AA1366" s="2">
        <v>1000</v>
      </c>
      <c r="AB1366" t="s">
        <v>5861</v>
      </c>
      <c r="AC1366" t="s">
        <v>9981</v>
      </c>
      <c r="AD1366" s="32"/>
      <c r="AJ1366" t="s">
        <v>9962</v>
      </c>
      <c r="AL1366" t="s">
        <v>14233</v>
      </c>
    </row>
    <row r="1367" spans="1:38">
      <c r="A1367" t="s">
        <v>9479</v>
      </c>
      <c r="B1367" t="s">
        <v>13574</v>
      </c>
      <c r="C1367" t="s">
        <v>8598</v>
      </c>
      <c r="D1367" t="s">
        <v>8599</v>
      </c>
      <c r="E1367" s="2">
        <v>8505</v>
      </c>
      <c r="F1367" s="2">
        <v>8505</v>
      </c>
      <c r="G1367" s="3">
        <v>43281</v>
      </c>
      <c r="H1367" s="4">
        <v>5.498842592593E-2</v>
      </c>
      <c r="I1367" s="3">
        <v>43281</v>
      </c>
      <c r="J1367" s="4">
        <v>0.99998842592592996</v>
      </c>
      <c r="K1367" s="2">
        <v>0</v>
      </c>
      <c r="L1367" t="s">
        <v>5856</v>
      </c>
      <c r="M1367" t="s">
        <v>13575</v>
      </c>
      <c r="N1367" s="3">
        <v>43283</v>
      </c>
      <c r="O1367" s="3">
        <v>43283</v>
      </c>
      <c r="P1367" t="s">
        <v>5971</v>
      </c>
      <c r="Q1367" t="s">
        <v>8600</v>
      </c>
      <c r="R1367" t="s">
        <v>6036</v>
      </c>
      <c r="S1367" s="3">
        <v>43283</v>
      </c>
      <c r="T1367" t="s">
        <v>9938</v>
      </c>
      <c r="U1367" t="s">
        <v>6493</v>
      </c>
      <c r="V1367" t="s">
        <v>6041</v>
      </c>
      <c r="W1367" t="s">
        <v>5857</v>
      </c>
      <c r="X1367" s="2">
        <v>375</v>
      </c>
      <c r="Y1367" t="s">
        <v>5858</v>
      </c>
      <c r="Z1367" t="s">
        <v>6037</v>
      </c>
      <c r="AA1367" s="2">
        <v>8100</v>
      </c>
      <c r="AB1367" t="s">
        <v>5863</v>
      </c>
      <c r="AC1367" t="s">
        <v>9974</v>
      </c>
      <c r="AD1367" s="32">
        <v>43280</v>
      </c>
      <c r="AJ1367" t="s">
        <v>9959</v>
      </c>
      <c r="AL1367" t="s">
        <v>14234</v>
      </c>
    </row>
    <row r="1368" spans="1:38">
      <c r="A1368" t="s">
        <v>9479</v>
      </c>
      <c r="B1368" t="s">
        <v>13576</v>
      </c>
      <c r="C1368" t="s">
        <v>6103</v>
      </c>
      <c r="D1368" t="s">
        <v>6028</v>
      </c>
      <c r="E1368" s="5">
        <v>10499.999</v>
      </c>
      <c r="F1368" s="5">
        <v>10499.999</v>
      </c>
      <c r="G1368" s="3">
        <v>43284</v>
      </c>
      <c r="H1368" s="4">
        <v>0.83333333333333004</v>
      </c>
      <c r="I1368" s="3">
        <v>43286</v>
      </c>
      <c r="J1368" s="4">
        <v>0</v>
      </c>
      <c r="K1368" s="2">
        <v>0</v>
      </c>
      <c r="L1368" t="s">
        <v>5856</v>
      </c>
      <c r="M1368" t="s">
        <v>9481</v>
      </c>
      <c r="N1368" s="3">
        <v>43290</v>
      </c>
      <c r="O1368" s="3">
        <v>43287</v>
      </c>
      <c r="P1368" t="s">
        <v>5971</v>
      </c>
      <c r="Q1368" t="s">
        <v>8602</v>
      </c>
      <c r="R1368" t="s">
        <v>6036</v>
      </c>
      <c r="S1368" s="3">
        <v>43290</v>
      </c>
      <c r="T1368" t="s">
        <v>9938</v>
      </c>
      <c r="U1368" t="s">
        <v>5922</v>
      </c>
      <c r="V1368" t="s">
        <v>6041</v>
      </c>
      <c r="W1368" t="s">
        <v>5857</v>
      </c>
      <c r="X1368" s="2">
        <v>375</v>
      </c>
      <c r="Y1368" t="s">
        <v>5858</v>
      </c>
      <c r="Z1368" t="s">
        <v>6037</v>
      </c>
      <c r="AA1368" s="2">
        <v>10000</v>
      </c>
      <c r="AB1368" t="s">
        <v>5863</v>
      </c>
      <c r="AC1368" t="s">
        <v>9974</v>
      </c>
      <c r="AD1368" s="32">
        <v>43280</v>
      </c>
      <c r="AJ1368" t="s">
        <v>9959</v>
      </c>
      <c r="AL1368" t="s">
        <v>14235</v>
      </c>
    </row>
    <row r="1369" spans="1:38">
      <c r="A1369" t="s">
        <v>9479</v>
      </c>
      <c r="B1369" t="s">
        <v>13577</v>
      </c>
      <c r="C1369" t="s">
        <v>6809</v>
      </c>
      <c r="D1369" t="s">
        <v>6810</v>
      </c>
      <c r="E1369" s="5">
        <v>10368.749</v>
      </c>
      <c r="F1369" s="5">
        <v>10368.749</v>
      </c>
      <c r="G1369" s="3">
        <v>43284</v>
      </c>
      <c r="H1369" s="4">
        <v>0.84791666666666998</v>
      </c>
      <c r="I1369" s="3">
        <v>43286</v>
      </c>
      <c r="J1369" s="4">
        <v>0</v>
      </c>
      <c r="K1369" s="2">
        <v>0</v>
      </c>
      <c r="L1369" t="s">
        <v>5856</v>
      </c>
      <c r="M1369" t="s">
        <v>13578</v>
      </c>
      <c r="N1369" s="3">
        <v>43285</v>
      </c>
      <c r="O1369" s="3">
        <v>43287</v>
      </c>
      <c r="P1369" t="s">
        <v>5869</v>
      </c>
      <c r="Q1369" t="s">
        <v>7266</v>
      </c>
      <c r="R1369" t="s">
        <v>6036</v>
      </c>
      <c r="S1369" s="3">
        <v>43285</v>
      </c>
      <c r="T1369" t="s">
        <v>9938</v>
      </c>
      <c r="U1369" t="s">
        <v>5879</v>
      </c>
      <c r="V1369" t="s">
        <v>6041</v>
      </c>
      <c r="W1369" t="s">
        <v>5857</v>
      </c>
      <c r="X1369" s="2">
        <v>375</v>
      </c>
      <c r="Y1369" t="s">
        <v>5858</v>
      </c>
      <c r="Z1369" t="s">
        <v>6037</v>
      </c>
      <c r="AA1369" s="2">
        <v>9875</v>
      </c>
      <c r="AB1369" t="s">
        <v>5863</v>
      </c>
      <c r="AC1369" t="s">
        <v>9974</v>
      </c>
      <c r="AD1369" s="32">
        <v>43280</v>
      </c>
      <c r="AJ1369" t="s">
        <v>9959</v>
      </c>
      <c r="AL1369" t="s">
        <v>14236</v>
      </c>
    </row>
    <row r="1370" spans="1:38">
      <c r="A1370" t="s">
        <v>9479</v>
      </c>
      <c r="B1370" t="s">
        <v>11643</v>
      </c>
      <c r="C1370" t="s">
        <v>6809</v>
      </c>
      <c r="D1370" t="s">
        <v>6810</v>
      </c>
      <c r="E1370" s="5">
        <v>10499.999</v>
      </c>
      <c r="F1370" s="5">
        <v>10499.999</v>
      </c>
      <c r="G1370" s="3">
        <v>43285</v>
      </c>
      <c r="H1370" s="4">
        <v>0.19299768518519</v>
      </c>
      <c r="I1370" s="3">
        <v>43296</v>
      </c>
      <c r="J1370" s="4">
        <v>0.35966435185184997</v>
      </c>
      <c r="K1370" s="2">
        <v>0</v>
      </c>
      <c r="L1370" t="s">
        <v>5856</v>
      </c>
      <c r="M1370" t="s">
        <v>13579</v>
      </c>
      <c r="N1370" s="3">
        <v>43287</v>
      </c>
      <c r="O1370" s="3">
        <v>43298</v>
      </c>
      <c r="P1370" t="s">
        <v>5869</v>
      </c>
      <c r="Q1370" t="s">
        <v>6811</v>
      </c>
      <c r="R1370" t="s">
        <v>6036</v>
      </c>
      <c r="S1370" s="3">
        <v>43287</v>
      </c>
      <c r="T1370" t="s">
        <v>9938</v>
      </c>
      <c r="U1370" t="s">
        <v>5879</v>
      </c>
      <c r="V1370" t="s">
        <v>6041</v>
      </c>
      <c r="W1370" t="s">
        <v>5857</v>
      </c>
      <c r="X1370" s="2">
        <v>375</v>
      </c>
      <c r="Y1370" t="s">
        <v>5858</v>
      </c>
      <c r="Z1370" t="s">
        <v>6037</v>
      </c>
      <c r="AA1370" s="2">
        <v>10000</v>
      </c>
      <c r="AB1370" t="s">
        <v>5863</v>
      </c>
      <c r="AC1370" t="s">
        <v>9974</v>
      </c>
      <c r="AD1370" s="32">
        <v>43270</v>
      </c>
      <c r="AJ1370" t="s">
        <v>9959</v>
      </c>
      <c r="AL1370" t="s">
        <v>14237</v>
      </c>
    </row>
    <row r="1371" spans="1:38">
      <c r="A1371" t="s">
        <v>9479</v>
      </c>
      <c r="B1371" t="s">
        <v>12279</v>
      </c>
      <c r="C1371" t="s">
        <v>6099</v>
      </c>
      <c r="D1371" t="s">
        <v>6019</v>
      </c>
      <c r="E1371" s="5">
        <v>20999.999</v>
      </c>
      <c r="F1371" s="5">
        <v>20999.999</v>
      </c>
      <c r="G1371" s="3">
        <v>43296</v>
      </c>
      <c r="H1371" s="4">
        <v>1.1574074069999999E-5</v>
      </c>
      <c r="I1371" s="3">
        <v>43298</v>
      </c>
      <c r="J1371" s="4">
        <v>0.33334490740741002</v>
      </c>
      <c r="K1371" s="2">
        <v>20</v>
      </c>
      <c r="L1371" t="s">
        <v>5856</v>
      </c>
      <c r="M1371" t="s">
        <v>9480</v>
      </c>
      <c r="N1371" s="3">
        <v>43293</v>
      </c>
      <c r="O1371" s="3">
        <v>43300</v>
      </c>
      <c r="P1371" t="s">
        <v>5971</v>
      </c>
      <c r="Q1371" t="s">
        <v>8597</v>
      </c>
      <c r="R1371" t="s">
        <v>6036</v>
      </c>
      <c r="S1371" s="3">
        <v>43301</v>
      </c>
      <c r="T1371" t="s">
        <v>9938</v>
      </c>
      <c r="U1371" t="s">
        <v>5935</v>
      </c>
      <c r="V1371" t="s">
        <v>6041</v>
      </c>
      <c r="W1371" t="s">
        <v>5857</v>
      </c>
      <c r="X1371" s="2">
        <v>375</v>
      </c>
      <c r="Y1371" t="s">
        <v>5858</v>
      </c>
      <c r="Z1371" t="s">
        <v>6037</v>
      </c>
      <c r="AA1371" s="2">
        <v>20000</v>
      </c>
      <c r="AB1371" t="s">
        <v>5863</v>
      </c>
      <c r="AC1371" t="s">
        <v>9974</v>
      </c>
      <c r="AD1371" s="32">
        <v>43180</v>
      </c>
      <c r="AJ1371" t="s">
        <v>9959</v>
      </c>
      <c r="AL1371" t="s">
        <v>14238</v>
      </c>
    </row>
    <row r="1372" spans="1:38">
      <c r="A1372" t="s">
        <v>9479</v>
      </c>
      <c r="B1372" t="s">
        <v>12290</v>
      </c>
      <c r="C1372" t="s">
        <v>6099</v>
      </c>
      <c r="D1372" t="s">
        <v>6019</v>
      </c>
      <c r="E1372" s="2">
        <v>2950</v>
      </c>
      <c r="F1372" s="2">
        <v>10500</v>
      </c>
      <c r="G1372" s="3">
        <v>43296</v>
      </c>
      <c r="H1372" s="4">
        <v>0.38049768518519</v>
      </c>
      <c r="I1372" s="3">
        <v>43297</v>
      </c>
      <c r="J1372" s="4">
        <v>0.54716435185184997</v>
      </c>
      <c r="K1372" s="2">
        <v>0</v>
      </c>
      <c r="L1372" t="s">
        <v>5856</v>
      </c>
      <c r="M1372" t="s">
        <v>9481</v>
      </c>
      <c r="N1372" s="3">
        <v>43290</v>
      </c>
      <c r="O1372" s="3">
        <v>43299</v>
      </c>
      <c r="P1372" t="s">
        <v>5971</v>
      </c>
      <c r="Q1372" t="s">
        <v>8615</v>
      </c>
      <c r="R1372" t="s">
        <v>6036</v>
      </c>
      <c r="S1372" s="3">
        <v>43290</v>
      </c>
      <c r="T1372" t="s">
        <v>9938</v>
      </c>
      <c r="U1372" t="s">
        <v>5935</v>
      </c>
      <c r="V1372" t="s">
        <v>6041</v>
      </c>
      <c r="W1372" t="s">
        <v>5857</v>
      </c>
      <c r="X1372" s="2">
        <v>375</v>
      </c>
      <c r="Y1372" t="s">
        <v>5858</v>
      </c>
      <c r="Z1372" t="s">
        <v>6037</v>
      </c>
      <c r="AA1372" s="2">
        <v>2450</v>
      </c>
      <c r="AB1372" t="s">
        <v>5859</v>
      </c>
      <c r="AC1372" t="s">
        <v>9974</v>
      </c>
      <c r="AD1372" s="32">
        <v>43248</v>
      </c>
      <c r="AJ1372" t="s">
        <v>9959</v>
      </c>
      <c r="AL1372" t="s">
        <v>14239</v>
      </c>
    </row>
    <row r="1373" spans="1:38">
      <c r="A1373" t="s">
        <v>9479</v>
      </c>
      <c r="B1373" t="s">
        <v>12608</v>
      </c>
      <c r="C1373" t="s">
        <v>6869</v>
      </c>
      <c r="D1373" t="s">
        <v>6870</v>
      </c>
      <c r="E1373" s="2">
        <v>20000</v>
      </c>
      <c r="F1373" s="2">
        <v>20000</v>
      </c>
      <c r="G1373" s="3">
        <v>43297</v>
      </c>
      <c r="H1373" s="4">
        <v>0.56799768518519</v>
      </c>
      <c r="I1373" s="3">
        <v>43299</v>
      </c>
      <c r="J1373" s="4">
        <v>0.79021990740740999</v>
      </c>
      <c r="K1373" s="2">
        <v>20</v>
      </c>
      <c r="L1373" t="s">
        <v>5856</v>
      </c>
      <c r="M1373" t="s">
        <v>9482</v>
      </c>
      <c r="N1373" s="3">
        <v>43304</v>
      </c>
      <c r="O1373" s="3">
        <v>43301</v>
      </c>
      <c r="P1373" t="s">
        <v>5971</v>
      </c>
      <c r="Q1373" t="s">
        <v>9483</v>
      </c>
      <c r="R1373" t="s">
        <v>6036</v>
      </c>
      <c r="S1373" s="3">
        <v>43304</v>
      </c>
      <c r="T1373" t="s">
        <v>9938</v>
      </c>
      <c r="U1373" t="s">
        <v>6872</v>
      </c>
      <c r="V1373" t="s">
        <v>6041</v>
      </c>
      <c r="W1373" t="s">
        <v>5857</v>
      </c>
      <c r="X1373" s="2">
        <v>375</v>
      </c>
      <c r="Y1373" t="s">
        <v>5858</v>
      </c>
      <c r="Z1373" t="s">
        <v>6037</v>
      </c>
      <c r="AA1373" s="2">
        <v>20000</v>
      </c>
      <c r="AB1373" t="s">
        <v>5863</v>
      </c>
      <c r="AC1373" t="s">
        <v>9974</v>
      </c>
      <c r="AD1373" s="32">
        <v>43202</v>
      </c>
      <c r="AJ1373" t="s">
        <v>9959</v>
      </c>
      <c r="AL1373" t="s">
        <v>11415</v>
      </c>
    </row>
    <row r="1374" spans="1:38">
      <c r="A1374" t="s">
        <v>9479</v>
      </c>
      <c r="B1374" t="s">
        <v>12291</v>
      </c>
      <c r="C1374" t="s">
        <v>6099</v>
      </c>
      <c r="D1374" t="s">
        <v>6019</v>
      </c>
      <c r="E1374" s="5">
        <v>318.75</v>
      </c>
      <c r="F1374" s="5">
        <v>6693.75</v>
      </c>
      <c r="G1374" s="3">
        <v>43299</v>
      </c>
      <c r="H1374" s="4">
        <v>0.81105324074074003</v>
      </c>
      <c r="I1374" s="3">
        <v>43300</v>
      </c>
      <c r="J1374" s="4">
        <v>0.55480324074073994</v>
      </c>
      <c r="K1374" s="2">
        <v>0</v>
      </c>
      <c r="L1374" t="s">
        <v>5856</v>
      </c>
      <c r="M1374" t="s">
        <v>13580</v>
      </c>
      <c r="N1374" s="3">
        <v>43292</v>
      </c>
      <c r="O1374" s="3">
        <v>43302</v>
      </c>
      <c r="P1374" t="s">
        <v>5971</v>
      </c>
      <c r="Q1374" t="s">
        <v>6038</v>
      </c>
      <c r="R1374" t="s">
        <v>6039</v>
      </c>
      <c r="S1374" s="3"/>
      <c r="T1374" t="s">
        <v>9938</v>
      </c>
      <c r="U1374" t="s">
        <v>5935</v>
      </c>
      <c r="V1374" t="s">
        <v>6041</v>
      </c>
      <c r="W1374" t="s">
        <v>5857</v>
      </c>
      <c r="X1374" s="2">
        <v>375</v>
      </c>
      <c r="Y1374" t="s">
        <v>5858</v>
      </c>
      <c r="Z1374" t="s">
        <v>6037</v>
      </c>
      <c r="AA1374" s="2">
        <v>0</v>
      </c>
      <c r="AB1374" t="s">
        <v>5859</v>
      </c>
      <c r="AC1374" t="s">
        <v>9974</v>
      </c>
      <c r="AD1374" s="32">
        <v>43250</v>
      </c>
      <c r="AJ1374" t="s">
        <v>9959</v>
      </c>
      <c r="AL1374" t="s">
        <v>14240</v>
      </c>
    </row>
    <row r="1375" spans="1:38">
      <c r="A1375" t="s">
        <v>9479</v>
      </c>
      <c r="B1375" t="s">
        <v>12609</v>
      </c>
      <c r="C1375" t="s">
        <v>6706</v>
      </c>
      <c r="D1375" t="s">
        <v>6707</v>
      </c>
      <c r="E1375" s="2">
        <v>4000</v>
      </c>
      <c r="F1375" s="2">
        <v>4000</v>
      </c>
      <c r="G1375" s="3">
        <v>43300</v>
      </c>
      <c r="H1375" s="4">
        <v>0.57563657407406998</v>
      </c>
      <c r="I1375" s="3">
        <v>43301</v>
      </c>
      <c r="J1375" s="4">
        <v>2.008101851852E-2</v>
      </c>
      <c r="K1375" s="2">
        <v>20</v>
      </c>
      <c r="L1375" t="s">
        <v>5856</v>
      </c>
      <c r="M1375" t="s">
        <v>9484</v>
      </c>
      <c r="N1375" s="3">
        <v>43299</v>
      </c>
      <c r="O1375" s="3">
        <v>43303</v>
      </c>
      <c r="P1375" t="s">
        <v>5862</v>
      </c>
      <c r="Q1375" t="s">
        <v>9485</v>
      </c>
      <c r="R1375" t="s">
        <v>6036</v>
      </c>
      <c r="S1375" s="3">
        <v>43299</v>
      </c>
      <c r="T1375" t="s">
        <v>9938</v>
      </c>
      <c r="U1375" t="s">
        <v>6555</v>
      </c>
      <c r="V1375" t="s">
        <v>6710</v>
      </c>
      <c r="W1375" t="s">
        <v>5857</v>
      </c>
      <c r="X1375" s="2">
        <v>375</v>
      </c>
      <c r="Y1375" t="s">
        <v>5858</v>
      </c>
      <c r="Z1375" t="s">
        <v>6037</v>
      </c>
      <c r="AA1375" s="2">
        <v>4000</v>
      </c>
      <c r="AB1375" t="s">
        <v>5863</v>
      </c>
      <c r="AC1375" t="s">
        <v>9978</v>
      </c>
      <c r="AD1375" s="32">
        <v>43271</v>
      </c>
      <c r="AJ1375" t="s">
        <v>9958</v>
      </c>
      <c r="AL1375" t="s">
        <v>11416</v>
      </c>
    </row>
    <row r="1376" spans="1:38">
      <c r="A1376" t="s">
        <v>9479</v>
      </c>
      <c r="B1376" t="s">
        <v>13581</v>
      </c>
      <c r="C1376" t="s">
        <v>6706</v>
      </c>
      <c r="D1376" t="s">
        <v>6707</v>
      </c>
      <c r="E1376" s="2">
        <v>4200</v>
      </c>
      <c r="F1376" s="2">
        <v>4200</v>
      </c>
      <c r="G1376" s="3">
        <v>43306</v>
      </c>
      <c r="H1376" s="4">
        <v>0.31805555555555998</v>
      </c>
      <c r="I1376" s="3">
        <v>43306</v>
      </c>
      <c r="J1376" s="4">
        <v>0.78472222222221999</v>
      </c>
      <c r="K1376" s="2">
        <v>20</v>
      </c>
      <c r="L1376" t="s">
        <v>5856</v>
      </c>
      <c r="M1376" t="s">
        <v>9500</v>
      </c>
      <c r="N1376" s="3">
        <v>43312</v>
      </c>
      <c r="O1376" s="3">
        <v>43308</v>
      </c>
      <c r="P1376" t="s">
        <v>5862</v>
      </c>
      <c r="Q1376" t="s">
        <v>13582</v>
      </c>
      <c r="R1376" t="s">
        <v>6036</v>
      </c>
      <c r="S1376" s="3">
        <v>43312</v>
      </c>
      <c r="T1376" t="s">
        <v>9938</v>
      </c>
      <c r="U1376" t="s">
        <v>6555</v>
      </c>
      <c r="V1376" t="s">
        <v>6710</v>
      </c>
      <c r="W1376" t="s">
        <v>5857</v>
      </c>
      <c r="X1376" s="2">
        <v>375</v>
      </c>
      <c r="Y1376" t="s">
        <v>5858</v>
      </c>
      <c r="Z1376" t="s">
        <v>6037</v>
      </c>
      <c r="AA1376" s="2">
        <v>4000</v>
      </c>
      <c r="AB1376" t="s">
        <v>5863</v>
      </c>
      <c r="AC1376" t="s">
        <v>9978</v>
      </c>
      <c r="AD1376" s="32">
        <v>43280</v>
      </c>
      <c r="AJ1376" t="s">
        <v>9958</v>
      </c>
      <c r="AL1376" t="s">
        <v>14241</v>
      </c>
    </row>
    <row r="1377" spans="1:38">
      <c r="A1377" t="s">
        <v>9479</v>
      </c>
      <c r="B1377" t="s">
        <v>12610</v>
      </c>
      <c r="C1377" t="s">
        <v>6869</v>
      </c>
      <c r="D1377" t="s">
        <v>6870</v>
      </c>
      <c r="E1377" s="2">
        <v>20000</v>
      </c>
      <c r="F1377" s="2">
        <v>20000</v>
      </c>
      <c r="G1377" s="3">
        <v>43306</v>
      </c>
      <c r="H1377" s="4">
        <v>0.80555555555556002</v>
      </c>
      <c r="I1377" s="3">
        <v>43309</v>
      </c>
      <c r="J1377" s="4">
        <v>2.777777777778E-2</v>
      </c>
      <c r="K1377" s="2">
        <v>20</v>
      </c>
      <c r="L1377" t="s">
        <v>5856</v>
      </c>
      <c r="M1377" t="s">
        <v>9482</v>
      </c>
      <c r="N1377" s="3">
        <v>43346</v>
      </c>
      <c r="O1377" s="3">
        <v>43311</v>
      </c>
      <c r="P1377" t="s">
        <v>5971</v>
      </c>
      <c r="Q1377" t="s">
        <v>9486</v>
      </c>
      <c r="R1377" t="s">
        <v>6036</v>
      </c>
      <c r="S1377" s="3">
        <v>43346</v>
      </c>
      <c r="T1377" t="s">
        <v>9938</v>
      </c>
      <c r="U1377" t="s">
        <v>6872</v>
      </c>
      <c r="V1377" t="s">
        <v>6041</v>
      </c>
      <c r="W1377" t="s">
        <v>5857</v>
      </c>
      <c r="X1377" s="2">
        <v>375</v>
      </c>
      <c r="Y1377" t="s">
        <v>5858</v>
      </c>
      <c r="Z1377" t="s">
        <v>6037</v>
      </c>
      <c r="AA1377" s="2">
        <v>20000</v>
      </c>
      <c r="AB1377" t="s">
        <v>5863</v>
      </c>
      <c r="AC1377" t="s">
        <v>9974</v>
      </c>
      <c r="AD1377" s="32">
        <v>43202</v>
      </c>
      <c r="AJ1377" t="s">
        <v>9959</v>
      </c>
      <c r="AL1377" t="s">
        <v>11417</v>
      </c>
    </row>
    <row r="1378" spans="1:38">
      <c r="A1378" t="s">
        <v>9479</v>
      </c>
      <c r="B1378" t="s">
        <v>12611</v>
      </c>
      <c r="C1378" t="s">
        <v>8060</v>
      </c>
      <c r="D1378" t="s">
        <v>8061</v>
      </c>
      <c r="E1378" s="5">
        <v>20999.999</v>
      </c>
      <c r="F1378" s="5">
        <v>20999.999</v>
      </c>
      <c r="G1378" s="3">
        <v>43314</v>
      </c>
      <c r="H1378" s="4">
        <v>0.66665509259259004</v>
      </c>
      <c r="I1378" s="3">
        <v>43316</v>
      </c>
      <c r="J1378" s="4">
        <v>0.99998842592592996</v>
      </c>
      <c r="K1378" s="2">
        <v>0</v>
      </c>
      <c r="L1378" t="s">
        <v>5856</v>
      </c>
      <c r="M1378" t="s">
        <v>9480</v>
      </c>
      <c r="N1378" s="3">
        <v>43318</v>
      </c>
      <c r="O1378" s="3">
        <v>43318</v>
      </c>
      <c r="P1378" t="s">
        <v>5967</v>
      </c>
      <c r="Q1378" t="s">
        <v>6038</v>
      </c>
      <c r="R1378" t="s">
        <v>6040</v>
      </c>
      <c r="S1378" s="3">
        <v>43344</v>
      </c>
      <c r="T1378" t="s">
        <v>9938</v>
      </c>
      <c r="U1378" t="s">
        <v>8062</v>
      </c>
      <c r="V1378" t="s">
        <v>7779</v>
      </c>
      <c r="W1378" t="s">
        <v>7883</v>
      </c>
      <c r="X1378" s="2">
        <v>0</v>
      </c>
      <c r="Y1378" t="s">
        <v>5858</v>
      </c>
      <c r="Z1378" t="s">
        <v>6037</v>
      </c>
      <c r="AA1378" s="2">
        <v>20000</v>
      </c>
      <c r="AB1378" t="s">
        <v>5915</v>
      </c>
      <c r="AC1378" t="s">
        <v>9983</v>
      </c>
      <c r="AD1378" s="32"/>
      <c r="AJ1378" t="s">
        <v>9967</v>
      </c>
      <c r="AL1378" t="s">
        <v>11419</v>
      </c>
    </row>
    <row r="1379" spans="1:38">
      <c r="A1379" t="s">
        <v>9479</v>
      </c>
      <c r="B1379" t="s">
        <v>12612</v>
      </c>
      <c r="C1379" t="s">
        <v>8044</v>
      </c>
      <c r="D1379" t="s">
        <v>8045</v>
      </c>
      <c r="E1379" s="2">
        <v>10000</v>
      </c>
      <c r="F1379" s="2">
        <v>10000</v>
      </c>
      <c r="G1379" s="3">
        <v>43315</v>
      </c>
      <c r="H1379" s="4">
        <v>0.88887731481481003</v>
      </c>
      <c r="I1379" s="3">
        <v>43316</v>
      </c>
      <c r="J1379" s="4">
        <v>0.99998842592592996</v>
      </c>
      <c r="K1379" s="2">
        <v>0</v>
      </c>
      <c r="L1379" t="s">
        <v>5856</v>
      </c>
      <c r="M1379" t="s">
        <v>9487</v>
      </c>
      <c r="N1379" s="3"/>
      <c r="O1379" s="3">
        <v>43318</v>
      </c>
      <c r="P1379" t="s">
        <v>5967</v>
      </c>
      <c r="Q1379" t="s">
        <v>6038</v>
      </c>
      <c r="R1379" t="s">
        <v>6040</v>
      </c>
      <c r="S1379" s="3">
        <v>43344</v>
      </c>
      <c r="T1379" t="s">
        <v>9938</v>
      </c>
      <c r="U1379" t="s">
        <v>8046</v>
      </c>
      <c r="V1379" t="s">
        <v>7779</v>
      </c>
      <c r="W1379" t="s">
        <v>8041</v>
      </c>
      <c r="X1379" s="2">
        <v>0</v>
      </c>
      <c r="Y1379" t="s">
        <v>5858</v>
      </c>
      <c r="Z1379" t="s">
        <v>6037</v>
      </c>
      <c r="AA1379" s="2">
        <v>10000</v>
      </c>
      <c r="AB1379" t="s">
        <v>5861</v>
      </c>
      <c r="AC1379" t="s">
        <v>9983</v>
      </c>
      <c r="AD1379" s="32"/>
      <c r="AJ1379" t="s">
        <v>9969</v>
      </c>
      <c r="AL1379" t="s">
        <v>11420</v>
      </c>
    </row>
    <row r="1380" spans="1:38">
      <c r="A1380" t="s">
        <v>9479</v>
      </c>
      <c r="B1380" t="s">
        <v>12613</v>
      </c>
      <c r="C1380" t="s">
        <v>6869</v>
      </c>
      <c r="D1380" t="s">
        <v>6870</v>
      </c>
      <c r="E1380" s="2">
        <v>20000</v>
      </c>
      <c r="F1380" s="2">
        <v>20000</v>
      </c>
      <c r="G1380" s="3">
        <v>43335</v>
      </c>
      <c r="H1380" s="4">
        <v>0.58333333333333004</v>
      </c>
      <c r="I1380" s="3">
        <v>43337</v>
      </c>
      <c r="J1380" s="4">
        <v>0.80555555555556002</v>
      </c>
      <c r="K1380" s="2">
        <v>20</v>
      </c>
      <c r="L1380" t="s">
        <v>5856</v>
      </c>
      <c r="M1380" t="s">
        <v>9482</v>
      </c>
      <c r="N1380" s="3">
        <v>43340</v>
      </c>
      <c r="O1380" s="3">
        <v>43339</v>
      </c>
      <c r="P1380" t="s">
        <v>5971</v>
      </c>
      <c r="Q1380" t="s">
        <v>9488</v>
      </c>
      <c r="R1380" t="s">
        <v>6036</v>
      </c>
      <c r="S1380" s="3">
        <v>43340</v>
      </c>
      <c r="T1380" t="s">
        <v>9938</v>
      </c>
      <c r="U1380" t="s">
        <v>6872</v>
      </c>
      <c r="V1380" t="s">
        <v>6041</v>
      </c>
      <c r="W1380" t="s">
        <v>5857</v>
      </c>
      <c r="X1380" s="2">
        <v>375</v>
      </c>
      <c r="Y1380" t="s">
        <v>5858</v>
      </c>
      <c r="Z1380" t="s">
        <v>6037</v>
      </c>
      <c r="AA1380" s="2">
        <v>20000</v>
      </c>
      <c r="AB1380" t="s">
        <v>5863</v>
      </c>
      <c r="AC1380" t="s">
        <v>9974</v>
      </c>
      <c r="AD1380" s="32"/>
      <c r="AJ1380" t="s">
        <v>9959</v>
      </c>
      <c r="AL1380" t="s">
        <v>11421</v>
      </c>
    </row>
    <row r="1381" spans="1:38">
      <c r="A1381" t="s">
        <v>9479</v>
      </c>
      <c r="B1381" t="s">
        <v>12614</v>
      </c>
      <c r="C1381" t="s">
        <v>8044</v>
      </c>
      <c r="D1381" t="s">
        <v>8045</v>
      </c>
      <c r="E1381" s="2">
        <v>10000</v>
      </c>
      <c r="F1381" s="2">
        <v>10000</v>
      </c>
      <c r="G1381" s="3">
        <v>43336</v>
      </c>
      <c r="H1381" s="4">
        <v>0.88887731481481003</v>
      </c>
      <c r="I1381" s="3">
        <v>43337</v>
      </c>
      <c r="J1381" s="4">
        <v>0.99998842592592996</v>
      </c>
      <c r="K1381" s="2">
        <v>0</v>
      </c>
      <c r="L1381" t="s">
        <v>5856</v>
      </c>
      <c r="M1381" t="s">
        <v>9487</v>
      </c>
      <c r="N1381" s="3"/>
      <c r="O1381" s="3">
        <v>43339</v>
      </c>
      <c r="P1381" t="s">
        <v>5967</v>
      </c>
      <c r="Q1381" t="s">
        <v>6038</v>
      </c>
      <c r="R1381" t="s">
        <v>6040</v>
      </c>
      <c r="S1381" s="3">
        <v>43344</v>
      </c>
      <c r="T1381" t="s">
        <v>9938</v>
      </c>
      <c r="U1381" t="s">
        <v>8046</v>
      </c>
      <c r="V1381" t="s">
        <v>7779</v>
      </c>
      <c r="W1381" t="s">
        <v>8041</v>
      </c>
      <c r="X1381" s="2">
        <v>0</v>
      </c>
      <c r="Y1381" t="s">
        <v>5858</v>
      </c>
      <c r="Z1381" t="s">
        <v>6037</v>
      </c>
      <c r="AA1381" s="2">
        <v>10000</v>
      </c>
      <c r="AB1381" t="s">
        <v>5861</v>
      </c>
      <c r="AC1381" t="s">
        <v>9983</v>
      </c>
      <c r="AD1381" s="32"/>
      <c r="AJ1381" t="s">
        <v>9969</v>
      </c>
      <c r="AL1381" t="s">
        <v>11422</v>
      </c>
    </row>
    <row r="1382" spans="1:38">
      <c r="A1382" t="s">
        <v>9479</v>
      </c>
      <c r="B1382" t="s">
        <v>12615</v>
      </c>
      <c r="C1382" t="s">
        <v>8044</v>
      </c>
      <c r="D1382" t="s">
        <v>8045</v>
      </c>
      <c r="E1382" s="2">
        <v>10000</v>
      </c>
      <c r="F1382" s="2">
        <v>10000</v>
      </c>
      <c r="G1382" s="3">
        <v>43343</v>
      </c>
      <c r="H1382" s="4">
        <v>0.88887731481481003</v>
      </c>
      <c r="I1382" s="3">
        <v>43344</v>
      </c>
      <c r="J1382" s="4">
        <v>0.99998842592592996</v>
      </c>
      <c r="K1382" s="2">
        <v>0</v>
      </c>
      <c r="L1382" t="s">
        <v>5856</v>
      </c>
      <c r="M1382" t="s">
        <v>9487</v>
      </c>
      <c r="N1382" s="3"/>
      <c r="O1382" s="3">
        <v>43346</v>
      </c>
      <c r="P1382" t="s">
        <v>5967</v>
      </c>
      <c r="Q1382" t="s">
        <v>13163</v>
      </c>
      <c r="R1382" t="s">
        <v>6036</v>
      </c>
      <c r="S1382" s="3">
        <v>43346</v>
      </c>
      <c r="T1382" t="s">
        <v>9938</v>
      </c>
      <c r="U1382" t="s">
        <v>8046</v>
      </c>
      <c r="V1382" t="s">
        <v>7779</v>
      </c>
      <c r="W1382" t="s">
        <v>8041</v>
      </c>
      <c r="X1382" s="2">
        <v>0</v>
      </c>
      <c r="Y1382" t="s">
        <v>5858</v>
      </c>
      <c r="Z1382" t="s">
        <v>6037</v>
      </c>
      <c r="AA1382" s="2">
        <v>10000</v>
      </c>
      <c r="AB1382" t="s">
        <v>5861</v>
      </c>
      <c r="AC1382" t="s">
        <v>9983</v>
      </c>
      <c r="AD1382" s="32"/>
      <c r="AJ1382" t="s">
        <v>9969</v>
      </c>
      <c r="AL1382" t="s">
        <v>11423</v>
      </c>
    </row>
    <row r="1383" spans="1:38">
      <c r="A1383" t="s">
        <v>9479</v>
      </c>
      <c r="B1383" t="s">
        <v>6783</v>
      </c>
      <c r="C1383" t="s">
        <v>8044</v>
      </c>
      <c r="D1383" t="s">
        <v>8045</v>
      </c>
      <c r="E1383" s="2">
        <v>10000</v>
      </c>
      <c r="F1383" s="2">
        <v>10000</v>
      </c>
      <c r="G1383" s="3">
        <v>43343</v>
      </c>
      <c r="H1383" s="4">
        <v>0.88887731481481003</v>
      </c>
      <c r="I1383" s="3">
        <v>43344</v>
      </c>
      <c r="J1383" s="4">
        <v>0.99998842592592996</v>
      </c>
      <c r="K1383" s="2">
        <v>0</v>
      </c>
      <c r="L1383" t="s">
        <v>5856</v>
      </c>
      <c r="M1383" t="s">
        <v>9487</v>
      </c>
      <c r="N1383" s="3"/>
      <c r="O1383" s="3">
        <v>43346</v>
      </c>
      <c r="P1383" t="s">
        <v>5967</v>
      </c>
      <c r="Q1383" t="s">
        <v>13163</v>
      </c>
      <c r="R1383" t="s">
        <v>6036</v>
      </c>
      <c r="S1383" s="3">
        <v>43346</v>
      </c>
      <c r="T1383" t="s">
        <v>9938</v>
      </c>
      <c r="U1383" t="s">
        <v>8046</v>
      </c>
      <c r="V1383" t="s">
        <v>7779</v>
      </c>
      <c r="W1383" t="s">
        <v>8041</v>
      </c>
      <c r="X1383" s="2">
        <v>0</v>
      </c>
      <c r="Y1383" t="s">
        <v>5858</v>
      </c>
      <c r="Z1383" t="s">
        <v>6037</v>
      </c>
      <c r="AA1383" s="2">
        <v>10000</v>
      </c>
      <c r="AB1383" t="s">
        <v>5861</v>
      </c>
      <c r="AC1383" t="s">
        <v>9983</v>
      </c>
      <c r="AD1383" s="32"/>
      <c r="AJ1383" t="s">
        <v>9969</v>
      </c>
      <c r="AL1383" t="s">
        <v>11424</v>
      </c>
    </row>
    <row r="1384" spans="1:38">
      <c r="A1384" t="s">
        <v>9479</v>
      </c>
      <c r="B1384" t="s">
        <v>12616</v>
      </c>
      <c r="C1384" t="s">
        <v>8044</v>
      </c>
      <c r="D1384" t="s">
        <v>8045</v>
      </c>
      <c r="E1384" s="2">
        <v>10000</v>
      </c>
      <c r="F1384" s="2">
        <v>10000</v>
      </c>
      <c r="G1384" s="3">
        <v>43350</v>
      </c>
      <c r="H1384" s="4">
        <v>0.88887731481481003</v>
      </c>
      <c r="I1384" s="3">
        <v>43351</v>
      </c>
      <c r="J1384" s="4">
        <v>0.99998842592592996</v>
      </c>
      <c r="K1384" s="2">
        <v>0</v>
      </c>
      <c r="L1384" t="s">
        <v>5856</v>
      </c>
      <c r="M1384" t="s">
        <v>9487</v>
      </c>
      <c r="N1384" s="3"/>
      <c r="O1384" s="3">
        <v>43353</v>
      </c>
      <c r="P1384" t="s">
        <v>5967</v>
      </c>
      <c r="Q1384" t="s">
        <v>13165</v>
      </c>
      <c r="R1384" t="s">
        <v>6036</v>
      </c>
      <c r="S1384" s="3">
        <v>43360</v>
      </c>
      <c r="T1384" t="s">
        <v>9938</v>
      </c>
      <c r="U1384" t="s">
        <v>8046</v>
      </c>
      <c r="V1384" t="s">
        <v>7779</v>
      </c>
      <c r="W1384" t="s">
        <v>8041</v>
      </c>
      <c r="X1384" s="2">
        <v>0</v>
      </c>
      <c r="Y1384" t="s">
        <v>5858</v>
      </c>
      <c r="Z1384" t="s">
        <v>6037</v>
      </c>
      <c r="AA1384" s="2">
        <v>10000</v>
      </c>
      <c r="AB1384" t="s">
        <v>5861</v>
      </c>
      <c r="AC1384" t="s">
        <v>9983</v>
      </c>
      <c r="AD1384" s="32"/>
      <c r="AJ1384" t="s">
        <v>9969</v>
      </c>
      <c r="AL1384" t="s">
        <v>11425</v>
      </c>
    </row>
    <row r="1385" spans="1:38">
      <c r="A1385" t="s">
        <v>9489</v>
      </c>
      <c r="B1385" t="s">
        <v>12617</v>
      </c>
      <c r="C1385" t="s">
        <v>9490</v>
      </c>
      <c r="D1385" t="s">
        <v>9491</v>
      </c>
      <c r="E1385" s="2">
        <v>0</v>
      </c>
      <c r="F1385" s="2">
        <v>420</v>
      </c>
      <c r="G1385" s="3">
        <v>43270</v>
      </c>
      <c r="H1385" s="4">
        <v>0.30001157407406998</v>
      </c>
      <c r="I1385" s="3">
        <v>43270</v>
      </c>
      <c r="J1385" s="4">
        <v>0.88334490740741001</v>
      </c>
      <c r="K1385" s="2">
        <v>0</v>
      </c>
      <c r="L1385" t="s">
        <v>5856</v>
      </c>
      <c r="M1385" t="s">
        <v>9492</v>
      </c>
      <c r="N1385" s="3"/>
      <c r="O1385" s="3">
        <v>43272</v>
      </c>
      <c r="P1385" t="s">
        <v>5862</v>
      </c>
      <c r="Q1385" t="s">
        <v>6038</v>
      </c>
      <c r="R1385" t="s">
        <v>6039</v>
      </c>
      <c r="S1385" s="3"/>
      <c r="T1385" t="s">
        <v>9938</v>
      </c>
      <c r="U1385" t="s">
        <v>9921</v>
      </c>
      <c r="V1385" t="s">
        <v>6458</v>
      </c>
      <c r="W1385" t="s">
        <v>5914</v>
      </c>
      <c r="X1385" s="2">
        <v>25</v>
      </c>
      <c r="Y1385" t="s">
        <v>7306</v>
      </c>
      <c r="Z1385" t="s">
        <v>6037</v>
      </c>
      <c r="AA1385" s="2">
        <v>0</v>
      </c>
      <c r="AB1385" t="s">
        <v>5859</v>
      </c>
      <c r="AC1385" t="s">
        <v>9977</v>
      </c>
      <c r="AD1385" s="32"/>
      <c r="AJ1385" t="s">
        <v>9973</v>
      </c>
      <c r="AL1385" t="s">
        <v>14242</v>
      </c>
    </row>
    <row r="1386" spans="1:38">
      <c r="A1386" t="s">
        <v>9489</v>
      </c>
      <c r="B1386" t="s">
        <v>12618</v>
      </c>
      <c r="C1386" t="s">
        <v>9493</v>
      </c>
      <c r="D1386" t="s">
        <v>9494</v>
      </c>
      <c r="E1386" s="2">
        <v>35</v>
      </c>
      <c r="F1386" s="2">
        <v>35</v>
      </c>
      <c r="G1386" s="3">
        <v>43278</v>
      </c>
      <c r="H1386" s="4">
        <v>0.1</v>
      </c>
      <c r="I1386" s="3">
        <v>43278</v>
      </c>
      <c r="J1386" s="4">
        <v>0.15833333333333</v>
      </c>
      <c r="K1386" s="2">
        <v>4</v>
      </c>
      <c r="L1386" t="s">
        <v>5856</v>
      </c>
      <c r="M1386" t="s">
        <v>9495</v>
      </c>
      <c r="N1386" s="3">
        <v>43285</v>
      </c>
      <c r="O1386" s="3">
        <v>43285</v>
      </c>
      <c r="P1386" t="s">
        <v>5876</v>
      </c>
      <c r="Q1386" t="s">
        <v>9496</v>
      </c>
      <c r="R1386" t="s">
        <v>6036</v>
      </c>
      <c r="S1386" s="3">
        <v>43285</v>
      </c>
      <c r="T1386" t="s">
        <v>9938</v>
      </c>
      <c r="U1386" t="s">
        <v>5877</v>
      </c>
      <c r="V1386" t="s">
        <v>9497</v>
      </c>
      <c r="W1386" t="s">
        <v>5857</v>
      </c>
      <c r="X1386" s="2">
        <v>25</v>
      </c>
      <c r="Y1386" t="s">
        <v>5858</v>
      </c>
      <c r="Z1386" t="s">
        <v>6037</v>
      </c>
      <c r="AA1386" s="2">
        <v>25</v>
      </c>
      <c r="AB1386" t="s">
        <v>5859</v>
      </c>
      <c r="AC1386" t="s">
        <v>9976</v>
      </c>
      <c r="AD1386" s="32">
        <v>43273</v>
      </c>
      <c r="AJ1386" t="s">
        <v>9959</v>
      </c>
      <c r="AL1386" t="s">
        <v>11426</v>
      </c>
    </row>
    <row r="1387" spans="1:38">
      <c r="A1387" t="s">
        <v>9489</v>
      </c>
      <c r="B1387" t="s">
        <v>12619</v>
      </c>
      <c r="C1387" t="s">
        <v>9502</v>
      </c>
      <c r="D1387" t="s">
        <v>9503</v>
      </c>
      <c r="E1387" s="2">
        <v>200</v>
      </c>
      <c r="F1387" s="2">
        <v>200</v>
      </c>
      <c r="G1387" s="3">
        <v>43279</v>
      </c>
      <c r="H1387" s="4">
        <v>0.29166666666667002</v>
      </c>
      <c r="I1387" s="3">
        <v>43279</v>
      </c>
      <c r="J1387" s="4">
        <v>0.625</v>
      </c>
      <c r="K1387" s="2">
        <v>45</v>
      </c>
      <c r="L1387" t="s">
        <v>5856</v>
      </c>
      <c r="M1387" t="s">
        <v>9504</v>
      </c>
      <c r="N1387" s="3">
        <v>43279</v>
      </c>
      <c r="O1387" s="3">
        <v>43281</v>
      </c>
      <c r="P1387" t="s">
        <v>5862</v>
      </c>
      <c r="Q1387" t="s">
        <v>6038</v>
      </c>
      <c r="R1387" t="s">
        <v>6039</v>
      </c>
      <c r="S1387" s="3"/>
      <c r="T1387" t="s">
        <v>9938</v>
      </c>
      <c r="U1387" t="s">
        <v>8322</v>
      </c>
      <c r="V1387" t="s">
        <v>9505</v>
      </c>
      <c r="W1387" t="s">
        <v>5857</v>
      </c>
      <c r="X1387" s="2">
        <v>25</v>
      </c>
      <c r="Y1387" t="s">
        <v>5858</v>
      </c>
      <c r="Z1387" t="s">
        <v>6037</v>
      </c>
      <c r="AA1387" s="2">
        <v>200</v>
      </c>
      <c r="AB1387" t="s">
        <v>5863</v>
      </c>
      <c r="AC1387" t="s">
        <v>9976</v>
      </c>
      <c r="AD1387" s="32">
        <v>43264</v>
      </c>
      <c r="AJ1387" t="s">
        <v>9958</v>
      </c>
      <c r="AL1387" t="s">
        <v>11427</v>
      </c>
    </row>
    <row r="1388" spans="1:38">
      <c r="A1388" t="s">
        <v>9489</v>
      </c>
      <c r="B1388" t="s">
        <v>12620</v>
      </c>
      <c r="C1388" t="s">
        <v>9510</v>
      </c>
      <c r="D1388" t="s">
        <v>9511</v>
      </c>
      <c r="E1388" s="2">
        <v>175</v>
      </c>
      <c r="F1388" s="2">
        <v>175</v>
      </c>
      <c r="G1388" s="3">
        <v>43282</v>
      </c>
      <c r="H1388" s="4">
        <v>0.28333333333333</v>
      </c>
      <c r="I1388" s="3">
        <v>43282</v>
      </c>
      <c r="J1388" s="4">
        <v>0.57499999999999996</v>
      </c>
      <c r="K1388" s="2">
        <v>4</v>
      </c>
      <c r="L1388" t="s">
        <v>5856</v>
      </c>
      <c r="M1388" t="s">
        <v>9512</v>
      </c>
      <c r="N1388" s="3">
        <v>43279</v>
      </c>
      <c r="O1388" s="3">
        <v>43284</v>
      </c>
      <c r="P1388" t="s">
        <v>9513</v>
      </c>
      <c r="Q1388" t="s">
        <v>6038</v>
      </c>
      <c r="R1388" t="s">
        <v>6039</v>
      </c>
      <c r="S1388" s="3"/>
      <c r="T1388" t="s">
        <v>9938</v>
      </c>
      <c r="U1388" t="s">
        <v>9514</v>
      </c>
      <c r="V1388" t="s">
        <v>9515</v>
      </c>
      <c r="W1388" t="s">
        <v>5857</v>
      </c>
      <c r="X1388" s="2">
        <v>25</v>
      </c>
      <c r="Y1388" t="s">
        <v>5858</v>
      </c>
      <c r="Z1388" t="s">
        <v>6037</v>
      </c>
      <c r="AA1388" s="2">
        <v>175</v>
      </c>
      <c r="AB1388" t="s">
        <v>5863</v>
      </c>
      <c r="AC1388" t="s">
        <v>9974</v>
      </c>
      <c r="AD1388" s="32">
        <v>43273</v>
      </c>
      <c r="AJ1388" t="s">
        <v>9957</v>
      </c>
      <c r="AL1388" t="s">
        <v>11428</v>
      </c>
    </row>
    <row r="1389" spans="1:38">
      <c r="A1389" t="s">
        <v>9489</v>
      </c>
      <c r="B1389" t="s">
        <v>12651</v>
      </c>
      <c r="C1389" t="s">
        <v>9597</v>
      </c>
      <c r="D1389" t="s">
        <v>9598</v>
      </c>
      <c r="E1389" s="2">
        <v>70</v>
      </c>
      <c r="F1389" s="2">
        <v>70</v>
      </c>
      <c r="G1389" s="3">
        <v>43283</v>
      </c>
      <c r="H1389" s="4">
        <v>3.4722222222220003E-2</v>
      </c>
      <c r="I1389" s="3">
        <v>43283</v>
      </c>
      <c r="J1389" s="4">
        <v>0.15138888888888999</v>
      </c>
      <c r="K1389" s="2">
        <v>0</v>
      </c>
      <c r="L1389" t="s">
        <v>5856</v>
      </c>
      <c r="M1389" t="s">
        <v>9523</v>
      </c>
      <c r="N1389" s="3">
        <v>43294</v>
      </c>
      <c r="O1389" s="3">
        <v>43285</v>
      </c>
      <c r="P1389" t="s">
        <v>7268</v>
      </c>
      <c r="Q1389" t="s">
        <v>9599</v>
      </c>
      <c r="R1389" t="s">
        <v>6036</v>
      </c>
      <c r="S1389" s="3">
        <v>43294</v>
      </c>
      <c r="T1389" t="s">
        <v>9938</v>
      </c>
      <c r="U1389" t="s">
        <v>9600</v>
      </c>
      <c r="V1389" t="s">
        <v>6045</v>
      </c>
      <c r="W1389" t="s">
        <v>5857</v>
      </c>
      <c r="X1389" s="2">
        <v>25</v>
      </c>
      <c r="Y1389" t="s">
        <v>5858</v>
      </c>
      <c r="Z1389" t="s">
        <v>6037</v>
      </c>
      <c r="AA1389" s="2">
        <v>50</v>
      </c>
      <c r="AB1389" t="s">
        <v>5859</v>
      </c>
      <c r="AC1389" t="s">
        <v>9981</v>
      </c>
      <c r="AD1389" s="32">
        <v>43272</v>
      </c>
      <c r="AJ1389" t="s">
        <v>9958</v>
      </c>
      <c r="AL1389" t="s">
        <v>14243</v>
      </c>
    </row>
    <row r="1390" spans="1:38">
      <c r="A1390" t="s">
        <v>9489</v>
      </c>
      <c r="B1390" t="s">
        <v>12621</v>
      </c>
      <c r="C1390" t="s">
        <v>9518</v>
      </c>
      <c r="D1390" t="s">
        <v>9519</v>
      </c>
      <c r="E1390" s="2">
        <v>40</v>
      </c>
      <c r="F1390" s="2">
        <v>140</v>
      </c>
      <c r="G1390" s="3">
        <v>43284</v>
      </c>
      <c r="H1390" s="4">
        <v>2.0833333333330002E-2</v>
      </c>
      <c r="I1390" s="3">
        <v>43284</v>
      </c>
      <c r="J1390" s="4">
        <v>0.25416666666666998</v>
      </c>
      <c r="K1390" s="2">
        <v>25</v>
      </c>
      <c r="L1390" t="s">
        <v>5856</v>
      </c>
      <c r="M1390" t="s">
        <v>9509</v>
      </c>
      <c r="N1390" s="3">
        <v>43290</v>
      </c>
      <c r="O1390" s="3">
        <v>43291</v>
      </c>
      <c r="P1390" t="s">
        <v>6868</v>
      </c>
      <c r="Q1390" t="s">
        <v>6038</v>
      </c>
      <c r="R1390" t="s">
        <v>6039</v>
      </c>
      <c r="S1390" s="3"/>
      <c r="T1390" t="s">
        <v>9938</v>
      </c>
      <c r="U1390" t="s">
        <v>5917</v>
      </c>
      <c r="V1390" t="s">
        <v>9520</v>
      </c>
      <c r="W1390" t="s">
        <v>6038</v>
      </c>
      <c r="X1390" s="2">
        <v>25</v>
      </c>
      <c r="Y1390" t="s">
        <v>5858</v>
      </c>
      <c r="Z1390" t="s">
        <v>6037</v>
      </c>
      <c r="AA1390" s="2">
        <v>0</v>
      </c>
      <c r="AB1390" t="s">
        <v>5859</v>
      </c>
      <c r="AC1390" t="s">
        <v>9976</v>
      </c>
      <c r="AD1390" s="32">
        <v>43278</v>
      </c>
      <c r="AJ1390" t="s">
        <v>9958</v>
      </c>
      <c r="AL1390" t="s">
        <v>14244</v>
      </c>
    </row>
    <row r="1391" spans="1:38">
      <c r="A1391" t="s">
        <v>9489</v>
      </c>
      <c r="B1391" t="s">
        <v>13583</v>
      </c>
      <c r="C1391" t="s">
        <v>7339</v>
      </c>
      <c r="D1391" t="s">
        <v>7340</v>
      </c>
      <c r="E1391" s="2">
        <v>100</v>
      </c>
      <c r="F1391" s="2">
        <v>100</v>
      </c>
      <c r="G1391" s="3">
        <v>43284</v>
      </c>
      <c r="H1391" s="4">
        <v>0.78333333333333</v>
      </c>
      <c r="I1391" s="3">
        <v>43284</v>
      </c>
      <c r="J1391" s="4">
        <v>0.95</v>
      </c>
      <c r="K1391" s="2">
        <v>4</v>
      </c>
      <c r="L1391" t="s">
        <v>5856</v>
      </c>
      <c r="M1391" t="s">
        <v>9516</v>
      </c>
      <c r="N1391" s="3">
        <v>43287</v>
      </c>
      <c r="O1391" s="3">
        <v>43286</v>
      </c>
      <c r="P1391" t="s">
        <v>7323</v>
      </c>
      <c r="Q1391" t="s">
        <v>7342</v>
      </c>
      <c r="R1391" t="s">
        <v>6036</v>
      </c>
      <c r="S1391" s="3">
        <v>43287</v>
      </c>
      <c r="T1391" t="s">
        <v>9938</v>
      </c>
      <c r="U1391" t="s">
        <v>5867</v>
      </c>
      <c r="V1391" t="s">
        <v>7343</v>
      </c>
      <c r="W1391" t="s">
        <v>5857</v>
      </c>
      <c r="X1391" s="2">
        <v>25</v>
      </c>
      <c r="Y1391" t="s">
        <v>5858</v>
      </c>
      <c r="Z1391" t="s">
        <v>6037</v>
      </c>
      <c r="AA1391" s="2">
        <v>100</v>
      </c>
      <c r="AB1391" t="s">
        <v>5863</v>
      </c>
      <c r="AC1391" t="s">
        <v>9974</v>
      </c>
      <c r="AD1391" s="32">
        <v>43279</v>
      </c>
      <c r="AJ1391" t="s">
        <v>9959</v>
      </c>
      <c r="AL1391" t="s">
        <v>14245</v>
      </c>
    </row>
    <row r="1392" spans="1:38">
      <c r="A1392" t="s">
        <v>9489</v>
      </c>
      <c r="B1392" t="s">
        <v>12652</v>
      </c>
      <c r="C1392" t="s">
        <v>9601</v>
      </c>
      <c r="D1392" t="s">
        <v>9602</v>
      </c>
      <c r="E1392" s="2">
        <v>140</v>
      </c>
      <c r="F1392" s="2">
        <v>140</v>
      </c>
      <c r="G1392" s="3">
        <v>43285</v>
      </c>
      <c r="H1392" s="4">
        <v>2.0833333333330002E-2</v>
      </c>
      <c r="I1392" s="3">
        <v>43285</v>
      </c>
      <c r="J1392" s="4">
        <v>0.25416666666666998</v>
      </c>
      <c r="K1392" s="2">
        <v>20</v>
      </c>
      <c r="L1392" t="s">
        <v>5856</v>
      </c>
      <c r="M1392" t="s">
        <v>9509</v>
      </c>
      <c r="N1392" s="3">
        <v>43297</v>
      </c>
      <c r="O1392" s="3">
        <v>43287</v>
      </c>
      <c r="P1392" t="s">
        <v>5876</v>
      </c>
      <c r="Q1392" t="s">
        <v>9603</v>
      </c>
      <c r="R1392" t="s">
        <v>6036</v>
      </c>
      <c r="S1392" s="3">
        <v>43297</v>
      </c>
      <c r="T1392" t="s">
        <v>9938</v>
      </c>
      <c r="U1392" t="s">
        <v>5877</v>
      </c>
      <c r="V1392" t="s">
        <v>9604</v>
      </c>
      <c r="W1392" t="s">
        <v>5857</v>
      </c>
      <c r="X1392" s="2">
        <v>25</v>
      </c>
      <c r="Y1392" t="s">
        <v>5858</v>
      </c>
      <c r="Z1392" t="s">
        <v>6037</v>
      </c>
      <c r="AA1392" s="2">
        <v>100</v>
      </c>
      <c r="AB1392" t="s">
        <v>5859</v>
      </c>
      <c r="AC1392" t="s">
        <v>9976</v>
      </c>
      <c r="AD1392" s="32">
        <v>43276</v>
      </c>
      <c r="AJ1392" t="s">
        <v>9959</v>
      </c>
      <c r="AL1392" t="s">
        <v>14246</v>
      </c>
    </row>
    <row r="1393" spans="1:38">
      <c r="A1393" t="s">
        <v>9489</v>
      </c>
      <c r="B1393" t="s">
        <v>13584</v>
      </c>
      <c r="C1393" t="s">
        <v>8730</v>
      </c>
      <c r="D1393" t="s">
        <v>8731</v>
      </c>
      <c r="E1393" s="2">
        <v>175</v>
      </c>
      <c r="F1393" s="2">
        <v>175</v>
      </c>
      <c r="G1393" s="3">
        <v>43285</v>
      </c>
      <c r="H1393" s="4">
        <v>0.50276620370369995</v>
      </c>
      <c r="I1393" s="3">
        <v>43285</v>
      </c>
      <c r="J1393" s="4">
        <v>0.79443287037037003</v>
      </c>
      <c r="K1393" s="2">
        <v>0</v>
      </c>
      <c r="L1393" t="s">
        <v>5856</v>
      </c>
      <c r="M1393" t="s">
        <v>9512</v>
      </c>
      <c r="N1393" s="3">
        <v>43284</v>
      </c>
      <c r="O1393" s="3">
        <v>43287</v>
      </c>
      <c r="P1393" t="s">
        <v>5904</v>
      </c>
      <c r="Q1393" t="s">
        <v>8732</v>
      </c>
      <c r="R1393" t="s">
        <v>6042</v>
      </c>
      <c r="S1393" s="3">
        <v>43284</v>
      </c>
      <c r="T1393" t="s">
        <v>9938</v>
      </c>
      <c r="U1393" t="s">
        <v>8733</v>
      </c>
      <c r="V1393" t="s">
        <v>8734</v>
      </c>
      <c r="W1393" t="s">
        <v>5857</v>
      </c>
      <c r="X1393" s="2">
        <v>25</v>
      </c>
      <c r="Y1393" t="s">
        <v>5858</v>
      </c>
      <c r="Z1393" t="s">
        <v>6037</v>
      </c>
      <c r="AA1393" s="2">
        <v>125</v>
      </c>
      <c r="AB1393" t="s">
        <v>5863</v>
      </c>
      <c r="AC1393" t="s">
        <v>9974</v>
      </c>
      <c r="AD1393" s="32">
        <v>43281</v>
      </c>
      <c r="AJ1393" t="s">
        <v>9957</v>
      </c>
      <c r="AL1393" t="s">
        <v>14247</v>
      </c>
    </row>
    <row r="1394" spans="1:38">
      <c r="A1394" t="s">
        <v>9489</v>
      </c>
      <c r="B1394" t="s">
        <v>12623</v>
      </c>
      <c r="C1394" t="s">
        <v>9527</v>
      </c>
      <c r="D1394" t="s">
        <v>9528</v>
      </c>
      <c r="E1394" s="2">
        <v>35</v>
      </c>
      <c r="F1394" s="2">
        <v>35</v>
      </c>
      <c r="G1394" s="3">
        <v>43286</v>
      </c>
      <c r="H1394" s="4">
        <v>0.22083333333333</v>
      </c>
      <c r="I1394" s="3">
        <v>43286</v>
      </c>
      <c r="J1394" s="4">
        <v>0.27916666666667</v>
      </c>
      <c r="K1394" s="2">
        <v>4</v>
      </c>
      <c r="L1394" t="s">
        <v>5856</v>
      </c>
      <c r="M1394" t="s">
        <v>9495</v>
      </c>
      <c r="N1394" s="3">
        <v>43272</v>
      </c>
      <c r="O1394" s="3">
        <v>43288</v>
      </c>
      <c r="P1394" t="s">
        <v>5881</v>
      </c>
      <c r="Q1394" t="s">
        <v>6038</v>
      </c>
      <c r="R1394" t="s">
        <v>6039</v>
      </c>
      <c r="S1394" s="3"/>
      <c r="T1394" t="s">
        <v>9938</v>
      </c>
      <c r="U1394" t="s">
        <v>5893</v>
      </c>
      <c r="V1394" t="s">
        <v>9529</v>
      </c>
      <c r="W1394" t="s">
        <v>5857</v>
      </c>
      <c r="X1394" s="2">
        <v>0</v>
      </c>
      <c r="Y1394" t="s">
        <v>5858</v>
      </c>
      <c r="Z1394" t="s">
        <v>6037</v>
      </c>
      <c r="AA1394" s="2">
        <v>25</v>
      </c>
      <c r="AB1394" t="s">
        <v>5915</v>
      </c>
      <c r="AC1394" t="s">
        <v>9978</v>
      </c>
      <c r="AD1394" s="32"/>
      <c r="AJ1394" t="s">
        <v>9958</v>
      </c>
      <c r="AL1394" t="s">
        <v>14248</v>
      </c>
    </row>
    <row r="1395" spans="1:38">
      <c r="A1395" t="s">
        <v>9489</v>
      </c>
      <c r="B1395" t="s">
        <v>12624</v>
      </c>
      <c r="C1395" t="s">
        <v>9530</v>
      </c>
      <c r="D1395" t="s">
        <v>9531</v>
      </c>
      <c r="E1395" s="2">
        <v>25</v>
      </c>
      <c r="F1395" s="2">
        <v>25</v>
      </c>
      <c r="G1395" s="3">
        <v>43286</v>
      </c>
      <c r="H1395" s="4">
        <v>0.3</v>
      </c>
      <c r="I1395" s="3">
        <v>43286</v>
      </c>
      <c r="J1395" s="4">
        <v>0.34166666666667</v>
      </c>
      <c r="K1395" s="2">
        <v>4</v>
      </c>
      <c r="L1395" t="s">
        <v>5856</v>
      </c>
      <c r="M1395" t="s">
        <v>6994</v>
      </c>
      <c r="N1395" s="3">
        <v>43283</v>
      </c>
      <c r="O1395" s="3">
        <v>43288</v>
      </c>
      <c r="P1395" t="s">
        <v>5885</v>
      </c>
      <c r="Q1395" t="s">
        <v>6038</v>
      </c>
      <c r="R1395" t="s">
        <v>6039</v>
      </c>
      <c r="S1395" s="3"/>
      <c r="T1395" t="s">
        <v>9938</v>
      </c>
      <c r="U1395" t="s">
        <v>9532</v>
      </c>
      <c r="V1395" t="s">
        <v>9533</v>
      </c>
      <c r="W1395" t="s">
        <v>6038</v>
      </c>
      <c r="X1395" s="2">
        <v>25</v>
      </c>
      <c r="Y1395" t="s">
        <v>5858</v>
      </c>
      <c r="Z1395" t="s">
        <v>6037</v>
      </c>
      <c r="AA1395" s="2">
        <v>25</v>
      </c>
      <c r="AB1395" t="s">
        <v>5863</v>
      </c>
      <c r="AC1395" t="s">
        <v>9981</v>
      </c>
      <c r="AD1395" s="32">
        <v>43272</v>
      </c>
      <c r="AJ1395" t="s">
        <v>9958</v>
      </c>
      <c r="AL1395" t="s">
        <v>11430</v>
      </c>
    </row>
    <row r="1396" spans="1:38">
      <c r="A1396" t="s">
        <v>9489</v>
      </c>
      <c r="B1396" t="s">
        <v>12625</v>
      </c>
      <c r="C1396" t="s">
        <v>9530</v>
      </c>
      <c r="D1396" t="s">
        <v>9531</v>
      </c>
      <c r="E1396" s="2">
        <v>25</v>
      </c>
      <c r="F1396" s="2">
        <v>25</v>
      </c>
      <c r="G1396" s="3">
        <v>43286</v>
      </c>
      <c r="H1396" s="4">
        <v>0.36249999999999999</v>
      </c>
      <c r="I1396" s="3">
        <v>43286</v>
      </c>
      <c r="J1396" s="4">
        <v>0.40416666666667</v>
      </c>
      <c r="K1396" s="2">
        <v>4</v>
      </c>
      <c r="L1396" t="s">
        <v>5856</v>
      </c>
      <c r="M1396" t="s">
        <v>6994</v>
      </c>
      <c r="N1396" s="3">
        <v>43279</v>
      </c>
      <c r="O1396" s="3">
        <v>43288</v>
      </c>
      <c r="P1396" t="s">
        <v>5885</v>
      </c>
      <c r="Q1396" t="s">
        <v>6038</v>
      </c>
      <c r="R1396" t="s">
        <v>6039</v>
      </c>
      <c r="S1396" s="3"/>
      <c r="T1396" t="s">
        <v>9938</v>
      </c>
      <c r="U1396" t="s">
        <v>9532</v>
      </c>
      <c r="V1396" t="s">
        <v>9533</v>
      </c>
      <c r="W1396" t="s">
        <v>6038</v>
      </c>
      <c r="X1396" s="2">
        <v>25</v>
      </c>
      <c r="Y1396" t="s">
        <v>5858</v>
      </c>
      <c r="Z1396" t="s">
        <v>6037</v>
      </c>
      <c r="AA1396" s="2">
        <v>25</v>
      </c>
      <c r="AB1396" t="s">
        <v>5863</v>
      </c>
      <c r="AC1396" t="s">
        <v>9981</v>
      </c>
      <c r="AD1396" s="32">
        <v>43272</v>
      </c>
      <c r="AJ1396" t="s">
        <v>9958</v>
      </c>
      <c r="AL1396" t="s">
        <v>11431</v>
      </c>
    </row>
    <row r="1397" spans="1:38">
      <c r="A1397" t="s">
        <v>9489</v>
      </c>
      <c r="B1397" t="s">
        <v>12684</v>
      </c>
      <c r="C1397" t="s">
        <v>9693</v>
      </c>
      <c r="D1397" t="s">
        <v>9694</v>
      </c>
      <c r="E1397" s="2">
        <v>70</v>
      </c>
      <c r="F1397" s="2">
        <v>70</v>
      </c>
      <c r="G1397" s="3">
        <v>43286</v>
      </c>
      <c r="H1397" s="4">
        <v>0.40625</v>
      </c>
      <c r="I1397" s="3">
        <v>43286</v>
      </c>
      <c r="J1397" s="4">
        <v>0.52291666666667003</v>
      </c>
      <c r="K1397" s="2">
        <v>0</v>
      </c>
      <c r="L1397" t="s">
        <v>5856</v>
      </c>
      <c r="M1397" t="s">
        <v>9523</v>
      </c>
      <c r="N1397" s="3">
        <v>43294</v>
      </c>
      <c r="O1397" s="3">
        <v>43288</v>
      </c>
      <c r="P1397" t="s">
        <v>5925</v>
      </c>
      <c r="Q1397" t="s">
        <v>9695</v>
      </c>
      <c r="R1397" t="s">
        <v>6036</v>
      </c>
      <c r="S1397" s="3">
        <v>43294</v>
      </c>
      <c r="T1397" t="s">
        <v>9938</v>
      </c>
      <c r="U1397" t="s">
        <v>8789</v>
      </c>
      <c r="V1397" t="s">
        <v>5948</v>
      </c>
      <c r="W1397" t="s">
        <v>5857</v>
      </c>
      <c r="X1397" s="2">
        <v>25</v>
      </c>
      <c r="Y1397" t="s">
        <v>5858</v>
      </c>
      <c r="Z1397" t="s">
        <v>6037</v>
      </c>
      <c r="AA1397" s="2">
        <v>50</v>
      </c>
      <c r="AB1397" t="s">
        <v>5863</v>
      </c>
      <c r="AC1397" t="s">
        <v>9976</v>
      </c>
      <c r="AD1397" s="32">
        <v>43273</v>
      </c>
      <c r="AJ1397" t="s">
        <v>9958</v>
      </c>
      <c r="AL1397" t="s">
        <v>14249</v>
      </c>
    </row>
    <row r="1398" spans="1:38">
      <c r="A1398" t="s">
        <v>9489</v>
      </c>
      <c r="B1398" t="s">
        <v>13585</v>
      </c>
      <c r="C1398" t="s">
        <v>8266</v>
      </c>
      <c r="D1398" t="s">
        <v>8267</v>
      </c>
      <c r="E1398" s="2">
        <v>70</v>
      </c>
      <c r="F1398" s="2">
        <v>70</v>
      </c>
      <c r="G1398" s="3">
        <v>43286</v>
      </c>
      <c r="H1398" s="4">
        <v>0.61250000000000004</v>
      </c>
      <c r="I1398" s="3">
        <v>43286</v>
      </c>
      <c r="J1398" s="4">
        <v>0.72916666666666996</v>
      </c>
      <c r="K1398" s="2">
        <v>0</v>
      </c>
      <c r="L1398" t="s">
        <v>5856</v>
      </c>
      <c r="M1398" t="s">
        <v>9523</v>
      </c>
      <c r="N1398" s="3">
        <v>43287</v>
      </c>
      <c r="O1398" s="3">
        <v>43288</v>
      </c>
      <c r="P1398" t="s">
        <v>6591</v>
      </c>
      <c r="Q1398" t="s">
        <v>6038</v>
      </c>
      <c r="R1398" t="s">
        <v>6039</v>
      </c>
      <c r="S1398" s="3"/>
      <c r="T1398" t="s">
        <v>9938</v>
      </c>
      <c r="U1398" t="s">
        <v>6052</v>
      </c>
      <c r="V1398" t="s">
        <v>8269</v>
      </c>
      <c r="W1398" t="s">
        <v>5857</v>
      </c>
      <c r="X1398" s="2">
        <v>25</v>
      </c>
      <c r="Y1398" t="s">
        <v>5858</v>
      </c>
      <c r="Z1398" t="s">
        <v>6037</v>
      </c>
      <c r="AA1398" s="2">
        <v>50</v>
      </c>
      <c r="AB1398" t="s">
        <v>5863</v>
      </c>
      <c r="AC1398" t="s">
        <v>9974</v>
      </c>
      <c r="AD1398" s="32">
        <v>43282</v>
      </c>
      <c r="AJ1398" t="s">
        <v>9958</v>
      </c>
      <c r="AL1398" t="s">
        <v>14250</v>
      </c>
    </row>
    <row r="1399" spans="1:38">
      <c r="A1399" t="s">
        <v>9489</v>
      </c>
      <c r="B1399" t="s">
        <v>12626</v>
      </c>
      <c r="C1399" t="s">
        <v>9535</v>
      </c>
      <c r="D1399" t="s">
        <v>9536</v>
      </c>
      <c r="E1399" s="2">
        <v>50</v>
      </c>
      <c r="F1399" s="2">
        <v>50</v>
      </c>
      <c r="G1399" s="3">
        <v>43286</v>
      </c>
      <c r="H1399" s="4">
        <v>0.75</v>
      </c>
      <c r="I1399" s="3">
        <v>43286</v>
      </c>
      <c r="J1399" s="4">
        <v>0.83333333333333004</v>
      </c>
      <c r="K1399" s="2">
        <v>4</v>
      </c>
      <c r="L1399" t="s">
        <v>5856</v>
      </c>
      <c r="M1399" t="s">
        <v>9537</v>
      </c>
      <c r="N1399" s="3">
        <v>43276</v>
      </c>
      <c r="O1399" s="3">
        <v>43288</v>
      </c>
      <c r="P1399" t="s">
        <v>5898</v>
      </c>
      <c r="Q1399" t="s">
        <v>6038</v>
      </c>
      <c r="R1399" t="s">
        <v>6039</v>
      </c>
      <c r="S1399" s="3"/>
      <c r="T1399" t="s">
        <v>9938</v>
      </c>
      <c r="U1399" t="s">
        <v>8154</v>
      </c>
      <c r="V1399" t="s">
        <v>5899</v>
      </c>
      <c r="W1399" t="s">
        <v>5857</v>
      </c>
      <c r="X1399" s="2">
        <v>25</v>
      </c>
      <c r="Y1399" t="s">
        <v>5858</v>
      </c>
      <c r="Z1399" t="s">
        <v>6037</v>
      </c>
      <c r="AA1399" s="2">
        <v>50</v>
      </c>
      <c r="AB1399" t="s">
        <v>5863</v>
      </c>
      <c r="AC1399" t="s">
        <v>9974</v>
      </c>
      <c r="AD1399" s="32">
        <v>43273</v>
      </c>
      <c r="AI1399" t="s">
        <v>9939</v>
      </c>
      <c r="AJ1399" t="s">
        <v>9958</v>
      </c>
      <c r="AL1399" t="s">
        <v>11432</v>
      </c>
    </row>
    <row r="1400" spans="1:38">
      <c r="A1400" t="s">
        <v>9489</v>
      </c>
      <c r="B1400" t="s">
        <v>12627</v>
      </c>
      <c r="C1400" t="s">
        <v>9538</v>
      </c>
      <c r="D1400" t="s">
        <v>9539</v>
      </c>
      <c r="E1400" s="2">
        <v>75</v>
      </c>
      <c r="F1400" s="2">
        <v>75</v>
      </c>
      <c r="G1400" s="3">
        <v>43286</v>
      </c>
      <c r="H1400" s="4">
        <v>0.85416666666666996</v>
      </c>
      <c r="I1400" s="3">
        <v>43286</v>
      </c>
      <c r="J1400" s="4">
        <v>0.97916666666666996</v>
      </c>
      <c r="K1400" s="2">
        <v>4</v>
      </c>
      <c r="L1400" t="s">
        <v>5856</v>
      </c>
      <c r="M1400" t="s">
        <v>9540</v>
      </c>
      <c r="N1400" s="3">
        <v>43279</v>
      </c>
      <c r="O1400" s="3">
        <v>43288</v>
      </c>
      <c r="P1400" t="s">
        <v>5862</v>
      </c>
      <c r="Q1400" t="s">
        <v>6038</v>
      </c>
      <c r="R1400" t="s">
        <v>6039</v>
      </c>
      <c r="S1400" s="3"/>
      <c r="T1400" t="s">
        <v>9938</v>
      </c>
      <c r="U1400" t="s">
        <v>5879</v>
      </c>
      <c r="V1400" t="s">
        <v>9541</v>
      </c>
      <c r="W1400" t="s">
        <v>5857</v>
      </c>
      <c r="X1400" s="2">
        <v>25</v>
      </c>
      <c r="Y1400" t="s">
        <v>5858</v>
      </c>
      <c r="Z1400" t="s">
        <v>6037</v>
      </c>
      <c r="AA1400" s="2">
        <v>75</v>
      </c>
      <c r="AB1400" t="s">
        <v>5863</v>
      </c>
      <c r="AC1400" t="s">
        <v>9974</v>
      </c>
      <c r="AD1400" s="32">
        <v>43274</v>
      </c>
      <c r="AI1400" t="s">
        <v>9943</v>
      </c>
      <c r="AJ1400" t="s">
        <v>9959</v>
      </c>
      <c r="AL1400" t="s">
        <v>11433</v>
      </c>
    </row>
    <row r="1401" spans="1:38">
      <c r="A1401" t="s">
        <v>9489</v>
      </c>
      <c r="B1401" t="s">
        <v>12628</v>
      </c>
      <c r="C1401" t="s">
        <v>9542</v>
      </c>
      <c r="D1401" t="s">
        <v>9543</v>
      </c>
      <c r="E1401" s="2">
        <v>25</v>
      </c>
      <c r="F1401" s="2">
        <v>25</v>
      </c>
      <c r="G1401" s="3">
        <v>43287</v>
      </c>
      <c r="H1401" s="4">
        <v>0</v>
      </c>
      <c r="I1401" s="3">
        <v>43287</v>
      </c>
      <c r="J1401" s="4">
        <v>4.1666666666670002E-2</v>
      </c>
      <c r="K1401" s="2">
        <v>4</v>
      </c>
      <c r="L1401" t="s">
        <v>5856</v>
      </c>
      <c r="M1401" t="s">
        <v>6994</v>
      </c>
      <c r="N1401" s="3">
        <v>43280</v>
      </c>
      <c r="O1401" s="3">
        <v>43289</v>
      </c>
      <c r="P1401" t="s">
        <v>6638</v>
      </c>
      <c r="Q1401" t="s">
        <v>6038</v>
      </c>
      <c r="R1401" t="s">
        <v>6039</v>
      </c>
      <c r="S1401" s="3"/>
      <c r="T1401" t="s">
        <v>9938</v>
      </c>
      <c r="U1401" t="s">
        <v>5963</v>
      </c>
      <c r="V1401" t="s">
        <v>9544</v>
      </c>
      <c r="W1401" t="s">
        <v>5857</v>
      </c>
      <c r="X1401" s="2">
        <v>25</v>
      </c>
      <c r="Y1401" t="s">
        <v>5858</v>
      </c>
      <c r="Z1401" t="s">
        <v>6037</v>
      </c>
      <c r="AA1401" s="2">
        <v>25</v>
      </c>
      <c r="AB1401" t="s">
        <v>5863</v>
      </c>
      <c r="AC1401" t="s">
        <v>9978</v>
      </c>
      <c r="AD1401" s="32">
        <v>43274</v>
      </c>
      <c r="AI1401" t="s">
        <v>9943</v>
      </c>
      <c r="AJ1401" t="s">
        <v>9958</v>
      </c>
      <c r="AL1401" t="s">
        <v>11434</v>
      </c>
    </row>
    <row r="1402" spans="1:38">
      <c r="A1402" t="s">
        <v>9489</v>
      </c>
      <c r="B1402" t="s">
        <v>12633</v>
      </c>
      <c r="C1402" t="s">
        <v>6102</v>
      </c>
      <c r="D1402" t="s">
        <v>6025</v>
      </c>
      <c r="E1402" s="2">
        <v>40</v>
      </c>
      <c r="F1402" s="2">
        <v>140</v>
      </c>
      <c r="G1402" s="3">
        <v>43287</v>
      </c>
      <c r="H1402" s="4">
        <v>6.25E-2</v>
      </c>
      <c r="I1402" s="3">
        <v>43287</v>
      </c>
      <c r="J1402" s="4">
        <v>0.29583333333333001</v>
      </c>
      <c r="K1402" s="2">
        <v>25</v>
      </c>
      <c r="L1402" t="s">
        <v>5856</v>
      </c>
      <c r="M1402" t="s">
        <v>9509</v>
      </c>
      <c r="N1402" s="3">
        <v>43290</v>
      </c>
      <c r="O1402" s="3">
        <v>43289</v>
      </c>
      <c r="P1402" t="s">
        <v>6026</v>
      </c>
      <c r="Q1402" t="s">
        <v>6038</v>
      </c>
      <c r="R1402" t="s">
        <v>6039</v>
      </c>
      <c r="S1402" s="3"/>
      <c r="T1402" t="s">
        <v>9938</v>
      </c>
      <c r="U1402" t="s">
        <v>5917</v>
      </c>
      <c r="V1402" t="s">
        <v>6027</v>
      </c>
      <c r="W1402" t="s">
        <v>5857</v>
      </c>
      <c r="X1402" s="2">
        <v>25</v>
      </c>
      <c r="Y1402" t="s">
        <v>5858</v>
      </c>
      <c r="Z1402" t="s">
        <v>6037</v>
      </c>
      <c r="AA1402" s="2">
        <v>0</v>
      </c>
      <c r="AB1402" t="s">
        <v>5859</v>
      </c>
      <c r="AC1402" t="s">
        <v>9976</v>
      </c>
      <c r="AD1402" s="32">
        <v>43278</v>
      </c>
      <c r="AJ1402" t="s">
        <v>9958</v>
      </c>
      <c r="AL1402" t="s">
        <v>14251</v>
      </c>
    </row>
    <row r="1403" spans="1:38">
      <c r="A1403" t="s">
        <v>9489</v>
      </c>
      <c r="B1403" t="s">
        <v>13586</v>
      </c>
      <c r="C1403" t="s">
        <v>7673</v>
      </c>
      <c r="D1403" t="s">
        <v>7674</v>
      </c>
      <c r="E1403" s="2">
        <v>35</v>
      </c>
      <c r="F1403" s="2">
        <v>35</v>
      </c>
      <c r="G1403" s="3">
        <v>43287</v>
      </c>
      <c r="H1403" s="4">
        <v>0.40578703703704</v>
      </c>
      <c r="I1403" s="3">
        <v>43287</v>
      </c>
      <c r="J1403" s="4">
        <v>0.46412037037037002</v>
      </c>
      <c r="K1403" s="2">
        <v>0</v>
      </c>
      <c r="L1403" t="s">
        <v>5856</v>
      </c>
      <c r="M1403" t="s">
        <v>9495</v>
      </c>
      <c r="N1403" s="3">
        <v>43285</v>
      </c>
      <c r="O1403" s="3">
        <v>43289</v>
      </c>
      <c r="P1403" t="s">
        <v>5862</v>
      </c>
      <c r="Q1403" t="s">
        <v>8265</v>
      </c>
      <c r="R1403" t="s">
        <v>6036</v>
      </c>
      <c r="S1403" s="3">
        <v>43285</v>
      </c>
      <c r="T1403" t="s">
        <v>9938</v>
      </c>
      <c r="U1403" t="s">
        <v>6052</v>
      </c>
      <c r="V1403" t="s">
        <v>5965</v>
      </c>
      <c r="W1403" t="s">
        <v>5857</v>
      </c>
      <c r="X1403" s="2">
        <v>25</v>
      </c>
      <c r="Y1403" t="s">
        <v>5858</v>
      </c>
      <c r="Z1403" t="s">
        <v>6037</v>
      </c>
      <c r="AA1403" s="2">
        <v>25</v>
      </c>
      <c r="AB1403" t="s">
        <v>5863</v>
      </c>
      <c r="AC1403" t="s">
        <v>9974</v>
      </c>
      <c r="AD1403" s="32">
        <v>43282</v>
      </c>
      <c r="AJ1403" t="s">
        <v>9958</v>
      </c>
      <c r="AL1403" t="s">
        <v>14252</v>
      </c>
    </row>
    <row r="1404" spans="1:38">
      <c r="A1404" t="s">
        <v>9489</v>
      </c>
      <c r="B1404" t="s">
        <v>13587</v>
      </c>
      <c r="C1404" t="s">
        <v>7673</v>
      </c>
      <c r="D1404" t="s">
        <v>7674</v>
      </c>
      <c r="E1404" s="2">
        <v>35</v>
      </c>
      <c r="F1404" s="2">
        <v>35</v>
      </c>
      <c r="G1404" s="3">
        <v>43287</v>
      </c>
      <c r="H1404" s="4">
        <v>0.4849537037037</v>
      </c>
      <c r="I1404" s="3">
        <v>43287</v>
      </c>
      <c r="J1404" s="4">
        <v>0.54328703703703995</v>
      </c>
      <c r="K1404" s="2">
        <v>0</v>
      </c>
      <c r="L1404" t="s">
        <v>5856</v>
      </c>
      <c r="M1404" t="s">
        <v>9495</v>
      </c>
      <c r="N1404" s="3">
        <v>43285</v>
      </c>
      <c r="O1404" s="3">
        <v>43289</v>
      </c>
      <c r="P1404" t="s">
        <v>5862</v>
      </c>
      <c r="Q1404" t="s">
        <v>8265</v>
      </c>
      <c r="R1404" t="s">
        <v>6036</v>
      </c>
      <c r="S1404" s="3">
        <v>43285</v>
      </c>
      <c r="T1404" t="s">
        <v>9938</v>
      </c>
      <c r="U1404" t="s">
        <v>6052</v>
      </c>
      <c r="V1404" t="s">
        <v>5965</v>
      </c>
      <c r="W1404" t="s">
        <v>5857</v>
      </c>
      <c r="X1404" s="2">
        <v>25</v>
      </c>
      <c r="Y1404" t="s">
        <v>5858</v>
      </c>
      <c r="Z1404" t="s">
        <v>6037</v>
      </c>
      <c r="AA1404" s="2">
        <v>25</v>
      </c>
      <c r="AB1404" t="s">
        <v>5863</v>
      </c>
      <c r="AC1404" t="s">
        <v>9974</v>
      </c>
      <c r="AD1404" s="32">
        <v>43282</v>
      </c>
      <c r="AJ1404" t="s">
        <v>9958</v>
      </c>
      <c r="AL1404" t="s">
        <v>14253</v>
      </c>
    </row>
    <row r="1405" spans="1:38">
      <c r="A1405" t="s">
        <v>9489</v>
      </c>
      <c r="B1405" t="s">
        <v>12632</v>
      </c>
      <c r="C1405" t="s">
        <v>9552</v>
      </c>
      <c r="D1405" t="s">
        <v>9553</v>
      </c>
      <c r="E1405" s="2">
        <v>40</v>
      </c>
      <c r="F1405" s="2">
        <v>140</v>
      </c>
      <c r="G1405" s="3">
        <v>43287</v>
      </c>
      <c r="H1405" s="4">
        <v>0.56412037037036999</v>
      </c>
      <c r="I1405" s="3">
        <v>43287</v>
      </c>
      <c r="J1405" s="4">
        <v>0.79745370370369995</v>
      </c>
      <c r="K1405" s="2">
        <v>25</v>
      </c>
      <c r="L1405" t="s">
        <v>5856</v>
      </c>
      <c r="M1405" t="s">
        <v>9509</v>
      </c>
      <c r="N1405" s="3">
        <v>43290</v>
      </c>
      <c r="O1405" s="3">
        <v>43289</v>
      </c>
      <c r="P1405" t="s">
        <v>5960</v>
      </c>
      <c r="Q1405" t="s">
        <v>6038</v>
      </c>
      <c r="R1405" t="s">
        <v>6039</v>
      </c>
      <c r="S1405" s="3"/>
      <c r="T1405" t="s">
        <v>9938</v>
      </c>
      <c r="U1405" t="s">
        <v>5917</v>
      </c>
      <c r="V1405" t="s">
        <v>9554</v>
      </c>
      <c r="W1405" t="s">
        <v>5857</v>
      </c>
      <c r="X1405" s="2">
        <v>25</v>
      </c>
      <c r="Y1405" t="s">
        <v>5858</v>
      </c>
      <c r="Z1405" t="s">
        <v>6037</v>
      </c>
      <c r="AA1405" s="2">
        <v>0</v>
      </c>
      <c r="AB1405" t="s">
        <v>5859</v>
      </c>
      <c r="AC1405" t="s">
        <v>9976</v>
      </c>
      <c r="AD1405" s="32">
        <v>43278</v>
      </c>
      <c r="AJ1405" t="s">
        <v>9958</v>
      </c>
      <c r="AL1405" t="s">
        <v>14254</v>
      </c>
    </row>
    <row r="1406" spans="1:38">
      <c r="A1406" t="s">
        <v>9489</v>
      </c>
      <c r="B1406" t="s">
        <v>13588</v>
      </c>
      <c r="C1406" t="s">
        <v>13589</v>
      </c>
      <c r="D1406" t="s">
        <v>13590</v>
      </c>
      <c r="E1406" s="2">
        <v>100</v>
      </c>
      <c r="F1406" s="2">
        <v>100</v>
      </c>
      <c r="G1406" s="3">
        <v>43287</v>
      </c>
      <c r="H1406" s="4">
        <v>0.83333333333333004</v>
      </c>
      <c r="I1406" s="3">
        <v>43288</v>
      </c>
      <c r="J1406" s="4">
        <v>0</v>
      </c>
      <c r="K1406" s="2">
        <v>10</v>
      </c>
      <c r="L1406" t="s">
        <v>5856</v>
      </c>
      <c r="M1406" t="s">
        <v>9516</v>
      </c>
      <c r="N1406" s="3">
        <v>43290</v>
      </c>
      <c r="O1406" s="3">
        <v>43289</v>
      </c>
      <c r="P1406" t="s">
        <v>9749</v>
      </c>
      <c r="Q1406" t="s">
        <v>13591</v>
      </c>
      <c r="R1406" t="s">
        <v>6036</v>
      </c>
      <c r="S1406" s="3">
        <v>43290</v>
      </c>
      <c r="T1406" t="s">
        <v>9938</v>
      </c>
      <c r="U1406" t="s">
        <v>6052</v>
      </c>
      <c r="V1406" t="s">
        <v>13592</v>
      </c>
      <c r="W1406" t="s">
        <v>6038</v>
      </c>
      <c r="X1406" s="2">
        <v>25</v>
      </c>
      <c r="Y1406" t="s">
        <v>5858</v>
      </c>
      <c r="Z1406" t="s">
        <v>6037</v>
      </c>
      <c r="AA1406" s="2">
        <v>100</v>
      </c>
      <c r="AB1406" t="s">
        <v>5863</v>
      </c>
      <c r="AC1406" t="s">
        <v>9974</v>
      </c>
      <c r="AD1406" s="32">
        <v>43283</v>
      </c>
      <c r="AJ1406" t="s">
        <v>9958</v>
      </c>
      <c r="AL1406" t="s">
        <v>14255</v>
      </c>
    </row>
    <row r="1407" spans="1:38">
      <c r="A1407" t="s">
        <v>9489</v>
      </c>
      <c r="B1407" t="s">
        <v>13593</v>
      </c>
      <c r="C1407" t="s">
        <v>8926</v>
      </c>
      <c r="D1407" t="s">
        <v>8927</v>
      </c>
      <c r="E1407" s="2">
        <v>35</v>
      </c>
      <c r="F1407" s="2">
        <v>35</v>
      </c>
      <c r="G1407" s="3">
        <v>43287</v>
      </c>
      <c r="H1407" s="4">
        <v>0.86805555555556002</v>
      </c>
      <c r="I1407" s="3">
        <v>43287</v>
      </c>
      <c r="J1407" s="4">
        <v>0.92638888888889004</v>
      </c>
      <c r="K1407" s="2">
        <v>20</v>
      </c>
      <c r="L1407" t="s">
        <v>5856</v>
      </c>
      <c r="M1407" t="s">
        <v>9495</v>
      </c>
      <c r="N1407" s="3">
        <v>43293</v>
      </c>
      <c r="O1407" s="3">
        <v>43289</v>
      </c>
      <c r="P1407" t="s">
        <v>5971</v>
      </c>
      <c r="Q1407" t="s">
        <v>8963</v>
      </c>
      <c r="R1407" t="s">
        <v>6036</v>
      </c>
      <c r="S1407" s="3">
        <v>43293</v>
      </c>
      <c r="T1407" t="s">
        <v>9938</v>
      </c>
      <c r="U1407" t="s">
        <v>6093</v>
      </c>
      <c r="V1407" t="s">
        <v>8928</v>
      </c>
      <c r="W1407" t="s">
        <v>5857</v>
      </c>
      <c r="X1407" s="2">
        <v>25</v>
      </c>
      <c r="Y1407" t="s">
        <v>5858</v>
      </c>
      <c r="Z1407" t="s">
        <v>6037</v>
      </c>
      <c r="AA1407" s="2">
        <v>25</v>
      </c>
      <c r="AB1407" t="s">
        <v>5863</v>
      </c>
      <c r="AC1407" t="s">
        <v>9974</v>
      </c>
      <c r="AD1407" s="32">
        <v>43282</v>
      </c>
      <c r="AJ1407" t="s">
        <v>9959</v>
      </c>
      <c r="AL1407" t="s">
        <v>14256</v>
      </c>
    </row>
    <row r="1408" spans="1:38">
      <c r="A1408" t="s">
        <v>9489</v>
      </c>
      <c r="B1408" t="s">
        <v>13594</v>
      </c>
      <c r="C1408" t="s">
        <v>13595</v>
      </c>
      <c r="D1408" t="s">
        <v>13596</v>
      </c>
      <c r="E1408" s="2">
        <v>70</v>
      </c>
      <c r="F1408" s="2">
        <v>70</v>
      </c>
      <c r="G1408" s="3">
        <v>43287</v>
      </c>
      <c r="H1408" s="4">
        <v>0.88333333333332997</v>
      </c>
      <c r="I1408" s="3">
        <v>43288</v>
      </c>
      <c r="J1408" s="4">
        <v>0</v>
      </c>
      <c r="K1408" s="2">
        <v>10</v>
      </c>
      <c r="L1408" t="s">
        <v>5856</v>
      </c>
      <c r="M1408" t="s">
        <v>9523</v>
      </c>
      <c r="N1408" s="3">
        <v>43290</v>
      </c>
      <c r="O1408" s="3">
        <v>43289</v>
      </c>
      <c r="P1408" t="s">
        <v>7488</v>
      </c>
      <c r="Q1408" t="s">
        <v>13597</v>
      </c>
      <c r="R1408" t="s">
        <v>6036</v>
      </c>
      <c r="S1408" s="3">
        <v>43290</v>
      </c>
      <c r="T1408" t="s">
        <v>9938</v>
      </c>
      <c r="U1408" t="s">
        <v>5882</v>
      </c>
      <c r="V1408" t="s">
        <v>13598</v>
      </c>
      <c r="W1408" t="s">
        <v>6038</v>
      </c>
      <c r="X1408" s="2">
        <v>25</v>
      </c>
      <c r="Y1408" t="s">
        <v>5858</v>
      </c>
      <c r="Z1408" t="s">
        <v>6037</v>
      </c>
      <c r="AA1408" s="2">
        <v>50</v>
      </c>
      <c r="AB1408" t="s">
        <v>5863</v>
      </c>
      <c r="AC1408" t="s">
        <v>9978</v>
      </c>
      <c r="AD1408" s="32">
        <v>43283</v>
      </c>
      <c r="AJ1408" t="s">
        <v>9958</v>
      </c>
      <c r="AL1408" t="s">
        <v>14257</v>
      </c>
    </row>
    <row r="1409" spans="1:38">
      <c r="A1409" t="s">
        <v>9489</v>
      </c>
      <c r="B1409" t="s">
        <v>13599</v>
      </c>
      <c r="C1409" t="s">
        <v>8960</v>
      </c>
      <c r="D1409" t="s">
        <v>8961</v>
      </c>
      <c r="E1409" s="2">
        <v>70</v>
      </c>
      <c r="F1409" s="2">
        <v>70</v>
      </c>
      <c r="G1409" s="3">
        <v>43287</v>
      </c>
      <c r="H1409" s="4">
        <v>0.94722222222221997</v>
      </c>
      <c r="I1409" s="3">
        <v>43288</v>
      </c>
      <c r="J1409" s="4">
        <v>6.3888888888889994E-2</v>
      </c>
      <c r="K1409" s="2">
        <v>0</v>
      </c>
      <c r="L1409" t="s">
        <v>5856</v>
      </c>
      <c r="M1409" t="s">
        <v>9523</v>
      </c>
      <c r="N1409" s="3">
        <v>43285</v>
      </c>
      <c r="O1409" s="3">
        <v>43290</v>
      </c>
      <c r="P1409" t="s">
        <v>5971</v>
      </c>
      <c r="Q1409" t="s">
        <v>6038</v>
      </c>
      <c r="R1409" t="s">
        <v>6039</v>
      </c>
      <c r="S1409" s="3"/>
      <c r="T1409" t="s">
        <v>9938</v>
      </c>
      <c r="U1409" t="s">
        <v>5867</v>
      </c>
      <c r="V1409" t="s">
        <v>8962</v>
      </c>
      <c r="W1409" t="s">
        <v>5857</v>
      </c>
      <c r="X1409" s="2">
        <v>25</v>
      </c>
      <c r="Y1409" t="s">
        <v>5858</v>
      </c>
      <c r="Z1409" t="s">
        <v>6037</v>
      </c>
      <c r="AA1409" s="2">
        <v>50</v>
      </c>
      <c r="AB1409" t="s">
        <v>5863</v>
      </c>
      <c r="AC1409" t="s">
        <v>9974</v>
      </c>
      <c r="AD1409" s="32">
        <v>43282</v>
      </c>
      <c r="AJ1409" t="s">
        <v>9959</v>
      </c>
      <c r="AL1409" t="s">
        <v>14258</v>
      </c>
    </row>
    <row r="1410" spans="1:38">
      <c r="A1410" t="s">
        <v>9489</v>
      </c>
      <c r="B1410" t="s">
        <v>13600</v>
      </c>
      <c r="C1410" t="s">
        <v>8260</v>
      </c>
      <c r="D1410" t="s">
        <v>8261</v>
      </c>
      <c r="E1410" s="2">
        <v>100</v>
      </c>
      <c r="F1410" s="2">
        <v>100</v>
      </c>
      <c r="G1410" s="3">
        <v>43288</v>
      </c>
      <c r="H1410" s="4">
        <v>8.4722222222220006E-2</v>
      </c>
      <c r="I1410" s="3">
        <v>43288</v>
      </c>
      <c r="J1410" s="4">
        <v>0.25138888888888999</v>
      </c>
      <c r="K1410" s="2">
        <v>20</v>
      </c>
      <c r="L1410" t="s">
        <v>5856</v>
      </c>
      <c r="M1410" t="s">
        <v>9516</v>
      </c>
      <c r="N1410" s="3">
        <v>43287</v>
      </c>
      <c r="O1410" s="3">
        <v>43290</v>
      </c>
      <c r="P1410" t="s">
        <v>5862</v>
      </c>
      <c r="Q1410" t="s">
        <v>8262</v>
      </c>
      <c r="R1410" t="s">
        <v>6036</v>
      </c>
      <c r="S1410" s="3">
        <v>43287</v>
      </c>
      <c r="T1410" t="s">
        <v>9938</v>
      </c>
      <c r="U1410" t="s">
        <v>6932</v>
      </c>
      <c r="V1410" t="s">
        <v>8263</v>
      </c>
      <c r="W1410" t="s">
        <v>5857</v>
      </c>
      <c r="X1410" s="2">
        <v>25</v>
      </c>
      <c r="Y1410" t="s">
        <v>5858</v>
      </c>
      <c r="Z1410" t="s">
        <v>6037</v>
      </c>
      <c r="AA1410" s="2">
        <v>100</v>
      </c>
      <c r="AB1410" t="s">
        <v>5863</v>
      </c>
      <c r="AC1410" t="s">
        <v>9974</v>
      </c>
      <c r="AD1410" s="32">
        <v>43281</v>
      </c>
      <c r="AJ1410" t="s">
        <v>9958</v>
      </c>
      <c r="AL1410" t="s">
        <v>14259</v>
      </c>
    </row>
    <row r="1411" spans="1:38">
      <c r="A1411" t="s">
        <v>9489</v>
      </c>
      <c r="B1411" t="s">
        <v>12629</v>
      </c>
      <c r="C1411" t="s">
        <v>9545</v>
      </c>
      <c r="D1411" t="s">
        <v>9546</v>
      </c>
      <c r="E1411" s="2">
        <v>75</v>
      </c>
      <c r="F1411" s="2">
        <v>75</v>
      </c>
      <c r="G1411" s="3">
        <v>43288</v>
      </c>
      <c r="H1411" s="4">
        <v>0.27222222222221998</v>
      </c>
      <c r="I1411" s="3">
        <v>43288</v>
      </c>
      <c r="J1411" s="4">
        <v>0.39722222222221998</v>
      </c>
      <c r="K1411" s="2">
        <v>4</v>
      </c>
      <c r="L1411" t="s">
        <v>5856</v>
      </c>
      <c r="M1411" t="s">
        <v>9540</v>
      </c>
      <c r="N1411" s="3">
        <v>43290</v>
      </c>
      <c r="O1411" s="3">
        <v>43290</v>
      </c>
      <c r="P1411" t="s">
        <v>9547</v>
      </c>
      <c r="Q1411" t="s">
        <v>9548</v>
      </c>
      <c r="R1411" t="s">
        <v>6036</v>
      </c>
      <c r="S1411" s="3">
        <v>43290</v>
      </c>
      <c r="T1411" t="s">
        <v>9938</v>
      </c>
      <c r="U1411" t="s">
        <v>9549</v>
      </c>
      <c r="V1411" t="s">
        <v>9550</v>
      </c>
      <c r="W1411" t="s">
        <v>5857</v>
      </c>
      <c r="X1411" s="2">
        <v>25</v>
      </c>
      <c r="Y1411" t="s">
        <v>5858</v>
      </c>
      <c r="Z1411" t="s">
        <v>6037</v>
      </c>
      <c r="AA1411" s="2">
        <v>75</v>
      </c>
      <c r="AB1411" t="s">
        <v>5863</v>
      </c>
      <c r="AC1411" t="s">
        <v>9987</v>
      </c>
      <c r="AD1411" s="32">
        <v>43274</v>
      </c>
      <c r="AJ1411" t="s">
        <v>9958</v>
      </c>
      <c r="AL1411" t="s">
        <v>11435</v>
      </c>
    </row>
    <row r="1412" spans="1:38">
      <c r="A1412" t="s">
        <v>9489</v>
      </c>
      <c r="B1412" t="s">
        <v>12640</v>
      </c>
      <c r="C1412" t="s">
        <v>9568</v>
      </c>
      <c r="D1412" t="s">
        <v>9569</v>
      </c>
      <c r="E1412" s="2">
        <v>0</v>
      </c>
      <c r="F1412" s="2">
        <v>35</v>
      </c>
      <c r="G1412" s="3">
        <v>43288</v>
      </c>
      <c r="H1412" s="4">
        <v>0.35416666666667002</v>
      </c>
      <c r="I1412" s="3">
        <v>43288</v>
      </c>
      <c r="J1412" s="4">
        <v>0.41249999999999998</v>
      </c>
      <c r="K1412" s="2">
        <v>25</v>
      </c>
      <c r="L1412" t="s">
        <v>5856</v>
      </c>
      <c r="M1412" t="s">
        <v>9495</v>
      </c>
      <c r="N1412" s="3">
        <v>43290</v>
      </c>
      <c r="O1412" s="3">
        <v>43290</v>
      </c>
      <c r="P1412" t="s">
        <v>5862</v>
      </c>
      <c r="Q1412" t="s">
        <v>6038</v>
      </c>
      <c r="R1412" t="s">
        <v>6039</v>
      </c>
      <c r="S1412" s="3"/>
      <c r="T1412" t="s">
        <v>9938</v>
      </c>
      <c r="U1412" t="s">
        <v>6488</v>
      </c>
      <c r="V1412" t="s">
        <v>9570</v>
      </c>
      <c r="W1412" t="s">
        <v>5857</v>
      </c>
      <c r="X1412" s="2">
        <v>25</v>
      </c>
      <c r="Y1412" t="s">
        <v>5858</v>
      </c>
      <c r="Z1412" t="s">
        <v>6037</v>
      </c>
      <c r="AA1412" s="2">
        <v>0</v>
      </c>
      <c r="AB1412" t="s">
        <v>5859</v>
      </c>
      <c r="AC1412" t="s">
        <v>9974</v>
      </c>
      <c r="AD1412" s="32">
        <v>43278</v>
      </c>
      <c r="AJ1412" t="s">
        <v>9959</v>
      </c>
      <c r="AL1412" t="s">
        <v>14260</v>
      </c>
    </row>
    <row r="1413" spans="1:38">
      <c r="A1413" t="s">
        <v>9489</v>
      </c>
      <c r="B1413" t="s">
        <v>12634</v>
      </c>
      <c r="C1413" t="s">
        <v>9556</v>
      </c>
      <c r="D1413" t="s">
        <v>9557</v>
      </c>
      <c r="E1413" s="2">
        <v>40</v>
      </c>
      <c r="F1413" s="2">
        <v>140</v>
      </c>
      <c r="G1413" s="3">
        <v>43288</v>
      </c>
      <c r="H1413" s="4">
        <v>0.49722222222222001</v>
      </c>
      <c r="I1413" s="3">
        <v>43288</v>
      </c>
      <c r="J1413" s="4">
        <v>0.73055555555555995</v>
      </c>
      <c r="K1413" s="2">
        <v>25</v>
      </c>
      <c r="L1413" t="s">
        <v>5856</v>
      </c>
      <c r="M1413" t="s">
        <v>9509</v>
      </c>
      <c r="N1413" s="3">
        <v>43290</v>
      </c>
      <c r="O1413" s="3">
        <v>43290</v>
      </c>
      <c r="P1413" t="s">
        <v>6580</v>
      </c>
      <c r="Q1413" t="s">
        <v>6038</v>
      </c>
      <c r="R1413" t="s">
        <v>6039</v>
      </c>
      <c r="S1413" s="3"/>
      <c r="T1413" t="s">
        <v>9938</v>
      </c>
      <c r="U1413" t="s">
        <v>5917</v>
      </c>
      <c r="V1413" t="s">
        <v>9558</v>
      </c>
      <c r="W1413" t="s">
        <v>5857</v>
      </c>
      <c r="X1413" s="2">
        <v>25</v>
      </c>
      <c r="Y1413" t="s">
        <v>5858</v>
      </c>
      <c r="Z1413" t="s">
        <v>6037</v>
      </c>
      <c r="AA1413" s="2">
        <v>40</v>
      </c>
      <c r="AB1413" t="s">
        <v>5859</v>
      </c>
      <c r="AC1413" t="s">
        <v>9976</v>
      </c>
      <c r="AD1413" s="32">
        <v>43278</v>
      </c>
      <c r="AJ1413" t="s">
        <v>9958</v>
      </c>
      <c r="AL1413" t="s">
        <v>14261</v>
      </c>
    </row>
    <row r="1414" spans="1:38">
      <c r="A1414" t="s">
        <v>9489</v>
      </c>
      <c r="B1414" t="s">
        <v>12630</v>
      </c>
      <c r="C1414" t="s">
        <v>8775</v>
      </c>
      <c r="D1414" t="s">
        <v>8776</v>
      </c>
      <c r="E1414" s="2">
        <v>175</v>
      </c>
      <c r="F1414" s="2">
        <v>175</v>
      </c>
      <c r="G1414" s="3">
        <v>43288</v>
      </c>
      <c r="H1414" s="4">
        <v>0.75138888888888999</v>
      </c>
      <c r="I1414" s="3">
        <v>43289</v>
      </c>
      <c r="J1414" s="4">
        <v>4.3055555555560003E-2</v>
      </c>
      <c r="K1414" s="2">
        <v>4</v>
      </c>
      <c r="L1414" t="s">
        <v>5856</v>
      </c>
      <c r="M1414" t="s">
        <v>9512</v>
      </c>
      <c r="N1414" s="3">
        <v>43285</v>
      </c>
      <c r="O1414" s="3">
        <v>43291</v>
      </c>
      <c r="P1414" t="s">
        <v>5876</v>
      </c>
      <c r="Q1414" t="s">
        <v>6038</v>
      </c>
      <c r="R1414" t="s">
        <v>6039</v>
      </c>
      <c r="S1414" s="3"/>
      <c r="T1414" t="s">
        <v>9938</v>
      </c>
      <c r="U1414" t="s">
        <v>5922</v>
      </c>
      <c r="V1414" t="s">
        <v>8778</v>
      </c>
      <c r="W1414" t="s">
        <v>5857</v>
      </c>
      <c r="X1414" s="2">
        <v>25</v>
      </c>
      <c r="Y1414" t="s">
        <v>5858</v>
      </c>
      <c r="Z1414" t="s">
        <v>6037</v>
      </c>
      <c r="AA1414" s="2">
        <v>125</v>
      </c>
      <c r="AB1414" t="s">
        <v>5863</v>
      </c>
      <c r="AC1414" t="s">
        <v>9974</v>
      </c>
      <c r="AD1414" s="32">
        <v>43276</v>
      </c>
      <c r="AJ1414" t="s">
        <v>9959</v>
      </c>
      <c r="AL1414" t="s">
        <v>11436</v>
      </c>
    </row>
    <row r="1415" spans="1:38">
      <c r="A1415" t="s">
        <v>9489</v>
      </c>
      <c r="B1415" t="s">
        <v>12636</v>
      </c>
      <c r="C1415" t="s">
        <v>9521</v>
      </c>
      <c r="D1415" t="s">
        <v>9522</v>
      </c>
      <c r="E1415" s="2">
        <v>120</v>
      </c>
      <c r="F1415" s="2">
        <v>420</v>
      </c>
      <c r="G1415" s="3">
        <v>43289</v>
      </c>
      <c r="H1415" s="4">
        <v>2.0833333333330002E-2</v>
      </c>
      <c r="I1415" s="3">
        <v>43289</v>
      </c>
      <c r="J1415" s="4">
        <v>0.72083333333333</v>
      </c>
      <c r="K1415" s="2">
        <v>20</v>
      </c>
      <c r="L1415" t="s">
        <v>5856</v>
      </c>
      <c r="M1415" t="s">
        <v>9506</v>
      </c>
      <c r="N1415" s="3">
        <v>43291</v>
      </c>
      <c r="O1415" s="3">
        <v>43291</v>
      </c>
      <c r="P1415" t="s">
        <v>6673</v>
      </c>
      <c r="Q1415" t="s">
        <v>6038</v>
      </c>
      <c r="R1415" t="s">
        <v>6039</v>
      </c>
      <c r="S1415" s="3"/>
      <c r="T1415" t="s">
        <v>9938</v>
      </c>
      <c r="U1415" t="s">
        <v>9115</v>
      </c>
      <c r="V1415" t="s">
        <v>7000</v>
      </c>
      <c r="W1415" t="s">
        <v>5857</v>
      </c>
      <c r="X1415" s="2">
        <v>25</v>
      </c>
      <c r="Y1415" t="s">
        <v>5858</v>
      </c>
      <c r="Z1415" t="s">
        <v>6037</v>
      </c>
      <c r="AA1415" s="2">
        <v>0</v>
      </c>
      <c r="AB1415" t="s">
        <v>5859</v>
      </c>
      <c r="AC1415" t="s">
        <v>9976</v>
      </c>
      <c r="AD1415" s="32">
        <v>43270</v>
      </c>
      <c r="AJ1415" t="s">
        <v>9959</v>
      </c>
      <c r="AL1415" t="s">
        <v>11439</v>
      </c>
    </row>
    <row r="1416" spans="1:38">
      <c r="A1416" t="s">
        <v>9489</v>
      </c>
      <c r="B1416" t="s">
        <v>12637</v>
      </c>
      <c r="C1416" t="s">
        <v>9564</v>
      </c>
      <c r="D1416" t="s">
        <v>9565</v>
      </c>
      <c r="E1416" s="2">
        <v>80</v>
      </c>
      <c r="F1416" s="2">
        <v>280</v>
      </c>
      <c r="G1416" s="3">
        <v>43289</v>
      </c>
      <c r="H1416" s="4">
        <v>6.3888888888889994E-2</v>
      </c>
      <c r="I1416" s="3">
        <v>43289</v>
      </c>
      <c r="J1416" s="4">
        <v>0.53055555555556</v>
      </c>
      <c r="K1416" s="2">
        <v>0</v>
      </c>
      <c r="L1416" t="s">
        <v>5856</v>
      </c>
      <c r="M1416" t="s">
        <v>9500</v>
      </c>
      <c r="N1416" s="3">
        <v>43291</v>
      </c>
      <c r="O1416" s="3">
        <v>43291</v>
      </c>
      <c r="P1416" t="s">
        <v>5904</v>
      </c>
      <c r="Q1416" t="s">
        <v>6038</v>
      </c>
      <c r="R1416" t="s">
        <v>6039</v>
      </c>
      <c r="S1416" s="3"/>
      <c r="T1416" t="s">
        <v>9938</v>
      </c>
      <c r="U1416" t="s">
        <v>7004</v>
      </c>
      <c r="V1416" t="s">
        <v>9566</v>
      </c>
      <c r="W1416" t="s">
        <v>5857</v>
      </c>
      <c r="X1416" s="2">
        <v>25</v>
      </c>
      <c r="Y1416" t="s">
        <v>5858</v>
      </c>
      <c r="Z1416" t="s">
        <v>6037</v>
      </c>
      <c r="AA1416" s="2">
        <v>0</v>
      </c>
      <c r="AB1416" t="s">
        <v>5859</v>
      </c>
      <c r="AC1416" t="s">
        <v>9974</v>
      </c>
      <c r="AD1416" s="32">
        <v>43265</v>
      </c>
      <c r="AJ1416" t="s">
        <v>9957</v>
      </c>
      <c r="AL1416" t="s">
        <v>11440</v>
      </c>
    </row>
    <row r="1417" spans="1:38">
      <c r="A1417" t="s">
        <v>9489</v>
      </c>
      <c r="B1417" t="s">
        <v>12643</v>
      </c>
      <c r="C1417" t="s">
        <v>9574</v>
      </c>
      <c r="D1417" t="s">
        <v>9575</v>
      </c>
      <c r="E1417" s="2">
        <v>35</v>
      </c>
      <c r="F1417" s="2">
        <v>35</v>
      </c>
      <c r="G1417" s="3">
        <v>43289</v>
      </c>
      <c r="H1417" s="4">
        <v>0.74166666666667003</v>
      </c>
      <c r="I1417" s="3">
        <v>43289</v>
      </c>
      <c r="J1417" s="4">
        <v>0.8</v>
      </c>
      <c r="K1417" s="2">
        <v>0</v>
      </c>
      <c r="L1417" t="s">
        <v>5856</v>
      </c>
      <c r="M1417" t="s">
        <v>9495</v>
      </c>
      <c r="N1417" s="3">
        <v>43292</v>
      </c>
      <c r="O1417" s="3">
        <v>43291</v>
      </c>
      <c r="P1417" t="s">
        <v>8701</v>
      </c>
      <c r="Q1417" t="s">
        <v>9576</v>
      </c>
      <c r="R1417" t="s">
        <v>6036</v>
      </c>
      <c r="S1417" s="3">
        <v>43292</v>
      </c>
      <c r="T1417" t="s">
        <v>9938</v>
      </c>
      <c r="U1417" t="s">
        <v>5931</v>
      </c>
      <c r="V1417" t="s">
        <v>9577</v>
      </c>
      <c r="W1417" t="s">
        <v>5857</v>
      </c>
      <c r="X1417" s="2">
        <v>25</v>
      </c>
      <c r="Y1417" t="s">
        <v>5858</v>
      </c>
      <c r="Z1417" t="s">
        <v>6037</v>
      </c>
      <c r="AA1417" s="2">
        <v>25</v>
      </c>
      <c r="AB1417" t="s">
        <v>5859</v>
      </c>
      <c r="AC1417" t="s">
        <v>9976</v>
      </c>
      <c r="AD1417" s="32">
        <v>43271</v>
      </c>
      <c r="AJ1417" t="s">
        <v>9959</v>
      </c>
      <c r="AL1417" t="s">
        <v>14262</v>
      </c>
    </row>
    <row r="1418" spans="1:38">
      <c r="A1418" t="s">
        <v>9489</v>
      </c>
      <c r="B1418" t="s">
        <v>12631</v>
      </c>
      <c r="C1418" t="s">
        <v>7425</v>
      </c>
      <c r="D1418" t="s">
        <v>7426</v>
      </c>
      <c r="E1418" s="2">
        <v>210</v>
      </c>
      <c r="F1418" s="2">
        <v>210</v>
      </c>
      <c r="G1418" s="3">
        <v>43289</v>
      </c>
      <c r="H1418" s="4">
        <v>0.82083333333332997</v>
      </c>
      <c r="I1418" s="3">
        <v>43290</v>
      </c>
      <c r="J1418" s="4">
        <v>0.17083333333333001</v>
      </c>
      <c r="K1418" s="2">
        <v>4</v>
      </c>
      <c r="L1418" t="s">
        <v>5856</v>
      </c>
      <c r="M1418" t="s">
        <v>9551</v>
      </c>
      <c r="N1418" s="3">
        <v>43284</v>
      </c>
      <c r="O1418" s="3">
        <v>43292</v>
      </c>
      <c r="P1418" t="s">
        <v>5930</v>
      </c>
      <c r="Q1418" t="s">
        <v>6038</v>
      </c>
      <c r="R1418" t="s">
        <v>6039</v>
      </c>
      <c r="S1418" s="3"/>
      <c r="T1418" t="s">
        <v>9938</v>
      </c>
      <c r="U1418" t="s">
        <v>5903</v>
      </c>
      <c r="V1418" t="s">
        <v>7428</v>
      </c>
      <c r="W1418" t="s">
        <v>5857</v>
      </c>
      <c r="X1418" s="2">
        <v>25</v>
      </c>
      <c r="Y1418" t="s">
        <v>5858</v>
      </c>
      <c r="Z1418" t="s">
        <v>6037</v>
      </c>
      <c r="AA1418" s="2">
        <v>150</v>
      </c>
      <c r="AB1418" t="s">
        <v>5863</v>
      </c>
      <c r="AC1418" t="s">
        <v>9974</v>
      </c>
      <c r="AD1418" s="32">
        <v>43275</v>
      </c>
      <c r="AI1418" t="s">
        <v>9943</v>
      </c>
      <c r="AJ1418" t="s">
        <v>9959</v>
      </c>
      <c r="AL1418" t="s">
        <v>11437</v>
      </c>
    </row>
    <row r="1419" spans="1:38">
      <c r="A1419" t="s">
        <v>9489</v>
      </c>
      <c r="B1419" t="s">
        <v>12638</v>
      </c>
      <c r="C1419" t="s">
        <v>6517</v>
      </c>
      <c r="D1419" t="s">
        <v>6518</v>
      </c>
      <c r="E1419" s="2">
        <v>420</v>
      </c>
      <c r="F1419" s="2">
        <v>420</v>
      </c>
      <c r="G1419" s="3">
        <v>43290</v>
      </c>
      <c r="H1419" s="4">
        <v>0.19166666666667001</v>
      </c>
      <c r="I1419" s="3">
        <v>43290</v>
      </c>
      <c r="J1419" s="4">
        <v>0.89166666666667005</v>
      </c>
      <c r="K1419" s="2">
        <v>20</v>
      </c>
      <c r="L1419" t="s">
        <v>5856</v>
      </c>
      <c r="M1419" t="s">
        <v>9506</v>
      </c>
      <c r="N1419" s="3">
        <v>43291</v>
      </c>
      <c r="O1419" s="3">
        <v>43292</v>
      </c>
      <c r="P1419" t="s">
        <v>5904</v>
      </c>
      <c r="Q1419" t="s">
        <v>9567</v>
      </c>
      <c r="R1419" t="s">
        <v>6036</v>
      </c>
      <c r="S1419" s="3">
        <v>43291</v>
      </c>
      <c r="T1419" t="s">
        <v>9938</v>
      </c>
      <c r="U1419" t="s">
        <v>6521</v>
      </c>
      <c r="V1419" t="s">
        <v>6048</v>
      </c>
      <c r="W1419" t="s">
        <v>5857</v>
      </c>
      <c r="X1419" s="2">
        <v>25</v>
      </c>
      <c r="Y1419" t="s">
        <v>5858</v>
      </c>
      <c r="Z1419" t="s">
        <v>6037</v>
      </c>
      <c r="AA1419" s="2">
        <v>300</v>
      </c>
      <c r="AB1419" t="s">
        <v>5859</v>
      </c>
      <c r="AC1419" t="s">
        <v>9974</v>
      </c>
      <c r="AD1419" s="32">
        <v>43265</v>
      </c>
      <c r="AI1419" t="s">
        <v>9939</v>
      </c>
      <c r="AJ1419" t="s">
        <v>9959</v>
      </c>
      <c r="AL1419" t="s">
        <v>11441</v>
      </c>
    </row>
    <row r="1420" spans="1:38">
      <c r="A1420" t="s">
        <v>9489</v>
      </c>
      <c r="B1420" t="s">
        <v>13601</v>
      </c>
      <c r="C1420" t="s">
        <v>9613</v>
      </c>
      <c r="D1420" t="s">
        <v>9614</v>
      </c>
      <c r="E1420" s="2">
        <v>35</v>
      </c>
      <c r="F1420" s="2">
        <v>35</v>
      </c>
      <c r="G1420" s="3">
        <v>43290</v>
      </c>
      <c r="H1420" s="4">
        <v>0.91249999999999998</v>
      </c>
      <c r="I1420" s="3">
        <v>43290</v>
      </c>
      <c r="J1420" s="4">
        <v>0.97083333333333</v>
      </c>
      <c r="K1420" s="2">
        <v>25</v>
      </c>
      <c r="L1420" t="s">
        <v>5856</v>
      </c>
      <c r="M1420" t="s">
        <v>9495</v>
      </c>
      <c r="N1420" s="3">
        <v>43292</v>
      </c>
      <c r="O1420" s="3">
        <v>43292</v>
      </c>
      <c r="P1420" t="s">
        <v>5929</v>
      </c>
      <c r="Q1420" t="s">
        <v>13602</v>
      </c>
      <c r="R1420" t="s">
        <v>6036</v>
      </c>
      <c r="S1420" s="3">
        <v>43292</v>
      </c>
      <c r="T1420" t="s">
        <v>9938</v>
      </c>
      <c r="U1420" t="s">
        <v>5934</v>
      </c>
      <c r="V1420" t="s">
        <v>8259</v>
      </c>
      <c r="W1420" t="s">
        <v>5857</v>
      </c>
      <c r="X1420" s="2">
        <v>25</v>
      </c>
      <c r="Y1420" t="s">
        <v>5858</v>
      </c>
      <c r="Z1420" t="s">
        <v>6037</v>
      </c>
      <c r="AA1420" s="2">
        <v>25</v>
      </c>
      <c r="AB1420" t="s">
        <v>5859</v>
      </c>
      <c r="AC1420" t="s">
        <v>9976</v>
      </c>
      <c r="AD1420" s="32">
        <v>43280</v>
      </c>
      <c r="AJ1420" t="s">
        <v>9958</v>
      </c>
      <c r="AL1420" t="s">
        <v>14263</v>
      </c>
    </row>
    <row r="1421" spans="1:38">
      <c r="A1421" t="s">
        <v>9489</v>
      </c>
      <c r="B1421" t="s">
        <v>13603</v>
      </c>
      <c r="C1421" t="s">
        <v>13604</v>
      </c>
      <c r="D1421" t="s">
        <v>13605</v>
      </c>
      <c r="E1421" s="2">
        <v>35</v>
      </c>
      <c r="F1421" s="2">
        <v>35</v>
      </c>
      <c r="G1421" s="3">
        <v>43295</v>
      </c>
      <c r="H1421" s="4">
        <v>2.0821759259260001E-2</v>
      </c>
      <c r="I1421" s="3">
        <v>43295</v>
      </c>
      <c r="J1421" s="4">
        <v>7.9155092592590001E-2</v>
      </c>
      <c r="K1421" s="2">
        <v>25</v>
      </c>
      <c r="L1421" t="s">
        <v>5856</v>
      </c>
      <c r="M1421" t="s">
        <v>9495</v>
      </c>
      <c r="N1421" s="3">
        <v>43292</v>
      </c>
      <c r="O1421" s="3">
        <v>43297</v>
      </c>
      <c r="P1421" t="s">
        <v>5929</v>
      </c>
      <c r="Q1421" t="s">
        <v>13606</v>
      </c>
      <c r="R1421" t="s">
        <v>6036</v>
      </c>
      <c r="S1421" s="3">
        <v>43292</v>
      </c>
      <c r="T1421" t="s">
        <v>9938</v>
      </c>
      <c r="U1421" t="s">
        <v>5933</v>
      </c>
      <c r="V1421" t="s">
        <v>13607</v>
      </c>
      <c r="W1421" t="s">
        <v>5857</v>
      </c>
      <c r="X1421" s="2">
        <v>25</v>
      </c>
      <c r="Y1421" t="s">
        <v>5858</v>
      </c>
      <c r="Z1421" t="s">
        <v>6037</v>
      </c>
      <c r="AA1421" s="2">
        <v>25</v>
      </c>
      <c r="AB1421" t="s">
        <v>5859</v>
      </c>
      <c r="AC1421" t="s">
        <v>9976</v>
      </c>
      <c r="AD1421" s="32">
        <v>43280</v>
      </c>
      <c r="AJ1421" t="s">
        <v>9958</v>
      </c>
      <c r="AL1421" t="s">
        <v>14264</v>
      </c>
    </row>
    <row r="1422" spans="1:38">
      <c r="A1422" t="s">
        <v>9489</v>
      </c>
      <c r="B1422" t="s">
        <v>12650</v>
      </c>
      <c r="C1422" t="s">
        <v>9564</v>
      </c>
      <c r="D1422" t="s">
        <v>9565</v>
      </c>
      <c r="E1422" s="2">
        <v>140</v>
      </c>
      <c r="F1422" s="2">
        <v>140</v>
      </c>
      <c r="G1422" s="3">
        <v>43295</v>
      </c>
      <c r="H1422" s="4">
        <v>9.9988425925930005E-2</v>
      </c>
      <c r="I1422" s="3">
        <v>43295</v>
      </c>
      <c r="J1422" s="4">
        <v>0.33332175925926</v>
      </c>
      <c r="K1422" s="2">
        <v>20</v>
      </c>
      <c r="L1422" t="s">
        <v>5856</v>
      </c>
      <c r="M1422" t="s">
        <v>9509</v>
      </c>
      <c r="N1422" s="3">
        <v>43293</v>
      </c>
      <c r="O1422" s="3">
        <v>43297</v>
      </c>
      <c r="P1422" t="s">
        <v>5904</v>
      </c>
      <c r="Q1422" t="s">
        <v>9596</v>
      </c>
      <c r="R1422" t="s">
        <v>6036</v>
      </c>
      <c r="S1422" s="3">
        <v>43293</v>
      </c>
      <c r="T1422" t="s">
        <v>9938</v>
      </c>
      <c r="U1422" t="s">
        <v>7004</v>
      </c>
      <c r="V1422" t="s">
        <v>9566</v>
      </c>
      <c r="W1422" t="s">
        <v>5857</v>
      </c>
      <c r="X1422" s="2">
        <v>25</v>
      </c>
      <c r="Y1422" t="s">
        <v>5858</v>
      </c>
      <c r="Z1422" t="s">
        <v>6037</v>
      </c>
      <c r="AA1422" s="2">
        <v>100</v>
      </c>
      <c r="AB1422" t="s">
        <v>5859</v>
      </c>
      <c r="AC1422" t="s">
        <v>9974</v>
      </c>
      <c r="AD1422" s="32">
        <v>43265</v>
      </c>
      <c r="AJ1422" t="s">
        <v>9957</v>
      </c>
      <c r="AL1422" t="s">
        <v>14265</v>
      </c>
    </row>
    <row r="1423" spans="1:38">
      <c r="A1423" t="s">
        <v>9489</v>
      </c>
      <c r="B1423" t="s">
        <v>13608</v>
      </c>
      <c r="C1423" t="s">
        <v>13609</v>
      </c>
      <c r="D1423" t="s">
        <v>13610</v>
      </c>
      <c r="E1423" s="2">
        <v>35</v>
      </c>
      <c r="F1423" s="2">
        <v>35</v>
      </c>
      <c r="G1423" s="3">
        <v>43295</v>
      </c>
      <c r="H1423" s="4">
        <v>0.35415509259258998</v>
      </c>
      <c r="I1423" s="3">
        <v>43295</v>
      </c>
      <c r="J1423" s="4">
        <v>0.41248842592592999</v>
      </c>
      <c r="K1423" s="2">
        <v>25</v>
      </c>
      <c r="L1423" t="s">
        <v>5856</v>
      </c>
      <c r="M1423" t="s">
        <v>9495</v>
      </c>
      <c r="N1423" s="3">
        <v>43292</v>
      </c>
      <c r="O1423" s="3">
        <v>43297</v>
      </c>
      <c r="P1423" t="s">
        <v>5960</v>
      </c>
      <c r="Q1423" t="s">
        <v>13611</v>
      </c>
      <c r="R1423" t="s">
        <v>6036</v>
      </c>
      <c r="S1423" s="3">
        <v>43292</v>
      </c>
      <c r="T1423" t="s">
        <v>9938</v>
      </c>
      <c r="U1423" t="s">
        <v>9785</v>
      </c>
      <c r="V1423" t="s">
        <v>13612</v>
      </c>
      <c r="W1423" t="s">
        <v>5857</v>
      </c>
      <c r="X1423" s="2">
        <v>25</v>
      </c>
      <c r="Y1423" t="s">
        <v>5858</v>
      </c>
      <c r="Z1423" t="s">
        <v>6037</v>
      </c>
      <c r="AA1423" s="2">
        <v>25</v>
      </c>
      <c r="AB1423" t="s">
        <v>5863</v>
      </c>
      <c r="AC1423" t="s">
        <v>9976</v>
      </c>
      <c r="AD1423" s="32">
        <v>43280</v>
      </c>
      <c r="AJ1423" t="s">
        <v>9958</v>
      </c>
      <c r="AL1423" t="s">
        <v>14266</v>
      </c>
    </row>
    <row r="1424" spans="1:38">
      <c r="A1424" t="s">
        <v>9489</v>
      </c>
      <c r="B1424" t="s">
        <v>12713</v>
      </c>
      <c r="C1424" t="s">
        <v>9559</v>
      </c>
      <c r="D1424" t="s">
        <v>9560</v>
      </c>
      <c r="E1424" s="2">
        <v>70</v>
      </c>
      <c r="F1424" s="2">
        <v>70</v>
      </c>
      <c r="G1424" s="3">
        <v>43295</v>
      </c>
      <c r="H1424" s="4">
        <v>0.43332175925925998</v>
      </c>
      <c r="I1424" s="3">
        <v>43295</v>
      </c>
      <c r="J1424" s="4">
        <v>0.54998842592593</v>
      </c>
      <c r="K1424" s="2">
        <v>0</v>
      </c>
      <c r="L1424" t="s">
        <v>5856</v>
      </c>
      <c r="M1424" t="s">
        <v>9523</v>
      </c>
      <c r="N1424" s="3">
        <v>43293</v>
      </c>
      <c r="O1424" s="3">
        <v>43297</v>
      </c>
      <c r="P1424" t="s">
        <v>5924</v>
      </c>
      <c r="Q1424" t="s">
        <v>9782</v>
      </c>
      <c r="R1424" t="s">
        <v>6036</v>
      </c>
      <c r="S1424" s="3">
        <v>43293</v>
      </c>
      <c r="T1424" t="s">
        <v>9938</v>
      </c>
      <c r="U1424" t="s">
        <v>9562</v>
      </c>
      <c r="V1424" t="s">
        <v>9563</v>
      </c>
      <c r="W1424" t="s">
        <v>5857</v>
      </c>
      <c r="X1424" s="2">
        <v>25</v>
      </c>
      <c r="Y1424" t="s">
        <v>5858</v>
      </c>
      <c r="Z1424" t="s">
        <v>6037</v>
      </c>
      <c r="AA1424" s="2">
        <v>50</v>
      </c>
      <c r="AB1424" t="s">
        <v>5863</v>
      </c>
      <c r="AC1424" t="s">
        <v>9976</v>
      </c>
      <c r="AD1424" s="32">
        <v>43272</v>
      </c>
      <c r="AJ1424" t="s">
        <v>9958</v>
      </c>
      <c r="AL1424" t="s">
        <v>14267</v>
      </c>
    </row>
    <row r="1425" spans="1:38">
      <c r="A1425" t="s">
        <v>9489</v>
      </c>
      <c r="B1425" t="s">
        <v>13613</v>
      </c>
      <c r="C1425" t="s">
        <v>13614</v>
      </c>
      <c r="D1425" t="s">
        <v>13615</v>
      </c>
      <c r="E1425" s="2">
        <v>35</v>
      </c>
      <c r="F1425" s="2">
        <v>35</v>
      </c>
      <c r="G1425" s="3">
        <v>43295</v>
      </c>
      <c r="H1425" s="4">
        <v>0.58471064814814999</v>
      </c>
      <c r="I1425" s="3">
        <v>43295</v>
      </c>
      <c r="J1425" s="4">
        <v>0.64304398148148001</v>
      </c>
      <c r="K1425" s="2">
        <v>25</v>
      </c>
      <c r="L1425" t="s">
        <v>5856</v>
      </c>
      <c r="M1425" t="s">
        <v>9495</v>
      </c>
      <c r="N1425" s="3">
        <v>43292</v>
      </c>
      <c r="O1425" s="3">
        <v>43297</v>
      </c>
      <c r="P1425" t="s">
        <v>5929</v>
      </c>
      <c r="Q1425" t="s">
        <v>13616</v>
      </c>
      <c r="R1425" t="s">
        <v>6036</v>
      </c>
      <c r="S1425" s="3">
        <v>43292</v>
      </c>
      <c r="T1425" t="s">
        <v>9938</v>
      </c>
      <c r="U1425" t="s">
        <v>6703</v>
      </c>
      <c r="V1425" t="s">
        <v>6468</v>
      </c>
      <c r="W1425" t="s">
        <v>5857</v>
      </c>
      <c r="X1425" s="2">
        <v>25</v>
      </c>
      <c r="Y1425" t="s">
        <v>5858</v>
      </c>
      <c r="Z1425" t="s">
        <v>6037</v>
      </c>
      <c r="AA1425" s="2">
        <v>25</v>
      </c>
      <c r="AB1425" t="s">
        <v>5863</v>
      </c>
      <c r="AC1425" t="s">
        <v>9976</v>
      </c>
      <c r="AD1425" s="32">
        <v>43280</v>
      </c>
      <c r="AJ1425" t="s">
        <v>9959</v>
      </c>
      <c r="AL1425" t="s">
        <v>14268</v>
      </c>
    </row>
    <row r="1426" spans="1:38">
      <c r="A1426" t="s">
        <v>9489</v>
      </c>
      <c r="B1426" t="s">
        <v>13617</v>
      </c>
      <c r="C1426" t="s">
        <v>8260</v>
      </c>
      <c r="D1426" t="s">
        <v>8261</v>
      </c>
      <c r="E1426" s="2">
        <v>105</v>
      </c>
      <c r="F1426" s="2">
        <v>105</v>
      </c>
      <c r="G1426" s="3">
        <v>43295</v>
      </c>
      <c r="H1426" s="4">
        <v>0.66387731481481005</v>
      </c>
      <c r="I1426" s="3">
        <v>43295</v>
      </c>
      <c r="J1426" s="4">
        <v>0.83887731481480998</v>
      </c>
      <c r="K1426" s="2">
        <v>20</v>
      </c>
      <c r="L1426" t="s">
        <v>5856</v>
      </c>
      <c r="M1426" t="s">
        <v>9625</v>
      </c>
      <c r="N1426" s="3">
        <v>43287</v>
      </c>
      <c r="O1426" s="3">
        <v>43297</v>
      </c>
      <c r="P1426" t="s">
        <v>5862</v>
      </c>
      <c r="Q1426" t="s">
        <v>8262</v>
      </c>
      <c r="R1426" t="s">
        <v>6036</v>
      </c>
      <c r="S1426" s="3">
        <v>43287</v>
      </c>
      <c r="T1426" t="s">
        <v>9938</v>
      </c>
      <c r="U1426" t="s">
        <v>6932</v>
      </c>
      <c r="V1426" t="s">
        <v>8263</v>
      </c>
      <c r="W1426" t="s">
        <v>5857</v>
      </c>
      <c r="X1426" s="2">
        <v>25</v>
      </c>
      <c r="Y1426" t="s">
        <v>5858</v>
      </c>
      <c r="Z1426" t="s">
        <v>6037</v>
      </c>
      <c r="AA1426" s="2">
        <v>75</v>
      </c>
      <c r="AB1426" t="s">
        <v>5863</v>
      </c>
      <c r="AC1426" t="s">
        <v>9974</v>
      </c>
      <c r="AD1426" s="32">
        <v>43280</v>
      </c>
      <c r="AJ1426" t="s">
        <v>9958</v>
      </c>
      <c r="AL1426" t="s">
        <v>14269</v>
      </c>
    </row>
    <row r="1427" spans="1:38">
      <c r="A1427" t="s">
        <v>9489</v>
      </c>
      <c r="B1427" t="s">
        <v>13618</v>
      </c>
      <c r="C1427" t="s">
        <v>6957</v>
      </c>
      <c r="D1427" t="s">
        <v>6958</v>
      </c>
      <c r="E1427" s="2">
        <v>35</v>
      </c>
      <c r="F1427" s="2">
        <v>35</v>
      </c>
      <c r="G1427" s="3">
        <v>43295</v>
      </c>
      <c r="H1427" s="4">
        <v>0.85971064814815001</v>
      </c>
      <c r="I1427" s="3">
        <v>43295</v>
      </c>
      <c r="J1427" s="4">
        <v>0.91804398148148003</v>
      </c>
      <c r="K1427" s="2">
        <v>0</v>
      </c>
      <c r="L1427" t="s">
        <v>5856</v>
      </c>
      <c r="M1427" t="s">
        <v>9495</v>
      </c>
      <c r="N1427" s="3">
        <v>43286</v>
      </c>
      <c r="O1427" s="3">
        <v>43297</v>
      </c>
      <c r="P1427" t="s">
        <v>6026</v>
      </c>
      <c r="Q1427" t="s">
        <v>6038</v>
      </c>
      <c r="R1427" t="s">
        <v>6039</v>
      </c>
      <c r="S1427" s="3"/>
      <c r="T1427" t="s">
        <v>9938</v>
      </c>
      <c r="U1427" t="s">
        <v>5917</v>
      </c>
      <c r="V1427" t="s">
        <v>6959</v>
      </c>
      <c r="W1427" t="s">
        <v>5857</v>
      </c>
      <c r="X1427" s="2">
        <v>25</v>
      </c>
      <c r="Y1427" t="s">
        <v>5858</v>
      </c>
      <c r="Z1427" t="s">
        <v>6037</v>
      </c>
      <c r="AA1427" s="2">
        <v>25</v>
      </c>
      <c r="AB1427" t="s">
        <v>5863</v>
      </c>
      <c r="AC1427" t="s">
        <v>9976</v>
      </c>
      <c r="AD1427" s="32">
        <v>43280</v>
      </c>
      <c r="AJ1427" t="s">
        <v>9958</v>
      </c>
      <c r="AL1427" t="s">
        <v>14270</v>
      </c>
    </row>
    <row r="1428" spans="1:38">
      <c r="A1428" t="s">
        <v>9489</v>
      </c>
      <c r="B1428" t="s">
        <v>13619</v>
      </c>
      <c r="C1428" t="s">
        <v>8756</v>
      </c>
      <c r="D1428" t="s">
        <v>8757</v>
      </c>
      <c r="E1428" s="2">
        <v>35</v>
      </c>
      <c r="F1428" s="2">
        <v>35</v>
      </c>
      <c r="G1428" s="3">
        <v>43295</v>
      </c>
      <c r="H1428" s="4">
        <v>0.93887731481480996</v>
      </c>
      <c r="I1428" s="3">
        <v>43295</v>
      </c>
      <c r="J1428" s="4">
        <v>0.99721064814814997</v>
      </c>
      <c r="K1428" s="2">
        <v>0</v>
      </c>
      <c r="L1428" t="s">
        <v>5856</v>
      </c>
      <c r="M1428" t="s">
        <v>9495</v>
      </c>
      <c r="N1428" s="3">
        <v>43291</v>
      </c>
      <c r="O1428" s="3">
        <v>43297</v>
      </c>
      <c r="P1428" t="s">
        <v>5929</v>
      </c>
      <c r="Q1428" t="s">
        <v>8759</v>
      </c>
      <c r="R1428" t="s">
        <v>6036</v>
      </c>
      <c r="S1428" s="3">
        <v>43291</v>
      </c>
      <c r="T1428" t="s">
        <v>9938</v>
      </c>
      <c r="U1428" t="s">
        <v>7490</v>
      </c>
      <c r="V1428" t="s">
        <v>8760</v>
      </c>
      <c r="W1428" t="s">
        <v>5857</v>
      </c>
      <c r="X1428" s="2">
        <v>25</v>
      </c>
      <c r="Y1428" t="s">
        <v>5858</v>
      </c>
      <c r="Z1428" t="s">
        <v>6037</v>
      </c>
      <c r="AA1428" s="2">
        <v>25</v>
      </c>
      <c r="AB1428" t="s">
        <v>5863</v>
      </c>
      <c r="AC1428" t="s">
        <v>9976</v>
      </c>
      <c r="AD1428" s="32">
        <v>43283</v>
      </c>
      <c r="AJ1428" t="s">
        <v>9957</v>
      </c>
      <c r="AL1428" t="s">
        <v>14271</v>
      </c>
    </row>
    <row r="1429" spans="1:38">
      <c r="A1429" t="s">
        <v>9489</v>
      </c>
      <c r="B1429" t="s">
        <v>13620</v>
      </c>
      <c r="C1429" t="s">
        <v>7063</v>
      </c>
      <c r="D1429" t="s">
        <v>7064</v>
      </c>
      <c r="E1429" s="2">
        <v>70</v>
      </c>
      <c r="F1429" s="2">
        <v>70</v>
      </c>
      <c r="G1429" s="3">
        <v>43296</v>
      </c>
      <c r="H1429" s="4">
        <v>1.8043981481479999E-2</v>
      </c>
      <c r="I1429" s="3">
        <v>43296</v>
      </c>
      <c r="J1429" s="4">
        <v>0.13471064814815001</v>
      </c>
      <c r="K1429" s="2">
        <v>0</v>
      </c>
      <c r="L1429" t="s">
        <v>5856</v>
      </c>
      <c r="M1429" t="s">
        <v>9523</v>
      </c>
      <c r="N1429" s="3">
        <v>43285</v>
      </c>
      <c r="O1429" s="3">
        <v>43298</v>
      </c>
      <c r="P1429" t="s">
        <v>5881</v>
      </c>
      <c r="Q1429" t="s">
        <v>8942</v>
      </c>
      <c r="R1429" t="s">
        <v>6036</v>
      </c>
      <c r="S1429" s="3">
        <v>43285</v>
      </c>
      <c r="T1429" t="s">
        <v>9938</v>
      </c>
      <c r="U1429" t="s">
        <v>5987</v>
      </c>
      <c r="V1429" t="s">
        <v>7066</v>
      </c>
      <c r="W1429" t="s">
        <v>5857</v>
      </c>
      <c r="X1429" s="2">
        <v>25</v>
      </c>
      <c r="Y1429" t="s">
        <v>5858</v>
      </c>
      <c r="Z1429" t="s">
        <v>6037</v>
      </c>
      <c r="AA1429" s="2">
        <v>50</v>
      </c>
      <c r="AB1429" t="s">
        <v>5863</v>
      </c>
      <c r="AC1429" t="s">
        <v>9978</v>
      </c>
      <c r="AD1429" s="32">
        <v>43283</v>
      </c>
      <c r="AJ1429" t="s">
        <v>9958</v>
      </c>
      <c r="AL1429" t="s">
        <v>14272</v>
      </c>
    </row>
    <row r="1430" spans="1:38">
      <c r="A1430" t="s">
        <v>9489</v>
      </c>
      <c r="B1430" t="s">
        <v>12635</v>
      </c>
      <c r="C1430" t="s">
        <v>9559</v>
      </c>
      <c r="D1430" t="s">
        <v>9560</v>
      </c>
      <c r="E1430" s="2">
        <v>70</v>
      </c>
      <c r="F1430" s="2">
        <v>70</v>
      </c>
      <c r="G1430" s="3">
        <v>43296</v>
      </c>
      <c r="H1430" s="4">
        <v>0.25276620370370001</v>
      </c>
      <c r="I1430" s="3">
        <v>43296</v>
      </c>
      <c r="J1430" s="4">
        <v>0.36943287037036998</v>
      </c>
      <c r="K1430" s="2">
        <v>0</v>
      </c>
      <c r="L1430" t="s">
        <v>5856</v>
      </c>
      <c r="M1430" t="s">
        <v>9523</v>
      </c>
      <c r="N1430" s="3">
        <v>43291</v>
      </c>
      <c r="O1430" s="3">
        <v>43298</v>
      </c>
      <c r="P1430" t="s">
        <v>5924</v>
      </c>
      <c r="Q1430" t="s">
        <v>9561</v>
      </c>
      <c r="R1430" t="s">
        <v>6036</v>
      </c>
      <c r="S1430" s="3">
        <v>43291</v>
      </c>
      <c r="T1430" t="s">
        <v>9938</v>
      </c>
      <c r="U1430" t="s">
        <v>9562</v>
      </c>
      <c r="V1430" t="s">
        <v>9563</v>
      </c>
      <c r="W1430" t="s">
        <v>5857</v>
      </c>
      <c r="X1430" s="2">
        <v>25</v>
      </c>
      <c r="Y1430" t="s">
        <v>5858</v>
      </c>
      <c r="Z1430" t="s">
        <v>6037</v>
      </c>
      <c r="AA1430" s="2">
        <v>50</v>
      </c>
      <c r="AB1430" t="s">
        <v>5863</v>
      </c>
      <c r="AC1430" t="s">
        <v>9976</v>
      </c>
      <c r="AD1430" s="32">
        <v>43270</v>
      </c>
      <c r="AJ1430" t="s">
        <v>9958</v>
      </c>
      <c r="AL1430" t="s">
        <v>11438</v>
      </c>
    </row>
    <row r="1431" spans="1:38">
      <c r="A1431" t="s">
        <v>9489</v>
      </c>
      <c r="B1431" t="s">
        <v>13621</v>
      </c>
      <c r="C1431" t="s">
        <v>7360</v>
      </c>
      <c r="D1431" t="s">
        <v>7361</v>
      </c>
      <c r="E1431" s="2">
        <v>70</v>
      </c>
      <c r="F1431" s="2">
        <v>70</v>
      </c>
      <c r="G1431" s="3">
        <v>43296</v>
      </c>
      <c r="H1431" s="4">
        <v>0.39721064814814999</v>
      </c>
      <c r="I1431" s="3">
        <v>43296</v>
      </c>
      <c r="J1431" s="4">
        <v>0.51387731481481003</v>
      </c>
      <c r="K1431" s="2">
        <v>4</v>
      </c>
      <c r="L1431" t="s">
        <v>5856</v>
      </c>
      <c r="M1431" t="s">
        <v>9523</v>
      </c>
      <c r="N1431" s="3">
        <v>43290</v>
      </c>
      <c r="O1431" s="3">
        <v>43298</v>
      </c>
      <c r="P1431" t="s">
        <v>5937</v>
      </c>
      <c r="Q1431" t="s">
        <v>7362</v>
      </c>
      <c r="R1431" t="s">
        <v>6036</v>
      </c>
      <c r="S1431" s="3">
        <v>43290</v>
      </c>
      <c r="T1431" t="s">
        <v>9938</v>
      </c>
      <c r="U1431" t="s">
        <v>5867</v>
      </c>
      <c r="V1431" t="s">
        <v>7363</v>
      </c>
      <c r="W1431" t="s">
        <v>5857</v>
      </c>
      <c r="X1431" s="2">
        <v>25</v>
      </c>
      <c r="Y1431" t="s">
        <v>5858</v>
      </c>
      <c r="Z1431" t="s">
        <v>6037</v>
      </c>
      <c r="AA1431" s="2">
        <v>50</v>
      </c>
      <c r="AB1431" t="s">
        <v>5863</v>
      </c>
      <c r="AC1431" t="s">
        <v>9974</v>
      </c>
      <c r="AD1431" s="32">
        <v>43280</v>
      </c>
      <c r="AJ1431" t="s">
        <v>9959</v>
      </c>
      <c r="AL1431" t="s">
        <v>14273</v>
      </c>
    </row>
    <row r="1432" spans="1:38">
      <c r="A1432" t="s">
        <v>9489</v>
      </c>
      <c r="B1432" t="s">
        <v>13622</v>
      </c>
      <c r="C1432" t="s">
        <v>7326</v>
      </c>
      <c r="D1432" t="s">
        <v>7327</v>
      </c>
      <c r="E1432" s="2">
        <v>35</v>
      </c>
      <c r="F1432" s="2">
        <v>35</v>
      </c>
      <c r="G1432" s="3">
        <v>43296</v>
      </c>
      <c r="H1432" s="4">
        <v>0.53471064814814995</v>
      </c>
      <c r="I1432" s="3">
        <v>43296</v>
      </c>
      <c r="J1432" s="4">
        <v>0.59304398148147996</v>
      </c>
      <c r="K1432" s="2">
        <v>4</v>
      </c>
      <c r="L1432" t="s">
        <v>5856</v>
      </c>
      <c r="M1432" t="s">
        <v>9495</v>
      </c>
      <c r="N1432" s="3">
        <v>43290</v>
      </c>
      <c r="O1432" s="3">
        <v>43298</v>
      </c>
      <c r="P1432" t="s">
        <v>5921</v>
      </c>
      <c r="Q1432" t="s">
        <v>7328</v>
      </c>
      <c r="R1432" t="s">
        <v>6036</v>
      </c>
      <c r="S1432" s="3">
        <v>43290</v>
      </c>
      <c r="T1432" t="s">
        <v>9938</v>
      </c>
      <c r="U1432" t="s">
        <v>7329</v>
      </c>
      <c r="V1432" t="s">
        <v>5948</v>
      </c>
      <c r="W1432" t="s">
        <v>5857</v>
      </c>
      <c r="X1432" s="2">
        <v>25</v>
      </c>
      <c r="Y1432" t="s">
        <v>5858</v>
      </c>
      <c r="Z1432" t="s">
        <v>6037</v>
      </c>
      <c r="AA1432" s="2">
        <v>25</v>
      </c>
      <c r="AB1432" t="s">
        <v>5863</v>
      </c>
      <c r="AC1432" t="s">
        <v>9974</v>
      </c>
      <c r="AD1432" s="32">
        <v>43280</v>
      </c>
      <c r="AJ1432" t="s">
        <v>9959</v>
      </c>
      <c r="AL1432" t="s">
        <v>14274</v>
      </c>
    </row>
    <row r="1433" spans="1:38">
      <c r="A1433" t="s">
        <v>9489</v>
      </c>
      <c r="B1433" t="s">
        <v>12639</v>
      </c>
      <c r="C1433" t="s">
        <v>6101</v>
      </c>
      <c r="D1433" t="s">
        <v>6023</v>
      </c>
      <c r="E1433" s="2">
        <v>35</v>
      </c>
      <c r="F1433" s="2">
        <v>35</v>
      </c>
      <c r="G1433" s="3">
        <v>43296</v>
      </c>
      <c r="H1433" s="4">
        <v>0.61387731481481</v>
      </c>
      <c r="I1433" s="3">
        <v>43296</v>
      </c>
      <c r="J1433" s="4">
        <v>0.67221064814815001</v>
      </c>
      <c r="K1433" s="2">
        <v>4</v>
      </c>
      <c r="L1433" t="s">
        <v>5856</v>
      </c>
      <c r="M1433" t="s">
        <v>9495</v>
      </c>
      <c r="N1433" s="3">
        <v>43285</v>
      </c>
      <c r="O1433" s="3">
        <v>43298</v>
      </c>
      <c r="P1433" t="s">
        <v>5883</v>
      </c>
      <c r="Q1433" t="s">
        <v>6038</v>
      </c>
      <c r="R1433" t="s">
        <v>6039</v>
      </c>
      <c r="S1433" s="3"/>
      <c r="T1433" t="s">
        <v>9938</v>
      </c>
      <c r="U1433" t="s">
        <v>5894</v>
      </c>
      <c r="V1433" t="s">
        <v>6024</v>
      </c>
      <c r="W1433" t="s">
        <v>5857</v>
      </c>
      <c r="X1433" s="2">
        <v>25</v>
      </c>
      <c r="Y1433" t="s">
        <v>5858</v>
      </c>
      <c r="Z1433" t="s">
        <v>6037</v>
      </c>
      <c r="AA1433" s="2">
        <v>25</v>
      </c>
      <c r="AB1433" t="s">
        <v>5863</v>
      </c>
      <c r="AC1433" t="s">
        <v>9978</v>
      </c>
      <c r="AD1433" s="32">
        <v>43276</v>
      </c>
      <c r="AJ1433" t="s">
        <v>9958</v>
      </c>
      <c r="AL1433" t="s">
        <v>11442</v>
      </c>
    </row>
    <row r="1434" spans="1:38">
      <c r="A1434" t="s">
        <v>9489</v>
      </c>
      <c r="B1434" t="s">
        <v>12641</v>
      </c>
      <c r="C1434" t="s">
        <v>6049</v>
      </c>
      <c r="D1434" t="s">
        <v>5884</v>
      </c>
      <c r="E1434" s="2">
        <v>35</v>
      </c>
      <c r="F1434" s="2">
        <v>35</v>
      </c>
      <c r="G1434" s="3">
        <v>43296</v>
      </c>
      <c r="H1434" s="4">
        <v>0.69304398148148005</v>
      </c>
      <c r="I1434" s="3">
        <v>43296</v>
      </c>
      <c r="J1434" s="4">
        <v>0.75137731481480996</v>
      </c>
      <c r="K1434" s="2">
        <v>4</v>
      </c>
      <c r="L1434" t="s">
        <v>5856</v>
      </c>
      <c r="M1434" t="s">
        <v>9495</v>
      </c>
      <c r="N1434" s="3">
        <v>43285</v>
      </c>
      <c r="O1434" s="3">
        <v>43298</v>
      </c>
      <c r="P1434" t="s">
        <v>5885</v>
      </c>
      <c r="Q1434" t="s">
        <v>6038</v>
      </c>
      <c r="R1434" t="s">
        <v>6039</v>
      </c>
      <c r="S1434" s="3"/>
      <c r="T1434" t="s">
        <v>9938</v>
      </c>
      <c r="U1434" t="s">
        <v>5886</v>
      </c>
      <c r="V1434" t="s">
        <v>5887</v>
      </c>
      <c r="W1434" t="s">
        <v>5857</v>
      </c>
      <c r="X1434" s="2">
        <v>25</v>
      </c>
      <c r="Y1434" t="s">
        <v>5858</v>
      </c>
      <c r="Z1434" t="s">
        <v>6037</v>
      </c>
      <c r="AA1434" s="2">
        <v>25</v>
      </c>
      <c r="AB1434" t="s">
        <v>5863</v>
      </c>
      <c r="AC1434" t="s">
        <v>9978</v>
      </c>
      <c r="AD1434" s="32">
        <v>43276</v>
      </c>
      <c r="AJ1434" t="s">
        <v>9958</v>
      </c>
      <c r="AL1434" t="s">
        <v>11443</v>
      </c>
    </row>
    <row r="1435" spans="1:38">
      <c r="A1435" t="s">
        <v>9489</v>
      </c>
      <c r="B1435" t="s">
        <v>12642</v>
      </c>
      <c r="C1435" t="s">
        <v>9571</v>
      </c>
      <c r="D1435" t="s">
        <v>9572</v>
      </c>
      <c r="E1435" s="2">
        <v>100</v>
      </c>
      <c r="F1435" s="2">
        <v>100</v>
      </c>
      <c r="G1435" s="3">
        <v>43296</v>
      </c>
      <c r="H1435" s="4">
        <v>0.92359953703704001</v>
      </c>
      <c r="I1435" s="3">
        <v>43297</v>
      </c>
      <c r="J1435" s="4">
        <v>9.0266203703700004E-2</v>
      </c>
      <c r="K1435" s="2">
        <v>20</v>
      </c>
      <c r="L1435" t="s">
        <v>5856</v>
      </c>
      <c r="M1435" t="s">
        <v>9516</v>
      </c>
      <c r="N1435" s="3">
        <v>43291</v>
      </c>
      <c r="O1435" s="3">
        <v>43299</v>
      </c>
      <c r="P1435" t="s">
        <v>5876</v>
      </c>
      <c r="Q1435" t="s">
        <v>9573</v>
      </c>
      <c r="R1435" t="s">
        <v>6036</v>
      </c>
      <c r="S1435" s="3">
        <v>43291</v>
      </c>
      <c r="T1435" t="s">
        <v>9938</v>
      </c>
      <c r="U1435" t="s">
        <v>8712</v>
      </c>
      <c r="V1435" t="s">
        <v>8707</v>
      </c>
      <c r="W1435" t="s">
        <v>5857</v>
      </c>
      <c r="X1435" s="2">
        <v>25</v>
      </c>
      <c r="Y1435" t="s">
        <v>5858</v>
      </c>
      <c r="Z1435" t="s">
        <v>6037</v>
      </c>
      <c r="AA1435" s="2">
        <v>100</v>
      </c>
      <c r="AB1435" t="s">
        <v>5863</v>
      </c>
      <c r="AC1435" t="s">
        <v>9976</v>
      </c>
      <c r="AD1435" s="32">
        <v>43270</v>
      </c>
      <c r="AJ1435" t="s">
        <v>9959</v>
      </c>
      <c r="AL1435" t="s">
        <v>11444</v>
      </c>
    </row>
    <row r="1436" spans="1:38">
      <c r="A1436" t="s">
        <v>9489</v>
      </c>
      <c r="B1436" t="s">
        <v>13623</v>
      </c>
      <c r="C1436" t="s">
        <v>9590</v>
      </c>
      <c r="D1436" t="s">
        <v>9591</v>
      </c>
      <c r="E1436" s="2">
        <v>100</v>
      </c>
      <c r="F1436" s="2">
        <v>100</v>
      </c>
      <c r="G1436" s="3">
        <v>43297</v>
      </c>
      <c r="H1436" s="4">
        <v>0.68609953703703996</v>
      </c>
      <c r="I1436" s="3">
        <v>43297</v>
      </c>
      <c r="J1436" s="4">
        <v>0.85276620370370004</v>
      </c>
      <c r="K1436" s="2">
        <v>0</v>
      </c>
      <c r="L1436" t="s">
        <v>5856</v>
      </c>
      <c r="M1436" t="s">
        <v>9516</v>
      </c>
      <c r="N1436" s="3">
        <v>43291</v>
      </c>
      <c r="O1436" s="3">
        <v>43299</v>
      </c>
      <c r="P1436" t="s">
        <v>9592</v>
      </c>
      <c r="Q1436" t="s">
        <v>6038</v>
      </c>
      <c r="R1436" t="s">
        <v>6040</v>
      </c>
      <c r="S1436" s="3">
        <v>43288</v>
      </c>
      <c r="T1436" t="s">
        <v>9938</v>
      </c>
      <c r="U1436" t="s">
        <v>7207</v>
      </c>
      <c r="V1436" t="s">
        <v>9593</v>
      </c>
      <c r="W1436" t="s">
        <v>5857</v>
      </c>
      <c r="X1436" s="2">
        <v>25</v>
      </c>
      <c r="Y1436" t="s">
        <v>5858</v>
      </c>
      <c r="Z1436" t="s">
        <v>6037</v>
      </c>
      <c r="AA1436" s="2">
        <v>100</v>
      </c>
      <c r="AB1436" t="s">
        <v>5863</v>
      </c>
      <c r="AC1436" t="s">
        <v>9974</v>
      </c>
      <c r="AD1436" s="32">
        <v>43280</v>
      </c>
      <c r="AJ1436" t="s">
        <v>9957</v>
      </c>
      <c r="AL1436" t="s">
        <v>14275</v>
      </c>
    </row>
    <row r="1437" spans="1:38">
      <c r="A1437" t="s">
        <v>9489</v>
      </c>
      <c r="B1437" t="s">
        <v>12648</v>
      </c>
      <c r="C1437" t="s">
        <v>8911</v>
      </c>
      <c r="D1437" t="s">
        <v>8912</v>
      </c>
      <c r="E1437" s="2">
        <v>70</v>
      </c>
      <c r="F1437" s="2">
        <v>70</v>
      </c>
      <c r="G1437" s="3">
        <v>43298</v>
      </c>
      <c r="H1437" s="4">
        <v>6.1099537037039998E-2</v>
      </c>
      <c r="I1437" s="3">
        <v>43298</v>
      </c>
      <c r="J1437" s="4">
        <v>0.1777662037037</v>
      </c>
      <c r="K1437" s="2">
        <v>4</v>
      </c>
      <c r="L1437" t="s">
        <v>5856</v>
      </c>
      <c r="M1437" t="s">
        <v>9523</v>
      </c>
      <c r="N1437" s="3">
        <v>43283</v>
      </c>
      <c r="O1437" s="3">
        <v>43300</v>
      </c>
      <c r="P1437" t="s">
        <v>5967</v>
      </c>
      <c r="Q1437" t="s">
        <v>6038</v>
      </c>
      <c r="R1437" t="s">
        <v>6039</v>
      </c>
      <c r="S1437" s="3"/>
      <c r="T1437" t="s">
        <v>9938</v>
      </c>
      <c r="U1437" t="s">
        <v>8914</v>
      </c>
      <c r="V1437" t="s">
        <v>8915</v>
      </c>
      <c r="W1437" t="s">
        <v>5857</v>
      </c>
      <c r="X1437" s="2">
        <v>25</v>
      </c>
      <c r="Y1437" t="s">
        <v>5858</v>
      </c>
      <c r="Z1437" t="s">
        <v>6037</v>
      </c>
      <c r="AA1437" s="2">
        <v>50</v>
      </c>
      <c r="AB1437" t="s">
        <v>5863</v>
      </c>
      <c r="AC1437" t="s">
        <v>9981</v>
      </c>
      <c r="AD1437" s="32">
        <v>43279</v>
      </c>
      <c r="AJ1437" t="s">
        <v>9958</v>
      </c>
      <c r="AL1437" t="s">
        <v>11447</v>
      </c>
    </row>
    <row r="1438" spans="1:38">
      <c r="A1438" t="s">
        <v>9489</v>
      </c>
      <c r="B1438" t="s">
        <v>12649</v>
      </c>
      <c r="C1438" t="s">
        <v>6058</v>
      </c>
      <c r="D1438" t="s">
        <v>5901</v>
      </c>
      <c r="E1438" s="2">
        <v>70</v>
      </c>
      <c r="F1438" s="2">
        <v>70</v>
      </c>
      <c r="G1438" s="3">
        <v>43298</v>
      </c>
      <c r="H1438" s="4">
        <v>0.19859953703704</v>
      </c>
      <c r="I1438" s="3">
        <v>43298</v>
      </c>
      <c r="J1438" s="4">
        <v>0.31526620370370001</v>
      </c>
      <c r="K1438" s="2">
        <v>4</v>
      </c>
      <c r="L1438" t="s">
        <v>5856</v>
      </c>
      <c r="M1438" t="s">
        <v>9523</v>
      </c>
      <c r="N1438" s="3">
        <v>43287</v>
      </c>
      <c r="O1438" s="3">
        <v>43300</v>
      </c>
      <c r="P1438" t="s">
        <v>5902</v>
      </c>
      <c r="Q1438" t="s">
        <v>9595</v>
      </c>
      <c r="R1438" t="s">
        <v>6036</v>
      </c>
      <c r="S1438" s="3">
        <v>43287</v>
      </c>
      <c r="T1438" t="s">
        <v>9938</v>
      </c>
      <c r="U1438" t="s">
        <v>5903</v>
      </c>
      <c r="V1438" t="s">
        <v>6059</v>
      </c>
      <c r="W1438" t="s">
        <v>5857</v>
      </c>
      <c r="X1438" s="2">
        <v>25</v>
      </c>
      <c r="Y1438" t="s">
        <v>5858</v>
      </c>
      <c r="Z1438" t="s">
        <v>6037</v>
      </c>
      <c r="AA1438" s="2">
        <v>50</v>
      </c>
      <c r="AB1438" t="s">
        <v>5863</v>
      </c>
      <c r="AC1438" t="s">
        <v>9974</v>
      </c>
      <c r="AD1438" s="32">
        <v>43278</v>
      </c>
      <c r="AI1438" t="s">
        <v>9952</v>
      </c>
      <c r="AJ1438" t="s">
        <v>9959</v>
      </c>
      <c r="AL1438" t="s">
        <v>11448</v>
      </c>
    </row>
    <row r="1439" spans="1:38">
      <c r="A1439" t="s">
        <v>9489</v>
      </c>
      <c r="B1439" t="s">
        <v>13624</v>
      </c>
      <c r="C1439" t="s">
        <v>13625</v>
      </c>
      <c r="D1439" t="s">
        <v>13626</v>
      </c>
      <c r="E1439" s="2">
        <v>100</v>
      </c>
      <c r="F1439" s="2">
        <v>100</v>
      </c>
      <c r="G1439" s="3">
        <v>43298</v>
      </c>
      <c r="H1439" s="4">
        <v>0.81526620370369995</v>
      </c>
      <c r="I1439" s="3">
        <v>43298</v>
      </c>
      <c r="J1439" s="4">
        <v>0.98193287037037003</v>
      </c>
      <c r="K1439" s="2">
        <v>0</v>
      </c>
      <c r="L1439" t="s">
        <v>5856</v>
      </c>
      <c r="M1439" t="s">
        <v>9516</v>
      </c>
      <c r="N1439" s="3">
        <v>43301</v>
      </c>
      <c r="O1439" s="3">
        <v>43300</v>
      </c>
      <c r="P1439" t="s">
        <v>7094</v>
      </c>
      <c r="Q1439" t="s">
        <v>13627</v>
      </c>
      <c r="R1439" t="s">
        <v>6036</v>
      </c>
      <c r="S1439" s="3">
        <v>43301</v>
      </c>
      <c r="T1439" t="s">
        <v>9938</v>
      </c>
      <c r="U1439" t="s">
        <v>6582</v>
      </c>
      <c r="V1439" t="s">
        <v>13628</v>
      </c>
      <c r="W1439" t="s">
        <v>5857</v>
      </c>
      <c r="X1439" s="2">
        <v>25</v>
      </c>
      <c r="Y1439" t="s">
        <v>5858</v>
      </c>
      <c r="Z1439" t="s">
        <v>6037</v>
      </c>
      <c r="AA1439" s="2">
        <v>100</v>
      </c>
      <c r="AB1439" t="s">
        <v>5863</v>
      </c>
      <c r="AC1439" t="s">
        <v>9976</v>
      </c>
      <c r="AD1439" s="32">
        <v>43280</v>
      </c>
      <c r="AJ1439" t="s">
        <v>9958</v>
      </c>
      <c r="AL1439" t="s">
        <v>14276</v>
      </c>
    </row>
    <row r="1440" spans="1:38">
      <c r="A1440" t="s">
        <v>9489</v>
      </c>
      <c r="B1440" t="s">
        <v>12653</v>
      </c>
      <c r="C1440" t="s">
        <v>9606</v>
      </c>
      <c r="D1440" t="s">
        <v>9607</v>
      </c>
      <c r="E1440" s="2">
        <v>70</v>
      </c>
      <c r="F1440" s="2">
        <v>70</v>
      </c>
      <c r="G1440" s="3">
        <v>43299</v>
      </c>
      <c r="H1440" s="4">
        <v>2.7662037036999998E-3</v>
      </c>
      <c r="I1440" s="3">
        <v>43299</v>
      </c>
      <c r="J1440" s="4">
        <v>0.11943287037037</v>
      </c>
      <c r="K1440" s="2">
        <v>0</v>
      </c>
      <c r="L1440" t="s">
        <v>5856</v>
      </c>
      <c r="M1440" t="s">
        <v>9523</v>
      </c>
      <c r="N1440" s="3">
        <v>43287</v>
      </c>
      <c r="O1440" s="3">
        <v>43301</v>
      </c>
      <c r="P1440" t="s">
        <v>5862</v>
      </c>
      <c r="Q1440" t="s">
        <v>9608</v>
      </c>
      <c r="R1440" t="s">
        <v>6036</v>
      </c>
      <c r="S1440" s="3">
        <v>43299</v>
      </c>
      <c r="T1440" t="s">
        <v>9938</v>
      </c>
      <c r="U1440" t="s">
        <v>9609</v>
      </c>
      <c r="V1440" t="s">
        <v>9610</v>
      </c>
      <c r="W1440" t="s">
        <v>5857</v>
      </c>
      <c r="X1440" s="2">
        <v>0</v>
      </c>
      <c r="Y1440" t="s">
        <v>5858</v>
      </c>
      <c r="Z1440" t="s">
        <v>6037</v>
      </c>
      <c r="AA1440" s="2">
        <v>50</v>
      </c>
      <c r="AB1440" t="s">
        <v>5861</v>
      </c>
      <c r="AC1440" t="s">
        <v>9976</v>
      </c>
      <c r="AD1440" s="32"/>
      <c r="AJ1440" t="s">
        <v>9958</v>
      </c>
      <c r="AL1440" t="s">
        <v>14277</v>
      </c>
    </row>
    <row r="1441" spans="1:38">
      <c r="A1441" t="s">
        <v>9489</v>
      </c>
      <c r="B1441" t="s">
        <v>12654</v>
      </c>
      <c r="C1441" t="s">
        <v>9524</v>
      </c>
      <c r="D1441" t="s">
        <v>9525</v>
      </c>
      <c r="E1441" s="2">
        <v>100</v>
      </c>
      <c r="F1441" s="2">
        <v>100</v>
      </c>
      <c r="G1441" s="3">
        <v>43299</v>
      </c>
      <c r="H1441" s="4">
        <v>0.14026620370369999</v>
      </c>
      <c r="I1441" s="3">
        <v>43299</v>
      </c>
      <c r="J1441" s="4">
        <v>0.30693287037036998</v>
      </c>
      <c r="K1441" s="2">
        <v>0</v>
      </c>
      <c r="L1441" t="s">
        <v>5856</v>
      </c>
      <c r="M1441" t="s">
        <v>9516</v>
      </c>
      <c r="N1441" s="3">
        <v>43300</v>
      </c>
      <c r="O1441" s="3">
        <v>43301</v>
      </c>
      <c r="P1441" t="s">
        <v>6924</v>
      </c>
      <c r="Q1441" t="s">
        <v>9611</v>
      </c>
      <c r="R1441" t="s">
        <v>6036</v>
      </c>
      <c r="S1441" s="3">
        <v>43300</v>
      </c>
      <c r="T1441" t="s">
        <v>9938</v>
      </c>
      <c r="U1441" t="s">
        <v>5961</v>
      </c>
      <c r="V1441" t="s">
        <v>9526</v>
      </c>
      <c r="W1441" t="s">
        <v>6038</v>
      </c>
      <c r="X1441" s="2">
        <v>25</v>
      </c>
      <c r="Y1441" t="s">
        <v>5858</v>
      </c>
      <c r="Z1441" t="s">
        <v>6037</v>
      </c>
      <c r="AA1441" s="2">
        <v>100</v>
      </c>
      <c r="AB1441" t="s">
        <v>5863</v>
      </c>
      <c r="AC1441" t="s">
        <v>9976</v>
      </c>
      <c r="AD1441" s="32">
        <v>43279</v>
      </c>
      <c r="AJ1441" t="s">
        <v>9958</v>
      </c>
      <c r="AL1441" t="s">
        <v>11449</v>
      </c>
    </row>
    <row r="1442" spans="1:38">
      <c r="A1442" t="s">
        <v>9489</v>
      </c>
      <c r="B1442" t="s">
        <v>12655</v>
      </c>
      <c r="C1442" t="s">
        <v>7075</v>
      </c>
      <c r="D1442" t="s">
        <v>7076</v>
      </c>
      <c r="E1442" s="2">
        <v>100</v>
      </c>
      <c r="F1442" s="2">
        <v>100</v>
      </c>
      <c r="G1442" s="3">
        <v>43299</v>
      </c>
      <c r="H1442" s="4">
        <v>0.32776620370370002</v>
      </c>
      <c r="I1442" s="3">
        <v>43299</v>
      </c>
      <c r="J1442" s="4">
        <v>0.49443287037036998</v>
      </c>
      <c r="K1442" s="2">
        <v>0</v>
      </c>
      <c r="L1442" t="s">
        <v>5856</v>
      </c>
      <c r="M1442" t="s">
        <v>9516</v>
      </c>
      <c r="N1442" s="3">
        <v>43300</v>
      </c>
      <c r="O1442" s="3">
        <v>43301</v>
      </c>
      <c r="P1442" t="s">
        <v>6868</v>
      </c>
      <c r="Q1442" t="s">
        <v>9612</v>
      </c>
      <c r="R1442" t="s">
        <v>6036</v>
      </c>
      <c r="S1442" s="3">
        <v>43300</v>
      </c>
      <c r="T1442" t="s">
        <v>9938</v>
      </c>
      <c r="U1442" t="s">
        <v>6582</v>
      </c>
      <c r="V1442" t="s">
        <v>7078</v>
      </c>
      <c r="W1442" t="s">
        <v>6038</v>
      </c>
      <c r="X1442" s="2">
        <v>25</v>
      </c>
      <c r="Y1442" t="s">
        <v>5858</v>
      </c>
      <c r="Z1442" t="s">
        <v>6037</v>
      </c>
      <c r="AA1442" s="2">
        <v>100</v>
      </c>
      <c r="AB1442" t="s">
        <v>5863</v>
      </c>
      <c r="AC1442" t="s">
        <v>9976</v>
      </c>
      <c r="AD1442" s="32">
        <v>43276</v>
      </c>
      <c r="AJ1442" t="s">
        <v>9958</v>
      </c>
      <c r="AL1442" t="s">
        <v>11450</v>
      </c>
    </row>
    <row r="1443" spans="1:38">
      <c r="A1443" t="s">
        <v>9489</v>
      </c>
      <c r="B1443" t="s">
        <v>12656</v>
      </c>
      <c r="C1443" t="s">
        <v>9613</v>
      </c>
      <c r="D1443" t="s">
        <v>9614</v>
      </c>
      <c r="E1443" s="2">
        <v>100</v>
      </c>
      <c r="F1443" s="2">
        <v>100</v>
      </c>
      <c r="G1443" s="3">
        <v>43299</v>
      </c>
      <c r="H1443" s="4">
        <v>0.51526620370370002</v>
      </c>
      <c r="I1443" s="3">
        <v>43299</v>
      </c>
      <c r="J1443" s="4">
        <v>0.68193287037036998</v>
      </c>
      <c r="K1443" s="2">
        <v>0</v>
      </c>
      <c r="L1443" t="s">
        <v>5856</v>
      </c>
      <c r="M1443" t="s">
        <v>9516</v>
      </c>
      <c r="N1443" s="3">
        <v>43300</v>
      </c>
      <c r="O1443" s="3">
        <v>43301</v>
      </c>
      <c r="P1443" t="s">
        <v>5929</v>
      </c>
      <c r="Q1443" t="s">
        <v>9615</v>
      </c>
      <c r="R1443" t="s">
        <v>6036</v>
      </c>
      <c r="S1443" s="3">
        <v>43300</v>
      </c>
      <c r="T1443" t="s">
        <v>9938</v>
      </c>
      <c r="U1443" t="s">
        <v>5934</v>
      </c>
      <c r="V1443" t="s">
        <v>8259</v>
      </c>
      <c r="W1443" t="s">
        <v>5857</v>
      </c>
      <c r="X1443" s="2">
        <v>25</v>
      </c>
      <c r="Y1443" t="s">
        <v>5858</v>
      </c>
      <c r="Z1443" t="s">
        <v>6037</v>
      </c>
      <c r="AA1443" s="2">
        <v>100</v>
      </c>
      <c r="AB1443" t="s">
        <v>5863</v>
      </c>
      <c r="AC1443" t="s">
        <v>9976</v>
      </c>
      <c r="AD1443" s="32">
        <v>43251</v>
      </c>
      <c r="AJ1443" t="s">
        <v>9958</v>
      </c>
      <c r="AL1443" t="s">
        <v>11451</v>
      </c>
    </row>
    <row r="1444" spans="1:38">
      <c r="A1444" t="s">
        <v>9489</v>
      </c>
      <c r="B1444" t="s">
        <v>12657</v>
      </c>
      <c r="C1444" t="s">
        <v>9616</v>
      </c>
      <c r="D1444" t="s">
        <v>9617</v>
      </c>
      <c r="E1444" s="2">
        <v>50</v>
      </c>
      <c r="F1444" s="2">
        <v>50</v>
      </c>
      <c r="G1444" s="3">
        <v>43299</v>
      </c>
      <c r="H1444" s="4">
        <v>0.70276620370370002</v>
      </c>
      <c r="I1444" s="3">
        <v>43299</v>
      </c>
      <c r="J1444" s="4">
        <v>0.78609953703704005</v>
      </c>
      <c r="K1444" s="2">
        <v>0</v>
      </c>
      <c r="L1444" t="s">
        <v>5856</v>
      </c>
      <c r="M1444" t="s">
        <v>9537</v>
      </c>
      <c r="N1444" s="3">
        <v>43301</v>
      </c>
      <c r="O1444" s="3">
        <v>43301</v>
      </c>
      <c r="P1444" t="s">
        <v>9587</v>
      </c>
      <c r="Q1444" t="s">
        <v>9618</v>
      </c>
      <c r="R1444" t="s">
        <v>6036</v>
      </c>
      <c r="S1444" s="3">
        <v>43301</v>
      </c>
      <c r="T1444" t="s">
        <v>9938</v>
      </c>
      <c r="U1444" t="s">
        <v>7324</v>
      </c>
      <c r="V1444" t="s">
        <v>9619</v>
      </c>
      <c r="W1444" t="s">
        <v>5857</v>
      </c>
      <c r="X1444" s="2">
        <v>25</v>
      </c>
      <c r="Y1444" t="s">
        <v>5858</v>
      </c>
      <c r="Z1444" t="s">
        <v>6037</v>
      </c>
      <c r="AA1444" s="2">
        <v>50</v>
      </c>
      <c r="AB1444" t="s">
        <v>5863</v>
      </c>
      <c r="AC1444" t="s">
        <v>9974</v>
      </c>
      <c r="AD1444" s="32">
        <v>43273</v>
      </c>
      <c r="AJ1444" t="s">
        <v>9959</v>
      </c>
      <c r="AL1444" t="s">
        <v>11452</v>
      </c>
    </row>
    <row r="1445" spans="1:38">
      <c r="A1445" t="s">
        <v>9489</v>
      </c>
      <c r="B1445" t="s">
        <v>12658</v>
      </c>
      <c r="C1445" t="s">
        <v>6552</v>
      </c>
      <c r="D1445" t="s">
        <v>6553</v>
      </c>
      <c r="E1445" s="2">
        <v>100</v>
      </c>
      <c r="F1445" s="2">
        <v>100</v>
      </c>
      <c r="G1445" s="3">
        <v>43299</v>
      </c>
      <c r="H1445" s="4">
        <v>0.80693287037036998</v>
      </c>
      <c r="I1445" s="3">
        <v>43299</v>
      </c>
      <c r="J1445" s="4">
        <v>0.97359953703704005</v>
      </c>
      <c r="K1445" s="2">
        <v>20</v>
      </c>
      <c r="L1445" t="s">
        <v>5856</v>
      </c>
      <c r="M1445" t="s">
        <v>9516</v>
      </c>
      <c r="N1445" s="3">
        <v>43301</v>
      </c>
      <c r="O1445" s="3">
        <v>43301</v>
      </c>
      <c r="P1445" t="s">
        <v>5862</v>
      </c>
      <c r="Q1445" t="s">
        <v>9620</v>
      </c>
      <c r="R1445" t="s">
        <v>6036</v>
      </c>
      <c r="S1445" s="3">
        <v>43301</v>
      </c>
      <c r="T1445" t="s">
        <v>9938</v>
      </c>
      <c r="U1445" t="s">
        <v>6555</v>
      </c>
      <c r="V1445" t="s">
        <v>6556</v>
      </c>
      <c r="W1445" t="s">
        <v>5857</v>
      </c>
      <c r="X1445" s="2">
        <v>25</v>
      </c>
      <c r="Y1445" t="s">
        <v>5858</v>
      </c>
      <c r="Z1445" t="s">
        <v>6037</v>
      </c>
      <c r="AA1445" s="2">
        <v>100</v>
      </c>
      <c r="AB1445" t="s">
        <v>5863</v>
      </c>
      <c r="AC1445" t="s">
        <v>9978</v>
      </c>
      <c r="AD1445" s="32">
        <v>43273</v>
      </c>
      <c r="AI1445" t="s">
        <v>9943</v>
      </c>
      <c r="AJ1445" t="s">
        <v>9958</v>
      </c>
      <c r="AL1445" t="s">
        <v>11453</v>
      </c>
    </row>
    <row r="1446" spans="1:38">
      <c r="A1446" t="s">
        <v>9489</v>
      </c>
      <c r="B1446" t="s">
        <v>12659</v>
      </c>
      <c r="C1446" t="s">
        <v>7595</v>
      </c>
      <c r="D1446" t="s">
        <v>7596</v>
      </c>
      <c r="E1446" s="2">
        <v>100</v>
      </c>
      <c r="F1446" s="2">
        <v>100</v>
      </c>
      <c r="G1446" s="3">
        <v>43299</v>
      </c>
      <c r="H1446" s="4">
        <v>0.99443287037036998</v>
      </c>
      <c r="I1446" s="3">
        <v>43300</v>
      </c>
      <c r="J1446" s="4">
        <v>0.16109953703704</v>
      </c>
      <c r="K1446" s="2">
        <v>20</v>
      </c>
      <c r="L1446" t="s">
        <v>5856</v>
      </c>
      <c r="M1446" t="s">
        <v>9516</v>
      </c>
      <c r="N1446" s="3">
        <v>43301</v>
      </c>
      <c r="O1446" s="3">
        <v>43302</v>
      </c>
      <c r="P1446" t="s">
        <v>5862</v>
      </c>
      <c r="Q1446" t="s">
        <v>9621</v>
      </c>
      <c r="R1446" t="s">
        <v>6036</v>
      </c>
      <c r="S1446" s="3">
        <v>43301</v>
      </c>
      <c r="T1446" t="s">
        <v>9938</v>
      </c>
      <c r="U1446" t="s">
        <v>6555</v>
      </c>
      <c r="V1446" t="s">
        <v>7598</v>
      </c>
      <c r="W1446" t="s">
        <v>5857</v>
      </c>
      <c r="X1446" s="2">
        <v>25</v>
      </c>
      <c r="Y1446" t="s">
        <v>5858</v>
      </c>
      <c r="Z1446" t="s">
        <v>6037</v>
      </c>
      <c r="AA1446" s="2">
        <v>100</v>
      </c>
      <c r="AB1446" t="s">
        <v>5863</v>
      </c>
      <c r="AC1446" t="s">
        <v>9978</v>
      </c>
      <c r="AD1446" s="32">
        <v>43273</v>
      </c>
      <c r="AJ1446" t="s">
        <v>9958</v>
      </c>
      <c r="AL1446" t="s">
        <v>11454</v>
      </c>
    </row>
    <row r="1447" spans="1:38">
      <c r="A1447" t="s">
        <v>9489</v>
      </c>
      <c r="B1447" t="s">
        <v>12660</v>
      </c>
      <c r="C1447" t="s">
        <v>9622</v>
      </c>
      <c r="D1447" t="s">
        <v>9623</v>
      </c>
      <c r="E1447" s="2">
        <v>100</v>
      </c>
      <c r="F1447" s="2">
        <v>100</v>
      </c>
      <c r="G1447" s="3">
        <v>43302</v>
      </c>
      <c r="H1447" s="4">
        <v>0.63726851851851996</v>
      </c>
      <c r="I1447" s="3">
        <v>43302</v>
      </c>
      <c r="J1447" s="4">
        <v>0.80393518518519003</v>
      </c>
      <c r="K1447" s="2">
        <v>0</v>
      </c>
      <c r="L1447" t="s">
        <v>5856</v>
      </c>
      <c r="M1447" t="s">
        <v>9516</v>
      </c>
      <c r="N1447" s="3">
        <v>43335</v>
      </c>
      <c r="O1447" s="3">
        <v>43304</v>
      </c>
      <c r="P1447" t="s">
        <v>5929</v>
      </c>
      <c r="Q1447" t="s">
        <v>9624</v>
      </c>
      <c r="R1447" t="s">
        <v>6036</v>
      </c>
      <c r="S1447" s="3">
        <v>43335</v>
      </c>
      <c r="T1447" t="s">
        <v>9938</v>
      </c>
      <c r="U1447" t="s">
        <v>6912</v>
      </c>
      <c r="V1447" t="s">
        <v>8811</v>
      </c>
      <c r="W1447" t="s">
        <v>5857</v>
      </c>
      <c r="X1447" s="2">
        <v>25</v>
      </c>
      <c r="Y1447" t="s">
        <v>5858</v>
      </c>
      <c r="Z1447" t="s">
        <v>6037</v>
      </c>
      <c r="AA1447" s="2">
        <v>100</v>
      </c>
      <c r="AB1447" t="s">
        <v>5863</v>
      </c>
      <c r="AC1447" t="s">
        <v>9976</v>
      </c>
      <c r="AD1447" s="32">
        <v>43248</v>
      </c>
      <c r="AJ1447" t="s">
        <v>9959</v>
      </c>
      <c r="AL1447" t="s">
        <v>11455</v>
      </c>
    </row>
    <row r="1448" spans="1:38">
      <c r="A1448" t="s">
        <v>9489</v>
      </c>
      <c r="B1448" t="s">
        <v>13629</v>
      </c>
      <c r="C1448" t="s">
        <v>6517</v>
      </c>
      <c r="D1448" t="s">
        <v>6518</v>
      </c>
      <c r="E1448" s="2">
        <v>35</v>
      </c>
      <c r="F1448" s="2">
        <v>35</v>
      </c>
      <c r="G1448" s="3">
        <v>43304</v>
      </c>
      <c r="H1448" s="4">
        <v>0.94166666666666998</v>
      </c>
      <c r="I1448" s="3">
        <v>43305</v>
      </c>
      <c r="J1448" s="4">
        <v>0</v>
      </c>
      <c r="K1448" s="2">
        <v>20</v>
      </c>
      <c r="L1448" t="s">
        <v>5856</v>
      </c>
      <c r="M1448" t="s">
        <v>9495</v>
      </c>
      <c r="N1448" s="3">
        <v>43307</v>
      </c>
      <c r="O1448" s="3">
        <v>43306</v>
      </c>
      <c r="P1448" t="s">
        <v>5904</v>
      </c>
      <c r="Q1448" t="s">
        <v>13630</v>
      </c>
      <c r="R1448" t="s">
        <v>6036</v>
      </c>
      <c r="S1448" s="3">
        <v>43307</v>
      </c>
      <c r="T1448" t="s">
        <v>9938</v>
      </c>
      <c r="U1448" t="s">
        <v>6521</v>
      </c>
      <c r="V1448" t="s">
        <v>6048</v>
      </c>
      <c r="W1448" t="s">
        <v>5857</v>
      </c>
      <c r="X1448" s="2">
        <v>25</v>
      </c>
      <c r="Y1448" t="s">
        <v>5858</v>
      </c>
      <c r="Z1448" t="s">
        <v>6037</v>
      </c>
      <c r="AA1448" s="2">
        <v>25</v>
      </c>
      <c r="AB1448" t="s">
        <v>5863</v>
      </c>
      <c r="AC1448" t="s">
        <v>9974</v>
      </c>
      <c r="AD1448" s="32">
        <v>43279</v>
      </c>
      <c r="AI1448" t="s">
        <v>9939</v>
      </c>
      <c r="AJ1448" t="s">
        <v>9959</v>
      </c>
      <c r="AL1448" t="s">
        <v>14278</v>
      </c>
    </row>
    <row r="1449" spans="1:38">
      <c r="A1449" t="s">
        <v>9489</v>
      </c>
      <c r="B1449" t="s">
        <v>12661</v>
      </c>
      <c r="C1449" t="s">
        <v>9564</v>
      </c>
      <c r="D1449" t="s">
        <v>9565</v>
      </c>
      <c r="E1449" s="2">
        <v>100</v>
      </c>
      <c r="F1449" s="2">
        <v>100</v>
      </c>
      <c r="G1449" s="3">
        <v>43309</v>
      </c>
      <c r="H1449" s="4">
        <v>0.83333333333333004</v>
      </c>
      <c r="I1449" s="3">
        <v>43310</v>
      </c>
      <c r="J1449" s="4">
        <v>0</v>
      </c>
      <c r="K1449" s="2">
        <v>0</v>
      </c>
      <c r="L1449" t="s">
        <v>5856</v>
      </c>
      <c r="M1449" t="s">
        <v>9516</v>
      </c>
      <c r="N1449" s="3">
        <v>43312</v>
      </c>
      <c r="O1449" s="3">
        <v>43311</v>
      </c>
      <c r="P1449" t="s">
        <v>5904</v>
      </c>
      <c r="Q1449" t="s">
        <v>9626</v>
      </c>
      <c r="R1449" t="s">
        <v>6036</v>
      </c>
      <c r="S1449" s="3">
        <v>43312</v>
      </c>
      <c r="T1449" t="s">
        <v>9938</v>
      </c>
      <c r="U1449" t="s">
        <v>7004</v>
      </c>
      <c r="V1449" t="s">
        <v>9566</v>
      </c>
      <c r="W1449" t="s">
        <v>5857</v>
      </c>
      <c r="X1449" s="2">
        <v>25</v>
      </c>
      <c r="Y1449" t="s">
        <v>5858</v>
      </c>
      <c r="Z1449" t="s">
        <v>6037</v>
      </c>
      <c r="AA1449" s="2">
        <v>100</v>
      </c>
      <c r="AB1449" t="s">
        <v>5863</v>
      </c>
      <c r="AC1449" t="s">
        <v>9974</v>
      </c>
      <c r="AD1449" s="32">
        <v>43274</v>
      </c>
      <c r="AJ1449" t="s">
        <v>9957</v>
      </c>
      <c r="AL1449" t="s">
        <v>11456</v>
      </c>
    </row>
    <row r="1450" spans="1:38">
      <c r="A1450" t="s">
        <v>9489</v>
      </c>
      <c r="B1450" t="s">
        <v>13631</v>
      </c>
      <c r="C1450" t="s">
        <v>13632</v>
      </c>
      <c r="D1450" t="s">
        <v>13633</v>
      </c>
      <c r="E1450" s="2">
        <v>175</v>
      </c>
      <c r="F1450" s="2">
        <v>175</v>
      </c>
      <c r="G1450" s="3">
        <v>43311</v>
      </c>
      <c r="H1450" s="4">
        <v>0.70833333333333004</v>
      </c>
      <c r="I1450" s="3">
        <v>43312</v>
      </c>
      <c r="J1450" s="4">
        <v>0</v>
      </c>
      <c r="K1450" s="2">
        <v>0</v>
      </c>
      <c r="L1450" t="s">
        <v>5856</v>
      </c>
      <c r="M1450" t="s">
        <v>9512</v>
      </c>
      <c r="N1450" s="3">
        <v>43314</v>
      </c>
      <c r="O1450" s="3">
        <v>43313</v>
      </c>
      <c r="P1450" t="s">
        <v>5883</v>
      </c>
      <c r="Q1450" t="s">
        <v>13634</v>
      </c>
      <c r="R1450" t="s">
        <v>6036</v>
      </c>
      <c r="S1450" s="3">
        <v>43314</v>
      </c>
      <c r="T1450" t="s">
        <v>9938</v>
      </c>
      <c r="U1450" t="s">
        <v>7041</v>
      </c>
      <c r="V1450" t="s">
        <v>13635</v>
      </c>
      <c r="W1450" t="s">
        <v>5857</v>
      </c>
      <c r="X1450" s="2">
        <v>25</v>
      </c>
      <c r="Y1450" t="s">
        <v>5858</v>
      </c>
      <c r="Z1450" t="s">
        <v>6037</v>
      </c>
      <c r="AA1450" s="2">
        <v>125</v>
      </c>
      <c r="AB1450" t="s">
        <v>5863</v>
      </c>
      <c r="AC1450" t="s">
        <v>9978</v>
      </c>
      <c r="AD1450" s="32">
        <v>43280</v>
      </c>
      <c r="AJ1450" t="s">
        <v>9958</v>
      </c>
      <c r="AL1450" t="s">
        <v>14279</v>
      </c>
    </row>
    <row r="1451" spans="1:38">
      <c r="A1451" t="s">
        <v>9489</v>
      </c>
      <c r="B1451" t="s">
        <v>12662</v>
      </c>
      <c r="C1451" t="s">
        <v>9627</v>
      </c>
      <c r="D1451" t="s">
        <v>9628</v>
      </c>
      <c r="E1451" s="2">
        <v>35</v>
      </c>
      <c r="F1451" s="2">
        <v>35</v>
      </c>
      <c r="G1451" s="3">
        <v>43316</v>
      </c>
      <c r="H1451" s="4">
        <v>0.94166666666666998</v>
      </c>
      <c r="I1451" s="3">
        <v>43317</v>
      </c>
      <c r="J1451" s="4">
        <v>0</v>
      </c>
      <c r="K1451" s="2">
        <v>20</v>
      </c>
      <c r="L1451" t="s">
        <v>5856</v>
      </c>
      <c r="M1451" t="s">
        <v>9495</v>
      </c>
      <c r="N1451" s="3">
        <v>43319</v>
      </c>
      <c r="O1451" s="3">
        <v>43318</v>
      </c>
      <c r="P1451" t="s">
        <v>6591</v>
      </c>
      <c r="Q1451" t="s">
        <v>9629</v>
      </c>
      <c r="R1451" t="s">
        <v>6036</v>
      </c>
      <c r="S1451" s="3">
        <v>43319</v>
      </c>
      <c r="T1451" t="s">
        <v>9938</v>
      </c>
      <c r="U1451" t="s">
        <v>6052</v>
      </c>
      <c r="V1451" t="s">
        <v>9630</v>
      </c>
      <c r="W1451" t="s">
        <v>6038</v>
      </c>
      <c r="X1451" s="2">
        <v>25</v>
      </c>
      <c r="Y1451" t="s">
        <v>5858</v>
      </c>
      <c r="Z1451" t="s">
        <v>6037</v>
      </c>
      <c r="AA1451" s="2">
        <v>25</v>
      </c>
      <c r="AB1451" t="s">
        <v>5863</v>
      </c>
      <c r="AC1451" t="s">
        <v>9974</v>
      </c>
      <c r="AD1451" s="32">
        <v>43277</v>
      </c>
      <c r="AJ1451" t="s">
        <v>9958</v>
      </c>
      <c r="AL1451" t="s">
        <v>14280</v>
      </c>
    </row>
    <row r="1452" spans="1:38">
      <c r="A1452" t="s">
        <v>9489</v>
      </c>
      <c r="B1452" t="s">
        <v>12663</v>
      </c>
      <c r="C1452" t="s">
        <v>9631</v>
      </c>
      <c r="D1452" t="s">
        <v>9632</v>
      </c>
      <c r="E1452" s="2">
        <v>100</v>
      </c>
      <c r="F1452" s="2">
        <v>100</v>
      </c>
      <c r="G1452" s="3">
        <v>43318</v>
      </c>
      <c r="H1452" s="4">
        <v>0.83333333333333004</v>
      </c>
      <c r="I1452" s="3">
        <v>43319</v>
      </c>
      <c r="J1452" s="4">
        <v>0</v>
      </c>
      <c r="K1452" s="2">
        <v>0</v>
      </c>
      <c r="L1452" t="s">
        <v>5856</v>
      </c>
      <c r="M1452" t="s">
        <v>9516</v>
      </c>
      <c r="N1452" s="3">
        <v>43321</v>
      </c>
      <c r="O1452" s="3">
        <v>43320</v>
      </c>
      <c r="P1452" t="s">
        <v>9633</v>
      </c>
      <c r="Q1452" t="s">
        <v>9634</v>
      </c>
      <c r="R1452" t="s">
        <v>6036</v>
      </c>
      <c r="S1452" s="3">
        <v>43321</v>
      </c>
      <c r="T1452" t="s">
        <v>9938</v>
      </c>
      <c r="U1452" t="s">
        <v>6705</v>
      </c>
      <c r="V1452" t="s">
        <v>9635</v>
      </c>
      <c r="W1452" t="s">
        <v>5857</v>
      </c>
      <c r="X1452" s="2">
        <v>25</v>
      </c>
      <c r="Y1452" t="s">
        <v>5858</v>
      </c>
      <c r="Z1452" t="s">
        <v>6037</v>
      </c>
      <c r="AA1452" s="2">
        <v>100</v>
      </c>
      <c r="AB1452" t="s">
        <v>5863</v>
      </c>
      <c r="AC1452" t="s">
        <v>9976</v>
      </c>
      <c r="AD1452" s="32">
        <v>43271</v>
      </c>
      <c r="AI1452" t="s">
        <v>9956</v>
      </c>
      <c r="AJ1452" t="s">
        <v>9958</v>
      </c>
      <c r="AL1452" t="s">
        <v>14281</v>
      </c>
    </row>
    <row r="1453" spans="1:38">
      <c r="A1453" t="s">
        <v>9489</v>
      </c>
      <c r="B1453" t="s">
        <v>12664</v>
      </c>
      <c r="C1453" t="s">
        <v>8821</v>
      </c>
      <c r="D1453" t="s">
        <v>8822</v>
      </c>
      <c r="E1453" s="2">
        <v>25</v>
      </c>
      <c r="F1453" s="2">
        <v>25</v>
      </c>
      <c r="G1453" s="3">
        <v>43352</v>
      </c>
      <c r="H1453" s="4">
        <v>0.95833333333333004</v>
      </c>
      <c r="I1453" s="3">
        <v>43353</v>
      </c>
      <c r="J1453" s="4">
        <v>0</v>
      </c>
      <c r="K1453" s="2">
        <v>20</v>
      </c>
      <c r="L1453" t="s">
        <v>5856</v>
      </c>
      <c r="M1453" t="s">
        <v>6994</v>
      </c>
      <c r="N1453" s="3">
        <v>43355</v>
      </c>
      <c r="O1453" s="3">
        <v>43354</v>
      </c>
      <c r="P1453" t="s">
        <v>7206</v>
      </c>
      <c r="Q1453" t="s">
        <v>9636</v>
      </c>
      <c r="R1453" t="s">
        <v>6036</v>
      </c>
      <c r="S1453" s="3">
        <v>43355</v>
      </c>
      <c r="T1453" t="s">
        <v>9938</v>
      </c>
      <c r="U1453" t="s">
        <v>8825</v>
      </c>
      <c r="V1453" t="s">
        <v>8458</v>
      </c>
      <c r="W1453" t="s">
        <v>5857</v>
      </c>
      <c r="X1453" s="2">
        <v>25</v>
      </c>
      <c r="Y1453" t="s">
        <v>5858</v>
      </c>
      <c r="Z1453" t="s">
        <v>6037</v>
      </c>
      <c r="AA1453" s="2">
        <v>25</v>
      </c>
      <c r="AB1453" t="s">
        <v>5863</v>
      </c>
      <c r="AC1453" t="s">
        <v>9974</v>
      </c>
      <c r="AD1453" s="32"/>
      <c r="AJ1453" t="s">
        <v>9957</v>
      </c>
      <c r="AL1453" t="s">
        <v>11459</v>
      </c>
    </row>
    <row r="1454" spans="1:38">
      <c r="A1454" t="s">
        <v>9637</v>
      </c>
      <c r="B1454" t="s">
        <v>12665</v>
      </c>
      <c r="C1454" t="s">
        <v>6099</v>
      </c>
      <c r="D1454" t="s">
        <v>6019</v>
      </c>
      <c r="E1454" s="2">
        <v>125</v>
      </c>
      <c r="F1454" s="2">
        <v>125</v>
      </c>
      <c r="G1454" s="3">
        <v>43279</v>
      </c>
      <c r="H1454" s="4">
        <v>0.41145833333332998</v>
      </c>
      <c r="I1454" s="3">
        <v>43279</v>
      </c>
      <c r="J1454" s="4">
        <v>0.54166666666666996</v>
      </c>
      <c r="K1454" s="2">
        <v>4</v>
      </c>
      <c r="L1454" t="s">
        <v>5856</v>
      </c>
      <c r="M1454" t="s">
        <v>8853</v>
      </c>
      <c r="N1454" s="3">
        <v>43278</v>
      </c>
      <c r="O1454" s="3">
        <v>43281</v>
      </c>
      <c r="P1454" t="s">
        <v>5971</v>
      </c>
      <c r="Q1454" t="s">
        <v>9640</v>
      </c>
      <c r="R1454" t="s">
        <v>6036</v>
      </c>
      <c r="S1454" s="3">
        <v>43278</v>
      </c>
      <c r="T1454" t="s">
        <v>9938</v>
      </c>
      <c r="U1454" t="s">
        <v>5935</v>
      </c>
      <c r="V1454" t="s">
        <v>6041</v>
      </c>
      <c r="W1454" t="s">
        <v>5857</v>
      </c>
      <c r="X1454" s="2">
        <v>40</v>
      </c>
      <c r="Y1454" t="s">
        <v>5858</v>
      </c>
      <c r="Z1454" t="s">
        <v>6037</v>
      </c>
      <c r="AA1454" s="2">
        <v>125</v>
      </c>
      <c r="AB1454" t="s">
        <v>5863</v>
      </c>
      <c r="AC1454" t="s">
        <v>9974</v>
      </c>
      <c r="AD1454" s="32">
        <v>43267</v>
      </c>
      <c r="AJ1454" t="s">
        <v>9959</v>
      </c>
      <c r="AL1454" t="s">
        <v>11460</v>
      </c>
    </row>
    <row r="1455" spans="1:38">
      <c r="A1455" t="s">
        <v>9637</v>
      </c>
      <c r="B1455" t="s">
        <v>12668</v>
      </c>
      <c r="C1455" t="s">
        <v>9651</v>
      </c>
      <c r="D1455" t="s">
        <v>9652</v>
      </c>
      <c r="E1455" s="2">
        <v>20</v>
      </c>
      <c r="F1455" s="2">
        <v>70</v>
      </c>
      <c r="G1455" s="3">
        <v>43282</v>
      </c>
      <c r="H1455" s="4">
        <v>0.58854166666666996</v>
      </c>
      <c r="I1455" s="3">
        <v>43282</v>
      </c>
      <c r="J1455" s="4">
        <v>0.66145833333333004</v>
      </c>
      <c r="K1455" s="2">
        <v>20</v>
      </c>
      <c r="L1455" t="s">
        <v>5856</v>
      </c>
      <c r="M1455" t="s">
        <v>6923</v>
      </c>
      <c r="N1455" s="3">
        <v>43285</v>
      </c>
      <c r="O1455" s="3">
        <v>43284</v>
      </c>
      <c r="P1455" t="s">
        <v>6924</v>
      </c>
      <c r="Q1455" t="s">
        <v>6038</v>
      </c>
      <c r="R1455" t="s">
        <v>6039</v>
      </c>
      <c r="S1455" s="3"/>
      <c r="T1455" t="s">
        <v>9938</v>
      </c>
      <c r="U1455" t="s">
        <v>6582</v>
      </c>
      <c r="V1455" t="s">
        <v>9653</v>
      </c>
      <c r="W1455" t="s">
        <v>5857</v>
      </c>
      <c r="X1455" s="2">
        <v>40</v>
      </c>
      <c r="Y1455" t="s">
        <v>5858</v>
      </c>
      <c r="Z1455" t="s">
        <v>6037</v>
      </c>
      <c r="AA1455" s="2">
        <v>0</v>
      </c>
      <c r="AB1455" t="s">
        <v>5859</v>
      </c>
      <c r="AC1455" t="s">
        <v>9976</v>
      </c>
      <c r="AD1455" s="32">
        <v>43255</v>
      </c>
      <c r="AJ1455" t="s">
        <v>9958</v>
      </c>
      <c r="AL1455" t="s">
        <v>11463</v>
      </c>
    </row>
    <row r="1456" spans="1:38">
      <c r="A1456" t="s">
        <v>9637</v>
      </c>
      <c r="B1456" t="s">
        <v>11863</v>
      </c>
      <c r="C1456" t="s">
        <v>7618</v>
      </c>
      <c r="D1456" t="s">
        <v>7619</v>
      </c>
      <c r="E1456" s="2">
        <v>350</v>
      </c>
      <c r="F1456" s="2">
        <v>350</v>
      </c>
      <c r="G1456" s="3">
        <v>43283</v>
      </c>
      <c r="H1456" s="4">
        <v>2.0833333333330002E-2</v>
      </c>
      <c r="I1456" s="3">
        <v>43283</v>
      </c>
      <c r="J1456" s="4">
        <v>0.38541666666667002</v>
      </c>
      <c r="K1456" s="2">
        <v>20</v>
      </c>
      <c r="L1456" t="s">
        <v>5856</v>
      </c>
      <c r="M1456" t="s">
        <v>9641</v>
      </c>
      <c r="N1456" s="3">
        <v>43297</v>
      </c>
      <c r="O1456" s="3">
        <v>43285</v>
      </c>
      <c r="P1456" t="s">
        <v>5960</v>
      </c>
      <c r="Q1456" t="s">
        <v>7620</v>
      </c>
      <c r="R1456" t="s">
        <v>6036</v>
      </c>
      <c r="S1456" s="3">
        <v>43297</v>
      </c>
      <c r="T1456" t="s">
        <v>9938</v>
      </c>
      <c r="U1456" t="s">
        <v>6600</v>
      </c>
      <c r="V1456" t="s">
        <v>7621</v>
      </c>
      <c r="W1456" t="s">
        <v>5857</v>
      </c>
      <c r="X1456" s="2">
        <v>40</v>
      </c>
      <c r="Y1456" t="s">
        <v>5858</v>
      </c>
      <c r="Z1456" t="s">
        <v>6037</v>
      </c>
      <c r="AA1456" s="2">
        <v>250</v>
      </c>
      <c r="AB1456" t="s">
        <v>5859</v>
      </c>
      <c r="AC1456" t="s">
        <v>9976</v>
      </c>
      <c r="AD1456" s="32">
        <v>43276</v>
      </c>
      <c r="AJ1456" t="s">
        <v>9958</v>
      </c>
      <c r="AL1456" t="s">
        <v>14282</v>
      </c>
    </row>
    <row r="1457" spans="1:38">
      <c r="A1457" t="s">
        <v>9637</v>
      </c>
      <c r="B1457" t="s">
        <v>12686</v>
      </c>
      <c r="C1457" t="s">
        <v>6074</v>
      </c>
      <c r="D1457" t="s">
        <v>5955</v>
      </c>
      <c r="E1457" s="2">
        <v>105</v>
      </c>
      <c r="F1457" s="2">
        <v>105</v>
      </c>
      <c r="G1457" s="3">
        <v>43283</v>
      </c>
      <c r="H1457" s="4">
        <v>0.40625</v>
      </c>
      <c r="I1457" s="3">
        <v>43283</v>
      </c>
      <c r="J1457" s="4">
        <v>0.515625</v>
      </c>
      <c r="K1457" s="2">
        <v>20</v>
      </c>
      <c r="L1457" t="s">
        <v>5856</v>
      </c>
      <c r="M1457" t="s">
        <v>7069</v>
      </c>
      <c r="N1457" s="3">
        <v>43297</v>
      </c>
      <c r="O1457" s="3">
        <v>43285</v>
      </c>
      <c r="P1457" t="s">
        <v>5862</v>
      </c>
      <c r="Q1457" t="s">
        <v>9696</v>
      </c>
      <c r="R1457" t="s">
        <v>6036</v>
      </c>
      <c r="S1457" s="3">
        <v>43297</v>
      </c>
      <c r="T1457" t="s">
        <v>9938</v>
      </c>
      <c r="U1457" t="s">
        <v>5956</v>
      </c>
      <c r="V1457" t="s">
        <v>5957</v>
      </c>
      <c r="W1457" t="s">
        <v>5857</v>
      </c>
      <c r="X1457" s="2">
        <v>40</v>
      </c>
      <c r="Y1457" t="s">
        <v>5858</v>
      </c>
      <c r="Z1457" t="s">
        <v>6037</v>
      </c>
      <c r="AA1457" s="2">
        <v>75</v>
      </c>
      <c r="AB1457" t="s">
        <v>5859</v>
      </c>
      <c r="AC1457" t="s">
        <v>9976</v>
      </c>
      <c r="AD1457" s="32">
        <v>43276</v>
      </c>
      <c r="AJ1457" t="s">
        <v>9958</v>
      </c>
      <c r="AL1457" t="s">
        <v>11473</v>
      </c>
    </row>
    <row r="1458" spans="1:38">
      <c r="A1458" t="s">
        <v>9637</v>
      </c>
      <c r="B1458" t="s">
        <v>12666</v>
      </c>
      <c r="C1458" t="s">
        <v>9642</v>
      </c>
      <c r="D1458" t="s">
        <v>9643</v>
      </c>
      <c r="E1458" s="2">
        <v>200</v>
      </c>
      <c r="F1458" s="2">
        <v>200</v>
      </c>
      <c r="G1458" s="3">
        <v>43284</v>
      </c>
      <c r="H1458" s="4">
        <v>4.1666666666670002E-2</v>
      </c>
      <c r="I1458" s="3">
        <v>43284</v>
      </c>
      <c r="J1458" s="4">
        <v>0.25</v>
      </c>
      <c r="K1458" s="2">
        <v>0</v>
      </c>
      <c r="L1458" t="s">
        <v>5856</v>
      </c>
      <c r="M1458" t="s">
        <v>6931</v>
      </c>
      <c r="N1458" s="3"/>
      <c r="O1458" s="3">
        <v>43286</v>
      </c>
      <c r="P1458" t="s">
        <v>5951</v>
      </c>
      <c r="Q1458" t="s">
        <v>9644</v>
      </c>
      <c r="R1458" t="s">
        <v>6036</v>
      </c>
      <c r="S1458" s="3">
        <v>43300</v>
      </c>
      <c r="T1458" t="s">
        <v>9938</v>
      </c>
      <c r="U1458" t="s">
        <v>9645</v>
      </c>
      <c r="V1458" t="s">
        <v>9646</v>
      </c>
      <c r="W1458" t="s">
        <v>6038</v>
      </c>
      <c r="X1458" s="2">
        <v>40</v>
      </c>
      <c r="Y1458" t="s">
        <v>5858</v>
      </c>
      <c r="Z1458" t="s">
        <v>6037</v>
      </c>
      <c r="AA1458" s="2">
        <v>200</v>
      </c>
      <c r="AB1458" t="s">
        <v>5863</v>
      </c>
      <c r="AC1458" t="s">
        <v>9976</v>
      </c>
      <c r="AD1458" s="32">
        <v>43276</v>
      </c>
      <c r="AJ1458" t="s">
        <v>9958</v>
      </c>
      <c r="AL1458" t="s">
        <v>11461</v>
      </c>
    </row>
    <row r="1459" spans="1:38">
      <c r="A1459" t="s">
        <v>9637</v>
      </c>
      <c r="B1459" t="s">
        <v>12717</v>
      </c>
      <c r="C1459" t="s">
        <v>9791</v>
      </c>
      <c r="D1459" t="s">
        <v>9792</v>
      </c>
      <c r="E1459" s="2">
        <v>210</v>
      </c>
      <c r="F1459" s="2">
        <v>210</v>
      </c>
      <c r="G1459" s="3">
        <v>43284</v>
      </c>
      <c r="H1459" s="4">
        <v>0.35415509259258998</v>
      </c>
      <c r="I1459" s="3">
        <v>43284</v>
      </c>
      <c r="J1459" s="4">
        <v>0.57290509259259004</v>
      </c>
      <c r="K1459" s="2">
        <v>0</v>
      </c>
      <c r="L1459" t="s">
        <v>5856</v>
      </c>
      <c r="M1459" t="s">
        <v>9288</v>
      </c>
      <c r="N1459" s="3">
        <v>43297</v>
      </c>
      <c r="O1459" s="3">
        <v>43286</v>
      </c>
      <c r="P1459" t="s">
        <v>5862</v>
      </c>
      <c r="Q1459" t="s">
        <v>9794</v>
      </c>
      <c r="R1459" t="s">
        <v>6036</v>
      </c>
      <c r="S1459" s="3">
        <v>43297</v>
      </c>
      <c r="T1459" t="s">
        <v>9938</v>
      </c>
      <c r="U1459" t="s">
        <v>6600</v>
      </c>
      <c r="V1459" t="s">
        <v>9795</v>
      </c>
      <c r="W1459" t="s">
        <v>5857</v>
      </c>
      <c r="X1459" s="2">
        <v>40</v>
      </c>
      <c r="Y1459" t="s">
        <v>5858</v>
      </c>
      <c r="Z1459" t="s">
        <v>6037</v>
      </c>
      <c r="AA1459" s="2">
        <v>150</v>
      </c>
      <c r="AB1459" t="s">
        <v>5863</v>
      </c>
      <c r="AC1459" t="s">
        <v>9976</v>
      </c>
      <c r="AD1459" s="32">
        <v>43266</v>
      </c>
      <c r="AJ1459" t="s">
        <v>9958</v>
      </c>
      <c r="AL1459" t="s">
        <v>14283</v>
      </c>
    </row>
    <row r="1460" spans="1:38">
      <c r="A1460" t="s">
        <v>9637</v>
      </c>
      <c r="B1460" t="s">
        <v>12667</v>
      </c>
      <c r="C1460" t="s">
        <v>9647</v>
      </c>
      <c r="D1460" t="s">
        <v>9648</v>
      </c>
      <c r="E1460" s="2">
        <v>110</v>
      </c>
      <c r="F1460" s="2">
        <v>385</v>
      </c>
      <c r="G1460" s="3">
        <v>43284</v>
      </c>
      <c r="H1460" s="4">
        <v>0.45833333333332998</v>
      </c>
      <c r="I1460" s="3">
        <v>43284</v>
      </c>
      <c r="J1460" s="4">
        <v>0.859375</v>
      </c>
      <c r="K1460" s="2">
        <v>20</v>
      </c>
      <c r="L1460" t="s">
        <v>5856</v>
      </c>
      <c r="M1460" t="s">
        <v>9649</v>
      </c>
      <c r="N1460" s="3">
        <v>43286</v>
      </c>
      <c r="O1460" s="3">
        <v>43286</v>
      </c>
      <c r="P1460" t="s">
        <v>6026</v>
      </c>
      <c r="Q1460" t="s">
        <v>6038</v>
      </c>
      <c r="R1460" t="s">
        <v>6039</v>
      </c>
      <c r="S1460" s="3"/>
      <c r="T1460" t="s">
        <v>9938</v>
      </c>
      <c r="U1460" t="s">
        <v>5917</v>
      </c>
      <c r="V1460" t="s">
        <v>9650</v>
      </c>
      <c r="W1460" t="s">
        <v>5857</v>
      </c>
      <c r="X1460" s="2">
        <v>40</v>
      </c>
      <c r="Y1460" t="s">
        <v>5858</v>
      </c>
      <c r="Z1460" t="s">
        <v>6037</v>
      </c>
      <c r="AA1460" s="2">
        <v>0</v>
      </c>
      <c r="AB1460" t="s">
        <v>5859</v>
      </c>
      <c r="AC1460" t="s">
        <v>9976</v>
      </c>
      <c r="AD1460" s="32">
        <v>43264</v>
      </c>
      <c r="AJ1460" t="s">
        <v>9958</v>
      </c>
      <c r="AL1460" t="s">
        <v>11462</v>
      </c>
    </row>
    <row r="1461" spans="1:38">
      <c r="A1461" t="s">
        <v>9637</v>
      </c>
      <c r="B1461" t="s">
        <v>13636</v>
      </c>
      <c r="C1461" t="s">
        <v>6873</v>
      </c>
      <c r="D1461" t="s">
        <v>6874</v>
      </c>
      <c r="E1461" s="2">
        <v>100</v>
      </c>
      <c r="F1461" s="2">
        <v>100</v>
      </c>
      <c r="G1461" s="3">
        <v>43284</v>
      </c>
      <c r="H1461" s="4">
        <v>0.97083333333333</v>
      </c>
      <c r="I1461" s="3">
        <v>43285</v>
      </c>
      <c r="J1461" s="4">
        <v>7.4999999999999997E-2</v>
      </c>
      <c r="K1461" s="2">
        <v>0</v>
      </c>
      <c r="L1461" t="s">
        <v>5856</v>
      </c>
      <c r="M1461" t="s">
        <v>6984</v>
      </c>
      <c r="N1461" s="3">
        <v>43294</v>
      </c>
      <c r="O1461" s="3">
        <v>43287</v>
      </c>
      <c r="P1461" t="s">
        <v>5971</v>
      </c>
      <c r="Q1461" t="s">
        <v>9605</v>
      </c>
      <c r="R1461" t="s">
        <v>6036</v>
      </c>
      <c r="S1461" s="3">
        <v>43294</v>
      </c>
      <c r="T1461" t="s">
        <v>9938</v>
      </c>
      <c r="U1461" t="s">
        <v>6912</v>
      </c>
      <c r="V1461" t="s">
        <v>9922</v>
      </c>
      <c r="W1461" t="s">
        <v>5857</v>
      </c>
      <c r="X1461" s="2">
        <v>40</v>
      </c>
      <c r="Y1461" t="s">
        <v>5858</v>
      </c>
      <c r="Z1461" t="s">
        <v>6037</v>
      </c>
      <c r="AA1461" s="2">
        <v>100</v>
      </c>
      <c r="AB1461" t="s">
        <v>5863</v>
      </c>
      <c r="AC1461" t="s">
        <v>9976</v>
      </c>
      <c r="AD1461" s="32">
        <v>43280</v>
      </c>
      <c r="AJ1461" t="s">
        <v>9959</v>
      </c>
      <c r="AL1461" t="s">
        <v>14284</v>
      </c>
    </row>
    <row r="1462" spans="1:38">
      <c r="A1462" t="s">
        <v>9637</v>
      </c>
      <c r="B1462" t="s">
        <v>11800</v>
      </c>
      <c r="C1462" t="s">
        <v>7395</v>
      </c>
      <c r="D1462" t="s">
        <v>7396</v>
      </c>
      <c r="E1462" s="2">
        <v>490</v>
      </c>
      <c r="F1462" s="2">
        <v>490</v>
      </c>
      <c r="G1462" s="3">
        <v>43286</v>
      </c>
      <c r="H1462" s="4">
        <v>0</v>
      </c>
      <c r="I1462" s="3">
        <v>43286</v>
      </c>
      <c r="J1462" s="4">
        <v>0.51041666666666996</v>
      </c>
      <c r="K1462" s="2">
        <v>0</v>
      </c>
      <c r="L1462" t="s">
        <v>5856</v>
      </c>
      <c r="M1462" t="s">
        <v>9757</v>
      </c>
      <c r="N1462" s="3">
        <v>43297</v>
      </c>
      <c r="O1462" s="3">
        <v>43288</v>
      </c>
      <c r="P1462" t="s">
        <v>5898</v>
      </c>
      <c r="Q1462" t="s">
        <v>7397</v>
      </c>
      <c r="R1462" t="s">
        <v>6042</v>
      </c>
      <c r="S1462" s="3">
        <v>43297</v>
      </c>
      <c r="T1462" t="s">
        <v>9938</v>
      </c>
      <c r="U1462" t="s">
        <v>7398</v>
      </c>
      <c r="V1462" t="s">
        <v>7399</v>
      </c>
      <c r="W1462" t="s">
        <v>5857</v>
      </c>
      <c r="X1462" s="2">
        <v>40</v>
      </c>
      <c r="Y1462" t="s">
        <v>5858</v>
      </c>
      <c r="Z1462" t="s">
        <v>6037</v>
      </c>
      <c r="AA1462" s="2">
        <v>350</v>
      </c>
      <c r="AB1462" t="s">
        <v>5863</v>
      </c>
      <c r="AC1462" t="s">
        <v>9976</v>
      </c>
      <c r="AD1462" s="32">
        <v>43276</v>
      </c>
      <c r="AJ1462" t="s">
        <v>9960</v>
      </c>
      <c r="AL1462" t="s">
        <v>14285</v>
      </c>
    </row>
    <row r="1463" spans="1:38">
      <c r="A1463" t="s">
        <v>9637</v>
      </c>
      <c r="B1463" t="s">
        <v>12669</v>
      </c>
      <c r="C1463" t="s">
        <v>9105</v>
      </c>
      <c r="D1463" t="s">
        <v>9106</v>
      </c>
      <c r="E1463" s="2">
        <v>105</v>
      </c>
      <c r="F1463" s="2">
        <v>105</v>
      </c>
      <c r="G1463" s="3">
        <v>43286</v>
      </c>
      <c r="H1463" s="4">
        <v>0.75379629629629996</v>
      </c>
      <c r="I1463" s="3">
        <v>43286</v>
      </c>
      <c r="J1463" s="4">
        <v>0.86317129629629996</v>
      </c>
      <c r="K1463" s="2">
        <v>4</v>
      </c>
      <c r="L1463" t="s">
        <v>5856</v>
      </c>
      <c r="M1463" t="s">
        <v>7069</v>
      </c>
      <c r="N1463" s="3">
        <v>43280</v>
      </c>
      <c r="O1463" s="3">
        <v>43288</v>
      </c>
      <c r="P1463" t="s">
        <v>6026</v>
      </c>
      <c r="Q1463" t="s">
        <v>6038</v>
      </c>
      <c r="R1463" t="s">
        <v>6039</v>
      </c>
      <c r="S1463" s="3"/>
      <c r="T1463" t="s">
        <v>9938</v>
      </c>
      <c r="U1463" t="s">
        <v>6582</v>
      </c>
      <c r="V1463" t="s">
        <v>9108</v>
      </c>
      <c r="W1463" t="s">
        <v>5857</v>
      </c>
      <c r="X1463" s="2">
        <v>40</v>
      </c>
      <c r="Y1463" t="s">
        <v>5858</v>
      </c>
      <c r="Z1463" t="s">
        <v>6037</v>
      </c>
      <c r="AA1463" s="2">
        <v>75</v>
      </c>
      <c r="AB1463" t="s">
        <v>5863</v>
      </c>
      <c r="AC1463" t="s">
        <v>9976</v>
      </c>
      <c r="AD1463" s="32">
        <v>43275</v>
      </c>
      <c r="AJ1463" t="s">
        <v>9958</v>
      </c>
      <c r="AL1463" t="s">
        <v>11464</v>
      </c>
    </row>
    <row r="1464" spans="1:38">
      <c r="A1464" t="s">
        <v>9637</v>
      </c>
      <c r="B1464" t="s">
        <v>12676</v>
      </c>
      <c r="C1464" t="s">
        <v>9677</v>
      </c>
      <c r="D1464" t="s">
        <v>9678</v>
      </c>
      <c r="E1464" s="2">
        <v>40</v>
      </c>
      <c r="F1464" s="2">
        <v>140</v>
      </c>
      <c r="G1464" s="3">
        <v>43287</v>
      </c>
      <c r="H1464" s="4">
        <v>2.0833333333330002E-2</v>
      </c>
      <c r="I1464" s="3">
        <v>43287</v>
      </c>
      <c r="J1464" s="4">
        <v>0.16666666666666999</v>
      </c>
      <c r="K1464" s="2">
        <v>0</v>
      </c>
      <c r="L1464" t="s">
        <v>5856</v>
      </c>
      <c r="M1464" t="s">
        <v>9639</v>
      </c>
      <c r="N1464" s="3">
        <v>43297</v>
      </c>
      <c r="O1464" s="3">
        <v>43294</v>
      </c>
      <c r="P1464" t="s">
        <v>5913</v>
      </c>
      <c r="Q1464" t="s">
        <v>6038</v>
      </c>
      <c r="R1464" t="s">
        <v>6039</v>
      </c>
      <c r="S1464" s="3"/>
      <c r="T1464" t="s">
        <v>9938</v>
      </c>
      <c r="U1464" t="s">
        <v>6093</v>
      </c>
      <c r="V1464" t="s">
        <v>9679</v>
      </c>
      <c r="W1464" t="s">
        <v>5857</v>
      </c>
      <c r="X1464" s="2">
        <v>40</v>
      </c>
      <c r="Y1464" t="s">
        <v>5858</v>
      </c>
      <c r="Z1464" t="s">
        <v>6037</v>
      </c>
      <c r="AA1464" s="2">
        <v>0</v>
      </c>
      <c r="AB1464" t="s">
        <v>5859</v>
      </c>
      <c r="AC1464" t="s">
        <v>9974</v>
      </c>
      <c r="AD1464" s="32">
        <v>43276</v>
      </c>
      <c r="AJ1464" t="s">
        <v>9959</v>
      </c>
      <c r="AL1464" t="s">
        <v>14286</v>
      </c>
    </row>
    <row r="1465" spans="1:38">
      <c r="A1465" t="s">
        <v>9637</v>
      </c>
      <c r="B1465" t="s">
        <v>12685</v>
      </c>
      <c r="C1465" t="s">
        <v>9674</v>
      </c>
      <c r="D1465" t="s">
        <v>9675</v>
      </c>
      <c r="E1465" s="2">
        <v>60</v>
      </c>
      <c r="F1465" s="2">
        <v>210</v>
      </c>
      <c r="G1465" s="3">
        <v>43287</v>
      </c>
      <c r="H1465" s="4">
        <v>0.18229166666666999</v>
      </c>
      <c r="I1465" s="3">
        <v>43287</v>
      </c>
      <c r="J1465" s="4">
        <v>0.40104166666667002</v>
      </c>
      <c r="K1465" s="2">
        <v>0</v>
      </c>
      <c r="L1465" t="s">
        <v>5856</v>
      </c>
      <c r="M1465" t="s">
        <v>9288</v>
      </c>
      <c r="N1465" s="3">
        <v>43297</v>
      </c>
      <c r="O1465" s="3">
        <v>43289</v>
      </c>
      <c r="P1465" t="s">
        <v>5960</v>
      </c>
      <c r="Q1465" t="s">
        <v>6038</v>
      </c>
      <c r="R1465" t="s">
        <v>6039</v>
      </c>
      <c r="S1465" s="3"/>
      <c r="T1465" t="s">
        <v>9938</v>
      </c>
      <c r="U1465" t="s">
        <v>5917</v>
      </c>
      <c r="V1465" t="s">
        <v>9676</v>
      </c>
      <c r="W1465" t="s">
        <v>5857</v>
      </c>
      <c r="X1465" s="2">
        <v>40</v>
      </c>
      <c r="Y1465" t="s">
        <v>5858</v>
      </c>
      <c r="Z1465" t="s">
        <v>6037</v>
      </c>
      <c r="AA1465" s="2">
        <v>0</v>
      </c>
      <c r="AB1465" t="s">
        <v>5859</v>
      </c>
      <c r="AC1465" t="s">
        <v>9976</v>
      </c>
      <c r="AD1465" s="32">
        <v>43276</v>
      </c>
      <c r="AJ1465" t="s">
        <v>9958</v>
      </c>
      <c r="AL1465" t="s">
        <v>11472</v>
      </c>
    </row>
    <row r="1466" spans="1:38">
      <c r="A1466" t="s">
        <v>9637</v>
      </c>
      <c r="B1466" t="s">
        <v>12674</v>
      </c>
      <c r="C1466" t="s">
        <v>9671</v>
      </c>
      <c r="D1466" t="s">
        <v>9672</v>
      </c>
      <c r="E1466" s="2">
        <v>20</v>
      </c>
      <c r="F1466" s="2">
        <v>70</v>
      </c>
      <c r="G1466" s="3">
        <v>43287</v>
      </c>
      <c r="H1466" s="4">
        <v>0.1875</v>
      </c>
      <c r="I1466" s="3">
        <v>43287</v>
      </c>
      <c r="J1466" s="4">
        <v>0.26041666666667002</v>
      </c>
      <c r="K1466" s="2">
        <v>20</v>
      </c>
      <c r="L1466" t="s">
        <v>5856</v>
      </c>
      <c r="M1466" t="s">
        <v>6923</v>
      </c>
      <c r="N1466" s="3">
        <v>43291</v>
      </c>
      <c r="O1466" s="3">
        <v>43289</v>
      </c>
      <c r="P1466" t="s">
        <v>6026</v>
      </c>
      <c r="Q1466" t="s">
        <v>6038</v>
      </c>
      <c r="R1466" t="s">
        <v>6039</v>
      </c>
      <c r="S1466" s="3"/>
      <c r="T1466" t="s">
        <v>9938</v>
      </c>
      <c r="U1466" t="s">
        <v>6582</v>
      </c>
      <c r="V1466" t="s">
        <v>9673</v>
      </c>
      <c r="W1466" t="s">
        <v>5857</v>
      </c>
      <c r="X1466" s="2">
        <v>40</v>
      </c>
      <c r="Y1466" t="s">
        <v>5858</v>
      </c>
      <c r="Z1466" t="s">
        <v>6037</v>
      </c>
      <c r="AA1466" s="2">
        <v>0</v>
      </c>
      <c r="AB1466" t="s">
        <v>5859</v>
      </c>
      <c r="AC1466" t="s">
        <v>9976</v>
      </c>
      <c r="AD1466" s="32">
        <v>43270</v>
      </c>
      <c r="AJ1466" t="s">
        <v>9958</v>
      </c>
      <c r="AL1466" t="s">
        <v>14287</v>
      </c>
    </row>
    <row r="1467" spans="1:38">
      <c r="A1467" t="s">
        <v>9637</v>
      </c>
      <c r="B1467" t="s">
        <v>12675</v>
      </c>
      <c r="C1467" t="s">
        <v>9674</v>
      </c>
      <c r="D1467" t="s">
        <v>9675</v>
      </c>
      <c r="E1467" s="2">
        <v>40</v>
      </c>
      <c r="F1467" s="2">
        <v>140</v>
      </c>
      <c r="G1467" s="3">
        <v>43287</v>
      </c>
      <c r="H1467" s="4">
        <v>0.58854166666666996</v>
      </c>
      <c r="I1467" s="3">
        <v>43287</v>
      </c>
      <c r="J1467" s="4">
        <v>0.734375</v>
      </c>
      <c r="K1467" s="2">
        <v>0</v>
      </c>
      <c r="L1467" t="s">
        <v>5856</v>
      </c>
      <c r="M1467" t="s">
        <v>9639</v>
      </c>
      <c r="N1467" s="3">
        <v>43291</v>
      </c>
      <c r="O1467" s="3">
        <v>43289</v>
      </c>
      <c r="P1467" t="s">
        <v>5960</v>
      </c>
      <c r="Q1467" t="s">
        <v>6038</v>
      </c>
      <c r="R1467" t="s">
        <v>6039</v>
      </c>
      <c r="S1467" s="3"/>
      <c r="T1467" t="s">
        <v>9938</v>
      </c>
      <c r="U1467" t="s">
        <v>5917</v>
      </c>
      <c r="V1467" t="s">
        <v>9676</v>
      </c>
      <c r="W1467" t="s">
        <v>5857</v>
      </c>
      <c r="X1467" s="2">
        <v>40</v>
      </c>
      <c r="Y1467" t="s">
        <v>5858</v>
      </c>
      <c r="Z1467" t="s">
        <v>6037</v>
      </c>
      <c r="AA1467" s="2">
        <v>0</v>
      </c>
      <c r="AB1467" t="s">
        <v>5859</v>
      </c>
      <c r="AC1467" t="s">
        <v>9976</v>
      </c>
      <c r="AD1467" s="32">
        <v>43270</v>
      </c>
      <c r="AJ1467" t="s">
        <v>9958</v>
      </c>
      <c r="AL1467" t="s">
        <v>14288</v>
      </c>
    </row>
    <row r="1468" spans="1:38">
      <c r="A1468" t="s">
        <v>9637</v>
      </c>
      <c r="B1468" t="s">
        <v>12670</v>
      </c>
      <c r="C1468" t="s">
        <v>9654</v>
      </c>
      <c r="D1468" t="s">
        <v>9655</v>
      </c>
      <c r="E1468" s="2">
        <v>10</v>
      </c>
      <c r="F1468" s="2">
        <v>35</v>
      </c>
      <c r="G1468" s="3">
        <v>43287</v>
      </c>
      <c r="H1468" s="4">
        <v>0.84895833333333004</v>
      </c>
      <c r="I1468" s="3">
        <v>43287</v>
      </c>
      <c r="J1468" s="4">
        <v>0.88541666666666996</v>
      </c>
      <c r="K1468" s="2">
        <v>25</v>
      </c>
      <c r="L1468" t="s">
        <v>5856</v>
      </c>
      <c r="M1468" t="s">
        <v>9638</v>
      </c>
      <c r="N1468" s="3">
        <v>43290</v>
      </c>
      <c r="O1468" s="3">
        <v>43289</v>
      </c>
      <c r="P1468" t="s">
        <v>5883</v>
      </c>
      <c r="Q1468" t="s">
        <v>6038</v>
      </c>
      <c r="R1468" t="s">
        <v>6039</v>
      </c>
      <c r="S1468" s="3"/>
      <c r="T1468" t="s">
        <v>9938</v>
      </c>
      <c r="U1468" t="s">
        <v>5882</v>
      </c>
      <c r="V1468" t="s">
        <v>9656</v>
      </c>
      <c r="W1468" t="s">
        <v>5857</v>
      </c>
      <c r="X1468" s="2">
        <v>40</v>
      </c>
      <c r="Y1468" t="s">
        <v>5858</v>
      </c>
      <c r="Z1468" t="s">
        <v>6037</v>
      </c>
      <c r="AA1468" s="2">
        <v>0</v>
      </c>
      <c r="AB1468" t="s">
        <v>5863</v>
      </c>
      <c r="AC1468" t="s">
        <v>9978</v>
      </c>
      <c r="AD1468" s="32">
        <v>43276</v>
      </c>
      <c r="AI1468" t="s">
        <v>9943</v>
      </c>
      <c r="AJ1468" t="s">
        <v>9958</v>
      </c>
      <c r="AL1468" t="s">
        <v>11465</v>
      </c>
    </row>
    <row r="1469" spans="1:38">
      <c r="A1469" t="s">
        <v>9637</v>
      </c>
      <c r="B1469" t="s">
        <v>12671</v>
      </c>
      <c r="C1469" t="s">
        <v>9657</v>
      </c>
      <c r="D1469" t="s">
        <v>9658</v>
      </c>
      <c r="E1469" s="2">
        <v>25</v>
      </c>
      <c r="F1469" s="2">
        <v>25</v>
      </c>
      <c r="G1469" s="3">
        <v>43287</v>
      </c>
      <c r="H1469" s="4">
        <v>0.90625</v>
      </c>
      <c r="I1469" s="3">
        <v>43287</v>
      </c>
      <c r="J1469" s="4">
        <v>0.93229166666666996</v>
      </c>
      <c r="K1469" s="2">
        <v>25</v>
      </c>
      <c r="L1469" t="s">
        <v>5856</v>
      </c>
      <c r="M1469" t="s">
        <v>9659</v>
      </c>
      <c r="N1469" s="3">
        <v>43290</v>
      </c>
      <c r="O1469" s="3">
        <v>43289</v>
      </c>
      <c r="P1469" t="s">
        <v>7488</v>
      </c>
      <c r="Q1469" t="s">
        <v>9660</v>
      </c>
      <c r="R1469" t="s">
        <v>6036</v>
      </c>
      <c r="S1469" s="3">
        <v>43290</v>
      </c>
      <c r="T1469" t="s">
        <v>9938</v>
      </c>
      <c r="U1469" t="s">
        <v>9661</v>
      </c>
      <c r="V1469" t="s">
        <v>9662</v>
      </c>
      <c r="W1469" t="s">
        <v>6038</v>
      </c>
      <c r="X1469" s="2">
        <v>40</v>
      </c>
      <c r="Y1469" t="s">
        <v>5858</v>
      </c>
      <c r="Z1469" t="s">
        <v>6037</v>
      </c>
      <c r="AA1469" s="2">
        <v>25</v>
      </c>
      <c r="AB1469" t="s">
        <v>5863</v>
      </c>
      <c r="AC1469" t="s">
        <v>9976</v>
      </c>
      <c r="AD1469" s="32">
        <v>43276</v>
      </c>
      <c r="AL1469" t="s">
        <v>11466</v>
      </c>
    </row>
    <row r="1470" spans="1:38">
      <c r="A1470" t="s">
        <v>9637</v>
      </c>
      <c r="B1470" t="s">
        <v>12672</v>
      </c>
      <c r="C1470" t="s">
        <v>9663</v>
      </c>
      <c r="D1470" t="s">
        <v>9664</v>
      </c>
      <c r="E1470" s="2">
        <v>70</v>
      </c>
      <c r="F1470" s="2">
        <v>70</v>
      </c>
      <c r="G1470" s="3">
        <v>43287</v>
      </c>
      <c r="H1470" s="4">
        <v>0.953125</v>
      </c>
      <c r="I1470" s="3">
        <v>43288</v>
      </c>
      <c r="J1470" s="4">
        <v>2.6041666666669998E-2</v>
      </c>
      <c r="K1470" s="2">
        <v>45</v>
      </c>
      <c r="L1470" t="s">
        <v>5856</v>
      </c>
      <c r="M1470" t="s">
        <v>6923</v>
      </c>
      <c r="N1470" s="3">
        <v>43284</v>
      </c>
      <c r="O1470" s="3">
        <v>43290</v>
      </c>
      <c r="P1470" t="s">
        <v>9665</v>
      </c>
      <c r="Q1470" t="s">
        <v>6038</v>
      </c>
      <c r="R1470" t="s">
        <v>6039</v>
      </c>
      <c r="S1470" s="3"/>
      <c r="T1470" t="s">
        <v>9938</v>
      </c>
      <c r="U1470" t="s">
        <v>6052</v>
      </c>
      <c r="V1470" t="s">
        <v>9666</v>
      </c>
      <c r="W1470" t="s">
        <v>6038</v>
      </c>
      <c r="X1470" s="2">
        <v>40</v>
      </c>
      <c r="Y1470" t="s">
        <v>5858</v>
      </c>
      <c r="Z1470" t="s">
        <v>6037</v>
      </c>
      <c r="AA1470" s="2">
        <v>50</v>
      </c>
      <c r="AB1470" t="s">
        <v>5863</v>
      </c>
      <c r="AC1470" t="s">
        <v>9974</v>
      </c>
      <c r="AD1470" s="32">
        <v>43277</v>
      </c>
      <c r="AJ1470" t="s">
        <v>9958</v>
      </c>
      <c r="AL1470" t="s">
        <v>11467</v>
      </c>
    </row>
    <row r="1471" spans="1:38">
      <c r="A1471" t="s">
        <v>9637</v>
      </c>
      <c r="B1471" t="s">
        <v>12678</v>
      </c>
      <c r="C1471" t="s">
        <v>9684</v>
      </c>
      <c r="D1471" t="s">
        <v>9685</v>
      </c>
      <c r="E1471" s="2">
        <v>40</v>
      </c>
      <c r="F1471" s="2">
        <v>140</v>
      </c>
      <c r="G1471" s="3">
        <v>43288</v>
      </c>
      <c r="H1471" s="4">
        <v>2.777777777778E-2</v>
      </c>
      <c r="I1471" s="3">
        <v>43288</v>
      </c>
      <c r="J1471" s="4">
        <v>0.17361111111110999</v>
      </c>
      <c r="K1471" s="2">
        <v>0</v>
      </c>
      <c r="L1471" t="s">
        <v>5856</v>
      </c>
      <c r="M1471" t="s">
        <v>9639</v>
      </c>
      <c r="N1471" s="3">
        <v>43291</v>
      </c>
      <c r="O1471" s="3">
        <v>43290</v>
      </c>
      <c r="P1471" t="s">
        <v>5960</v>
      </c>
      <c r="Q1471" t="s">
        <v>6038</v>
      </c>
      <c r="R1471" t="s">
        <v>6039</v>
      </c>
      <c r="S1471" s="3"/>
      <c r="T1471" t="s">
        <v>9938</v>
      </c>
      <c r="U1471" t="s">
        <v>6582</v>
      </c>
      <c r="V1471" t="s">
        <v>9686</v>
      </c>
      <c r="W1471" t="s">
        <v>5857</v>
      </c>
      <c r="X1471" s="2">
        <v>40</v>
      </c>
      <c r="Y1471" t="s">
        <v>5858</v>
      </c>
      <c r="Z1471" t="s">
        <v>6037</v>
      </c>
      <c r="AA1471" s="2">
        <v>0</v>
      </c>
      <c r="AB1471" t="s">
        <v>5859</v>
      </c>
      <c r="AC1471" t="s">
        <v>9976</v>
      </c>
      <c r="AD1471" s="32">
        <v>43265</v>
      </c>
      <c r="AJ1471" t="s">
        <v>9958</v>
      </c>
      <c r="AL1471" t="s">
        <v>14289</v>
      </c>
    </row>
    <row r="1472" spans="1:38">
      <c r="A1472" t="s">
        <v>9637</v>
      </c>
      <c r="B1472" t="s">
        <v>12673</v>
      </c>
      <c r="C1472" t="s">
        <v>9667</v>
      </c>
      <c r="D1472" t="s">
        <v>9668</v>
      </c>
      <c r="E1472" s="2">
        <v>100</v>
      </c>
      <c r="F1472" s="2">
        <v>100</v>
      </c>
      <c r="G1472" s="3">
        <v>43288</v>
      </c>
      <c r="H1472" s="4">
        <v>5.381944444444E-2</v>
      </c>
      <c r="I1472" s="3">
        <v>43288</v>
      </c>
      <c r="J1472" s="4">
        <v>0.15798611111110999</v>
      </c>
      <c r="K1472" s="2">
        <v>4</v>
      </c>
      <c r="L1472" t="s">
        <v>5856</v>
      </c>
      <c r="M1472" t="s">
        <v>6984</v>
      </c>
      <c r="N1472" s="3">
        <v>43279</v>
      </c>
      <c r="O1472" s="3">
        <v>43290</v>
      </c>
      <c r="P1472" t="s">
        <v>9669</v>
      </c>
      <c r="Q1472" t="s">
        <v>6038</v>
      </c>
      <c r="R1472" t="s">
        <v>6039</v>
      </c>
      <c r="S1472" s="3"/>
      <c r="T1472" t="s">
        <v>9938</v>
      </c>
      <c r="U1472" t="s">
        <v>6582</v>
      </c>
      <c r="V1472" t="s">
        <v>9670</v>
      </c>
      <c r="W1472" t="s">
        <v>5857</v>
      </c>
      <c r="X1472" s="2">
        <v>40</v>
      </c>
      <c r="Y1472" t="s">
        <v>5858</v>
      </c>
      <c r="Z1472" t="s">
        <v>6037</v>
      </c>
      <c r="AA1472" s="2">
        <v>100</v>
      </c>
      <c r="AB1472" t="s">
        <v>5863</v>
      </c>
      <c r="AC1472" t="s">
        <v>9976</v>
      </c>
      <c r="AD1472" s="32">
        <v>43275</v>
      </c>
      <c r="AJ1472" t="s">
        <v>9958</v>
      </c>
      <c r="AL1472" t="s">
        <v>11468</v>
      </c>
    </row>
    <row r="1473" spans="1:38">
      <c r="A1473" t="s">
        <v>9637</v>
      </c>
      <c r="B1473" t="s">
        <v>13637</v>
      </c>
      <c r="C1473" t="s">
        <v>13638</v>
      </c>
      <c r="D1473" t="s">
        <v>13639</v>
      </c>
      <c r="E1473" s="2">
        <v>70</v>
      </c>
      <c r="F1473" s="2">
        <v>70</v>
      </c>
      <c r="G1473" s="3">
        <v>43288</v>
      </c>
      <c r="H1473" s="4">
        <v>0.17881944444444001</v>
      </c>
      <c r="I1473" s="3">
        <v>43288</v>
      </c>
      <c r="J1473" s="4">
        <v>0.25173611111110999</v>
      </c>
      <c r="K1473" s="2">
        <v>10</v>
      </c>
      <c r="L1473" t="s">
        <v>5856</v>
      </c>
      <c r="M1473" t="s">
        <v>6923</v>
      </c>
      <c r="N1473" s="3">
        <v>43290</v>
      </c>
      <c r="O1473" s="3">
        <v>43290</v>
      </c>
      <c r="P1473" t="s">
        <v>7472</v>
      </c>
      <c r="Q1473" t="s">
        <v>13640</v>
      </c>
      <c r="R1473" t="s">
        <v>6036</v>
      </c>
      <c r="S1473" s="3">
        <v>43290</v>
      </c>
      <c r="T1473" t="s">
        <v>9938</v>
      </c>
      <c r="U1473" t="s">
        <v>6582</v>
      </c>
      <c r="V1473" t="s">
        <v>13641</v>
      </c>
      <c r="W1473" t="s">
        <v>6038</v>
      </c>
      <c r="X1473" s="2">
        <v>40</v>
      </c>
      <c r="Y1473" t="s">
        <v>5858</v>
      </c>
      <c r="Z1473" t="s">
        <v>6037</v>
      </c>
      <c r="AA1473" s="2">
        <v>50</v>
      </c>
      <c r="AB1473" t="s">
        <v>5863</v>
      </c>
      <c r="AC1473" t="s">
        <v>9976</v>
      </c>
      <c r="AD1473" s="32">
        <v>43280</v>
      </c>
      <c r="AJ1473" t="s">
        <v>9958</v>
      </c>
      <c r="AL1473" t="s">
        <v>14290</v>
      </c>
    </row>
    <row r="1474" spans="1:38">
      <c r="A1474" t="s">
        <v>9637</v>
      </c>
      <c r="B1474" t="s">
        <v>12677</v>
      </c>
      <c r="C1474" t="s">
        <v>9680</v>
      </c>
      <c r="D1474" t="s">
        <v>9681</v>
      </c>
      <c r="E1474" s="2">
        <v>25</v>
      </c>
      <c r="F1474" s="2">
        <v>25</v>
      </c>
      <c r="G1474" s="3">
        <v>43288</v>
      </c>
      <c r="H1474" s="4">
        <v>0.54861111111111005</v>
      </c>
      <c r="I1474" s="3">
        <v>43288</v>
      </c>
      <c r="J1474" s="4">
        <v>0.57465277777778001</v>
      </c>
      <c r="K1474" s="2">
        <v>25</v>
      </c>
      <c r="L1474" t="s">
        <v>5856</v>
      </c>
      <c r="M1474" t="s">
        <v>9659</v>
      </c>
      <c r="N1474" s="3">
        <v>43290</v>
      </c>
      <c r="O1474" s="3">
        <v>43290</v>
      </c>
      <c r="P1474" t="s">
        <v>6924</v>
      </c>
      <c r="Q1474" t="s">
        <v>9682</v>
      </c>
      <c r="R1474" t="s">
        <v>6036</v>
      </c>
      <c r="S1474" s="3">
        <v>43290</v>
      </c>
      <c r="T1474" t="s">
        <v>9938</v>
      </c>
      <c r="U1474" t="s">
        <v>9661</v>
      </c>
      <c r="V1474" t="s">
        <v>9683</v>
      </c>
      <c r="W1474" t="s">
        <v>6038</v>
      </c>
      <c r="X1474" s="2">
        <v>40</v>
      </c>
      <c r="Y1474" t="s">
        <v>5858</v>
      </c>
      <c r="Z1474" t="s">
        <v>6037</v>
      </c>
      <c r="AA1474" s="2">
        <v>25</v>
      </c>
      <c r="AB1474" t="s">
        <v>5863</v>
      </c>
      <c r="AC1474" t="s">
        <v>9976</v>
      </c>
      <c r="AD1474" s="32">
        <v>43276</v>
      </c>
      <c r="AL1474" t="s">
        <v>11469</v>
      </c>
    </row>
    <row r="1475" spans="1:38">
      <c r="A1475" t="s">
        <v>9637</v>
      </c>
      <c r="B1475" t="s">
        <v>13642</v>
      </c>
      <c r="C1475" t="s">
        <v>6565</v>
      </c>
      <c r="D1475" t="s">
        <v>6566</v>
      </c>
      <c r="E1475" s="2">
        <v>50</v>
      </c>
      <c r="F1475" s="2">
        <v>50</v>
      </c>
      <c r="G1475" s="3">
        <v>43288</v>
      </c>
      <c r="H1475" s="4">
        <v>0.69056712962962996</v>
      </c>
      <c r="I1475" s="3">
        <v>43288</v>
      </c>
      <c r="J1475" s="4">
        <v>0.74265046296296</v>
      </c>
      <c r="K1475" s="2">
        <v>20</v>
      </c>
      <c r="L1475" t="s">
        <v>5856</v>
      </c>
      <c r="M1475" t="s">
        <v>7143</v>
      </c>
      <c r="N1475" s="3">
        <v>43293</v>
      </c>
      <c r="O1475" s="3">
        <v>43290</v>
      </c>
      <c r="P1475" t="s">
        <v>5964</v>
      </c>
      <c r="Q1475" t="s">
        <v>6567</v>
      </c>
      <c r="R1475" t="s">
        <v>6036</v>
      </c>
      <c r="S1475" s="3">
        <v>43293</v>
      </c>
      <c r="T1475" t="s">
        <v>9938</v>
      </c>
      <c r="U1475" t="s">
        <v>6568</v>
      </c>
      <c r="V1475" t="s">
        <v>6569</v>
      </c>
      <c r="W1475" t="s">
        <v>5857</v>
      </c>
      <c r="X1475" s="2">
        <v>40</v>
      </c>
      <c r="Y1475" t="s">
        <v>5858</v>
      </c>
      <c r="Z1475" t="s">
        <v>6037</v>
      </c>
      <c r="AA1475" s="2">
        <v>50</v>
      </c>
      <c r="AB1475" t="s">
        <v>5863</v>
      </c>
      <c r="AC1475" t="s">
        <v>9978</v>
      </c>
      <c r="AD1475" s="32">
        <v>43283</v>
      </c>
      <c r="AJ1475" t="s">
        <v>9958</v>
      </c>
      <c r="AL1475" t="s">
        <v>14291</v>
      </c>
    </row>
    <row r="1476" spans="1:38">
      <c r="A1476" t="s">
        <v>9637</v>
      </c>
      <c r="B1476" t="s">
        <v>11696</v>
      </c>
      <c r="C1476" t="s">
        <v>6992</v>
      </c>
      <c r="D1476" t="s">
        <v>6993</v>
      </c>
      <c r="E1476" s="2">
        <v>280</v>
      </c>
      <c r="F1476" s="2">
        <v>280</v>
      </c>
      <c r="G1476" s="3">
        <v>43288</v>
      </c>
      <c r="H1476" s="4">
        <v>0.76348379629630003</v>
      </c>
      <c r="I1476" s="3">
        <v>43289</v>
      </c>
      <c r="J1476" s="4">
        <v>5.5150462962960001E-2</v>
      </c>
      <c r="K1476" s="2">
        <v>20</v>
      </c>
      <c r="L1476" t="s">
        <v>5856</v>
      </c>
      <c r="M1476" t="s">
        <v>9512</v>
      </c>
      <c r="N1476" s="3">
        <v>43291</v>
      </c>
      <c r="O1476" s="3">
        <v>43291</v>
      </c>
      <c r="P1476" t="s">
        <v>5960</v>
      </c>
      <c r="Q1476" t="s">
        <v>6995</v>
      </c>
      <c r="R1476" t="s">
        <v>6036</v>
      </c>
      <c r="S1476" s="3">
        <v>43291</v>
      </c>
      <c r="T1476" t="s">
        <v>9938</v>
      </c>
      <c r="U1476" t="s">
        <v>6582</v>
      </c>
      <c r="V1476" t="s">
        <v>6996</v>
      </c>
      <c r="W1476" t="s">
        <v>5857</v>
      </c>
      <c r="X1476" s="2">
        <v>40</v>
      </c>
      <c r="Y1476" t="s">
        <v>5858</v>
      </c>
      <c r="Z1476" t="s">
        <v>6037</v>
      </c>
      <c r="AA1476" s="2">
        <v>200</v>
      </c>
      <c r="AB1476" t="s">
        <v>5863</v>
      </c>
      <c r="AC1476" t="s">
        <v>9976</v>
      </c>
      <c r="AD1476" s="32">
        <v>43270</v>
      </c>
      <c r="AJ1476" t="s">
        <v>9958</v>
      </c>
      <c r="AL1476" t="s">
        <v>14292</v>
      </c>
    </row>
    <row r="1477" spans="1:38">
      <c r="A1477" t="s">
        <v>9637</v>
      </c>
      <c r="B1477" t="s">
        <v>13643</v>
      </c>
      <c r="C1477" t="s">
        <v>8916</v>
      </c>
      <c r="D1477" t="s">
        <v>8917</v>
      </c>
      <c r="E1477" s="2">
        <v>105</v>
      </c>
      <c r="F1477" s="2">
        <v>105</v>
      </c>
      <c r="G1477" s="3">
        <v>43289</v>
      </c>
      <c r="H1477" s="4">
        <v>9.1608796296300005E-2</v>
      </c>
      <c r="I1477" s="3">
        <v>43289</v>
      </c>
      <c r="J1477" s="4">
        <v>0.2009837962963</v>
      </c>
      <c r="K1477" s="2">
        <v>0</v>
      </c>
      <c r="L1477" t="s">
        <v>5856</v>
      </c>
      <c r="M1477" t="s">
        <v>7069</v>
      </c>
      <c r="N1477" s="3">
        <v>43283</v>
      </c>
      <c r="O1477" s="3">
        <v>43297</v>
      </c>
      <c r="P1477" t="s">
        <v>5971</v>
      </c>
      <c r="Q1477" t="s">
        <v>8918</v>
      </c>
      <c r="R1477" t="s">
        <v>6036</v>
      </c>
      <c r="S1477" s="3">
        <v>43283</v>
      </c>
      <c r="T1477" t="s">
        <v>9938</v>
      </c>
      <c r="U1477" t="s">
        <v>8919</v>
      </c>
      <c r="V1477" t="s">
        <v>8920</v>
      </c>
      <c r="W1477" t="s">
        <v>5857</v>
      </c>
      <c r="X1477" s="2">
        <v>0</v>
      </c>
      <c r="Y1477" t="s">
        <v>5858</v>
      </c>
      <c r="Z1477" t="s">
        <v>6037</v>
      </c>
      <c r="AA1477" s="2">
        <v>75</v>
      </c>
      <c r="AB1477" t="s">
        <v>5915</v>
      </c>
      <c r="AC1477" t="s">
        <v>9974</v>
      </c>
      <c r="AD1477" s="32"/>
      <c r="AJ1477" t="s">
        <v>9958</v>
      </c>
      <c r="AL1477" t="s">
        <v>14293</v>
      </c>
    </row>
    <row r="1478" spans="1:38">
      <c r="A1478" t="s">
        <v>9637</v>
      </c>
      <c r="B1478" t="s">
        <v>13644</v>
      </c>
      <c r="C1478" t="s">
        <v>7576</v>
      </c>
      <c r="D1478" t="s">
        <v>7577</v>
      </c>
      <c r="E1478" s="2">
        <v>35</v>
      </c>
      <c r="F1478" s="2">
        <v>35</v>
      </c>
      <c r="G1478" s="3">
        <v>43289</v>
      </c>
      <c r="H1478" s="4">
        <v>0.22181712962962999</v>
      </c>
      <c r="I1478" s="3">
        <v>43289</v>
      </c>
      <c r="J1478" s="4">
        <v>0.25827546296296</v>
      </c>
      <c r="K1478" s="2">
        <v>0</v>
      </c>
      <c r="L1478" t="s">
        <v>5856</v>
      </c>
      <c r="M1478" t="s">
        <v>9638</v>
      </c>
      <c r="N1478" s="3">
        <v>43291</v>
      </c>
      <c r="O1478" s="3">
        <v>43291</v>
      </c>
      <c r="P1478" t="s">
        <v>5862</v>
      </c>
      <c r="Q1478" t="s">
        <v>7578</v>
      </c>
      <c r="R1478" t="s">
        <v>6036</v>
      </c>
      <c r="S1478" s="3">
        <v>43291</v>
      </c>
      <c r="T1478" t="s">
        <v>9938</v>
      </c>
      <c r="U1478" t="s">
        <v>6052</v>
      </c>
      <c r="V1478" t="s">
        <v>7579</v>
      </c>
      <c r="W1478" t="s">
        <v>5857</v>
      </c>
      <c r="X1478" s="2">
        <v>40</v>
      </c>
      <c r="Y1478" t="s">
        <v>5858</v>
      </c>
      <c r="Z1478" t="s">
        <v>6037</v>
      </c>
      <c r="AA1478" s="2">
        <v>25</v>
      </c>
      <c r="AB1478" t="s">
        <v>5863</v>
      </c>
      <c r="AC1478" t="s">
        <v>9974</v>
      </c>
      <c r="AD1478" s="32">
        <v>43282</v>
      </c>
      <c r="AJ1478" t="s">
        <v>9958</v>
      </c>
      <c r="AL1478" t="s">
        <v>14294</v>
      </c>
    </row>
    <row r="1479" spans="1:38">
      <c r="A1479" t="s">
        <v>9637</v>
      </c>
      <c r="B1479" t="s">
        <v>13645</v>
      </c>
      <c r="C1479" t="s">
        <v>8955</v>
      </c>
      <c r="D1479" t="s">
        <v>8956</v>
      </c>
      <c r="E1479" s="2">
        <v>175</v>
      </c>
      <c r="F1479" s="2">
        <v>175</v>
      </c>
      <c r="G1479" s="3">
        <v>43289</v>
      </c>
      <c r="H1479" s="4">
        <v>0.27910879629629998</v>
      </c>
      <c r="I1479" s="3">
        <v>43289</v>
      </c>
      <c r="J1479" s="4">
        <v>0.46140046296296</v>
      </c>
      <c r="K1479" s="2">
        <v>20</v>
      </c>
      <c r="L1479" t="s">
        <v>5856</v>
      </c>
      <c r="M1479" t="s">
        <v>13646</v>
      </c>
      <c r="N1479" s="3">
        <v>43286</v>
      </c>
      <c r="O1479" s="3">
        <v>43291</v>
      </c>
      <c r="P1479" t="s">
        <v>6026</v>
      </c>
      <c r="Q1479" t="s">
        <v>6038</v>
      </c>
      <c r="R1479" t="s">
        <v>6039</v>
      </c>
      <c r="S1479" s="3"/>
      <c r="T1479" t="s">
        <v>9938</v>
      </c>
      <c r="U1479" t="s">
        <v>8957</v>
      </c>
      <c r="V1479" t="s">
        <v>8958</v>
      </c>
      <c r="W1479" t="s">
        <v>5857</v>
      </c>
      <c r="X1479" s="2">
        <v>40</v>
      </c>
      <c r="Y1479" t="s">
        <v>5858</v>
      </c>
      <c r="Z1479" t="s">
        <v>6037</v>
      </c>
      <c r="AA1479" s="2">
        <v>125</v>
      </c>
      <c r="AB1479" t="s">
        <v>5863</v>
      </c>
      <c r="AC1479" t="s">
        <v>9976</v>
      </c>
      <c r="AD1479" s="32">
        <v>43282</v>
      </c>
      <c r="AJ1479" t="s">
        <v>9972</v>
      </c>
      <c r="AL1479" t="s">
        <v>14295</v>
      </c>
    </row>
    <row r="1480" spans="1:38">
      <c r="A1480" t="s">
        <v>9637</v>
      </c>
      <c r="B1480" t="s">
        <v>13647</v>
      </c>
      <c r="C1480" t="s">
        <v>8567</v>
      </c>
      <c r="D1480" t="s">
        <v>8568</v>
      </c>
      <c r="E1480" s="2">
        <v>70</v>
      </c>
      <c r="F1480" s="2">
        <v>70</v>
      </c>
      <c r="G1480" s="3">
        <v>43289</v>
      </c>
      <c r="H1480" s="4">
        <v>0.48223379629629998</v>
      </c>
      <c r="I1480" s="3">
        <v>43289</v>
      </c>
      <c r="J1480" s="4">
        <v>0.55515046296296</v>
      </c>
      <c r="K1480" s="2">
        <v>20</v>
      </c>
      <c r="L1480" t="s">
        <v>5856</v>
      </c>
      <c r="M1480" t="s">
        <v>6923</v>
      </c>
      <c r="N1480" s="3">
        <v>43285</v>
      </c>
      <c r="O1480" s="3">
        <v>43291</v>
      </c>
      <c r="P1480" t="s">
        <v>8549</v>
      </c>
      <c r="Q1480" t="s">
        <v>8959</v>
      </c>
      <c r="R1480" t="s">
        <v>6036</v>
      </c>
      <c r="S1480" s="3">
        <v>43285</v>
      </c>
      <c r="T1480" t="s">
        <v>9938</v>
      </c>
      <c r="U1480" t="s">
        <v>8551</v>
      </c>
      <c r="V1480" t="s">
        <v>8571</v>
      </c>
      <c r="W1480" t="s">
        <v>5857</v>
      </c>
      <c r="X1480" s="2">
        <v>40</v>
      </c>
      <c r="Y1480" t="s">
        <v>5858</v>
      </c>
      <c r="Z1480" t="s">
        <v>6037</v>
      </c>
      <c r="AA1480" s="2">
        <v>50</v>
      </c>
      <c r="AB1480" t="s">
        <v>5863</v>
      </c>
      <c r="AC1480" t="s">
        <v>9987</v>
      </c>
      <c r="AD1480" s="32">
        <v>43282</v>
      </c>
      <c r="AJ1480" t="s">
        <v>9958</v>
      </c>
      <c r="AL1480" t="s">
        <v>14296</v>
      </c>
    </row>
    <row r="1481" spans="1:38">
      <c r="A1481" t="s">
        <v>9637</v>
      </c>
      <c r="B1481" t="s">
        <v>13648</v>
      </c>
      <c r="C1481" t="s">
        <v>6892</v>
      </c>
      <c r="D1481" t="s">
        <v>6893</v>
      </c>
      <c r="E1481" s="2">
        <v>245</v>
      </c>
      <c r="F1481" s="2">
        <v>245</v>
      </c>
      <c r="G1481" s="3">
        <v>43289</v>
      </c>
      <c r="H1481" s="4">
        <v>0.57598379629630003</v>
      </c>
      <c r="I1481" s="3">
        <v>43289</v>
      </c>
      <c r="J1481" s="4">
        <v>0.83119212962962996</v>
      </c>
      <c r="K1481" s="2">
        <v>20</v>
      </c>
      <c r="L1481" t="s">
        <v>5856</v>
      </c>
      <c r="M1481" t="s">
        <v>13649</v>
      </c>
      <c r="N1481" s="3">
        <v>43285</v>
      </c>
      <c r="O1481" s="3">
        <v>43291</v>
      </c>
      <c r="P1481" t="s">
        <v>6026</v>
      </c>
      <c r="Q1481" t="s">
        <v>6894</v>
      </c>
      <c r="R1481" t="s">
        <v>6036</v>
      </c>
      <c r="S1481" s="3">
        <v>43285</v>
      </c>
      <c r="T1481" t="s">
        <v>9938</v>
      </c>
      <c r="U1481" t="s">
        <v>5961</v>
      </c>
      <c r="V1481" t="s">
        <v>6895</v>
      </c>
      <c r="W1481" t="s">
        <v>5857</v>
      </c>
      <c r="X1481" s="2">
        <v>40</v>
      </c>
      <c r="Y1481" t="s">
        <v>5858</v>
      </c>
      <c r="Z1481" t="s">
        <v>6037</v>
      </c>
      <c r="AA1481" s="2">
        <v>175</v>
      </c>
      <c r="AB1481" t="s">
        <v>5863</v>
      </c>
      <c r="AC1481" t="s">
        <v>9976</v>
      </c>
      <c r="AD1481" s="32">
        <v>43281</v>
      </c>
      <c r="AJ1481" t="s">
        <v>9958</v>
      </c>
      <c r="AL1481" t="s">
        <v>14297</v>
      </c>
    </row>
    <row r="1482" spans="1:38">
      <c r="A1482" t="s">
        <v>9637</v>
      </c>
      <c r="B1482" t="s">
        <v>13650</v>
      </c>
      <c r="C1482" t="s">
        <v>7716</v>
      </c>
      <c r="D1482" t="s">
        <v>7717</v>
      </c>
      <c r="E1482" s="2">
        <v>100</v>
      </c>
      <c r="F1482" s="2">
        <v>100</v>
      </c>
      <c r="G1482" s="3">
        <v>43289</v>
      </c>
      <c r="H1482" s="4">
        <v>0.85202546296296</v>
      </c>
      <c r="I1482" s="3">
        <v>43289</v>
      </c>
      <c r="J1482" s="4">
        <v>0.95619212962962996</v>
      </c>
      <c r="K1482" s="2">
        <v>0</v>
      </c>
      <c r="L1482" t="s">
        <v>5856</v>
      </c>
      <c r="M1482" t="s">
        <v>6984</v>
      </c>
      <c r="N1482" s="3">
        <v>43291</v>
      </c>
      <c r="O1482" s="3">
        <v>43291</v>
      </c>
      <c r="P1482" t="s">
        <v>5911</v>
      </c>
      <c r="Q1482" t="s">
        <v>7718</v>
      </c>
      <c r="R1482" t="s">
        <v>6036</v>
      </c>
      <c r="S1482" s="3">
        <v>43286</v>
      </c>
      <c r="T1482" t="s">
        <v>9938</v>
      </c>
      <c r="U1482" t="s">
        <v>7719</v>
      </c>
      <c r="V1482" t="s">
        <v>7720</v>
      </c>
      <c r="W1482" t="s">
        <v>5857</v>
      </c>
      <c r="X1482" s="2">
        <v>40</v>
      </c>
      <c r="Y1482" t="s">
        <v>5858</v>
      </c>
      <c r="Z1482" t="s">
        <v>6037</v>
      </c>
      <c r="AA1482" s="2">
        <v>100</v>
      </c>
      <c r="AB1482" t="s">
        <v>5863</v>
      </c>
      <c r="AC1482" t="s">
        <v>9974</v>
      </c>
      <c r="AD1482" s="32">
        <v>43280</v>
      </c>
      <c r="AJ1482" t="s">
        <v>9958</v>
      </c>
      <c r="AL1482" t="s">
        <v>14298</v>
      </c>
    </row>
    <row r="1483" spans="1:38">
      <c r="A1483" t="s">
        <v>9637</v>
      </c>
      <c r="B1483" t="s">
        <v>13651</v>
      </c>
      <c r="C1483" t="s">
        <v>6500</v>
      </c>
      <c r="D1483" t="s">
        <v>6501</v>
      </c>
      <c r="E1483" s="2">
        <v>105</v>
      </c>
      <c r="F1483" s="2">
        <v>105</v>
      </c>
      <c r="G1483" s="3">
        <v>43290</v>
      </c>
      <c r="H1483" s="4">
        <v>1.207175925926E-2</v>
      </c>
      <c r="I1483" s="3">
        <v>43290</v>
      </c>
      <c r="J1483" s="4">
        <v>0.12144675925926</v>
      </c>
      <c r="K1483" s="2">
        <v>20</v>
      </c>
      <c r="L1483" t="s">
        <v>5856</v>
      </c>
      <c r="M1483" t="s">
        <v>7069</v>
      </c>
      <c r="N1483" s="3">
        <v>43290</v>
      </c>
      <c r="O1483" s="3">
        <v>43292</v>
      </c>
      <c r="P1483" t="s">
        <v>5911</v>
      </c>
      <c r="Q1483" t="s">
        <v>7567</v>
      </c>
      <c r="R1483" t="s">
        <v>6036</v>
      </c>
      <c r="S1483" s="3">
        <v>43290</v>
      </c>
      <c r="T1483" t="s">
        <v>9938</v>
      </c>
      <c r="U1483" t="s">
        <v>5923</v>
      </c>
      <c r="V1483" t="s">
        <v>6503</v>
      </c>
      <c r="W1483" t="s">
        <v>5857</v>
      </c>
      <c r="X1483" s="2">
        <v>40</v>
      </c>
      <c r="Y1483" t="s">
        <v>5858</v>
      </c>
      <c r="Z1483" t="s">
        <v>6037</v>
      </c>
      <c r="AA1483" s="2">
        <v>75</v>
      </c>
      <c r="AB1483" t="s">
        <v>5863</v>
      </c>
      <c r="AC1483" t="s">
        <v>9974</v>
      </c>
      <c r="AD1483" s="32">
        <v>43281</v>
      </c>
      <c r="AI1483" t="s">
        <v>9943</v>
      </c>
      <c r="AJ1483" t="s">
        <v>9959</v>
      </c>
      <c r="AL1483" t="s">
        <v>14299</v>
      </c>
    </row>
    <row r="1484" spans="1:38">
      <c r="A1484" t="s">
        <v>9637</v>
      </c>
      <c r="B1484" t="s">
        <v>11705</v>
      </c>
      <c r="C1484" t="s">
        <v>7035</v>
      </c>
      <c r="D1484" t="s">
        <v>7036</v>
      </c>
      <c r="E1484" s="2">
        <v>280</v>
      </c>
      <c r="F1484" s="2">
        <v>280</v>
      </c>
      <c r="G1484" s="3">
        <v>43290</v>
      </c>
      <c r="H1484" s="4">
        <v>0.14228009259259</v>
      </c>
      <c r="I1484" s="3">
        <v>43290</v>
      </c>
      <c r="J1484" s="4">
        <v>0.43394675925926002</v>
      </c>
      <c r="K1484" s="2">
        <v>20</v>
      </c>
      <c r="L1484" t="s">
        <v>5856</v>
      </c>
      <c r="M1484" t="s">
        <v>9512</v>
      </c>
      <c r="N1484" s="3">
        <v>43292</v>
      </c>
      <c r="O1484" s="3">
        <v>43292</v>
      </c>
      <c r="P1484" t="s">
        <v>5911</v>
      </c>
      <c r="Q1484" t="s">
        <v>7037</v>
      </c>
      <c r="R1484" t="s">
        <v>6036</v>
      </c>
      <c r="S1484" s="3">
        <v>43292</v>
      </c>
      <c r="T1484" t="s">
        <v>9938</v>
      </c>
      <c r="U1484" t="s">
        <v>6065</v>
      </c>
      <c r="V1484" t="s">
        <v>5891</v>
      </c>
      <c r="W1484" t="s">
        <v>5857</v>
      </c>
      <c r="X1484" s="2">
        <v>40</v>
      </c>
      <c r="Y1484" t="s">
        <v>5858</v>
      </c>
      <c r="Z1484" t="s">
        <v>6037</v>
      </c>
      <c r="AA1484" s="2">
        <v>200</v>
      </c>
      <c r="AB1484" t="s">
        <v>5863</v>
      </c>
      <c r="AC1484" t="s">
        <v>9974</v>
      </c>
      <c r="AD1484" s="32">
        <v>43264</v>
      </c>
      <c r="AI1484" t="s">
        <v>9949</v>
      </c>
      <c r="AJ1484" t="s">
        <v>9958</v>
      </c>
      <c r="AL1484" t="s">
        <v>14300</v>
      </c>
    </row>
    <row r="1485" spans="1:38">
      <c r="A1485" t="s">
        <v>9637</v>
      </c>
      <c r="B1485" t="s">
        <v>13652</v>
      </c>
      <c r="C1485" t="s">
        <v>13653</v>
      </c>
      <c r="D1485" t="s">
        <v>13654</v>
      </c>
      <c r="E1485" s="2">
        <v>70</v>
      </c>
      <c r="F1485" s="2">
        <v>70</v>
      </c>
      <c r="G1485" s="3">
        <v>43290</v>
      </c>
      <c r="H1485" s="4">
        <v>0.42707175925926</v>
      </c>
      <c r="I1485" s="3">
        <v>43290</v>
      </c>
      <c r="J1485" s="4">
        <v>0.49998842592593001</v>
      </c>
      <c r="K1485" s="2">
        <v>25</v>
      </c>
      <c r="L1485" t="s">
        <v>5856</v>
      </c>
      <c r="M1485" t="s">
        <v>6923</v>
      </c>
      <c r="N1485" s="3">
        <v>43292</v>
      </c>
      <c r="O1485" s="3">
        <v>43292</v>
      </c>
      <c r="P1485" t="s">
        <v>6868</v>
      </c>
      <c r="Q1485" t="s">
        <v>13655</v>
      </c>
      <c r="R1485" t="s">
        <v>6036</v>
      </c>
      <c r="S1485" s="3">
        <v>43292</v>
      </c>
      <c r="T1485" t="s">
        <v>9938</v>
      </c>
      <c r="U1485" t="s">
        <v>6600</v>
      </c>
      <c r="V1485" t="s">
        <v>13656</v>
      </c>
      <c r="W1485" t="s">
        <v>5857</v>
      </c>
      <c r="X1485" s="2">
        <v>40</v>
      </c>
      <c r="Y1485" t="s">
        <v>5858</v>
      </c>
      <c r="Z1485" t="s">
        <v>6037</v>
      </c>
      <c r="AA1485" s="2">
        <v>50</v>
      </c>
      <c r="AB1485" t="s">
        <v>5863</v>
      </c>
      <c r="AC1485" t="s">
        <v>9976</v>
      </c>
      <c r="AD1485" s="32">
        <v>43280</v>
      </c>
      <c r="AJ1485" t="s">
        <v>9958</v>
      </c>
      <c r="AL1485" t="s">
        <v>14301</v>
      </c>
    </row>
    <row r="1486" spans="1:38">
      <c r="A1486" t="s">
        <v>9637</v>
      </c>
      <c r="B1486" t="s">
        <v>11860</v>
      </c>
      <c r="C1486" t="s">
        <v>6960</v>
      </c>
      <c r="D1486" t="s">
        <v>6961</v>
      </c>
      <c r="E1486" s="2">
        <v>350</v>
      </c>
      <c r="F1486" s="2">
        <v>350</v>
      </c>
      <c r="G1486" s="3">
        <v>43290</v>
      </c>
      <c r="H1486" s="4">
        <v>0.45478009259259</v>
      </c>
      <c r="I1486" s="3">
        <v>43290</v>
      </c>
      <c r="J1486" s="4">
        <v>0.81936342592593003</v>
      </c>
      <c r="K1486" s="2">
        <v>20</v>
      </c>
      <c r="L1486" t="s">
        <v>5856</v>
      </c>
      <c r="M1486" t="s">
        <v>9641</v>
      </c>
      <c r="N1486" s="3">
        <v>43292</v>
      </c>
      <c r="O1486" s="3">
        <v>43292</v>
      </c>
      <c r="P1486" t="s">
        <v>5960</v>
      </c>
      <c r="Q1486" t="s">
        <v>7614</v>
      </c>
      <c r="R1486" t="s">
        <v>6036</v>
      </c>
      <c r="S1486" s="3">
        <v>43292</v>
      </c>
      <c r="T1486" t="s">
        <v>9938</v>
      </c>
      <c r="U1486" t="s">
        <v>5917</v>
      </c>
      <c r="V1486" t="s">
        <v>6963</v>
      </c>
      <c r="W1486" t="s">
        <v>5857</v>
      </c>
      <c r="X1486" s="2">
        <v>40</v>
      </c>
      <c r="Y1486" t="s">
        <v>5858</v>
      </c>
      <c r="Z1486" t="s">
        <v>6037</v>
      </c>
      <c r="AA1486" s="2">
        <v>250</v>
      </c>
      <c r="AB1486" t="s">
        <v>5863</v>
      </c>
      <c r="AC1486" t="s">
        <v>9976</v>
      </c>
      <c r="AD1486" s="32">
        <v>43271</v>
      </c>
      <c r="AJ1486" t="s">
        <v>9958</v>
      </c>
      <c r="AL1486" t="s">
        <v>14302</v>
      </c>
    </row>
    <row r="1487" spans="1:38">
      <c r="A1487" t="s">
        <v>9637</v>
      </c>
      <c r="B1487" t="s">
        <v>13657</v>
      </c>
      <c r="C1487" t="s">
        <v>13658</v>
      </c>
      <c r="D1487" t="s">
        <v>13659</v>
      </c>
      <c r="E1487" s="2">
        <v>35</v>
      </c>
      <c r="F1487" s="2">
        <v>35</v>
      </c>
      <c r="G1487" s="3">
        <v>43290</v>
      </c>
      <c r="H1487" s="4">
        <v>0.46348379629629999</v>
      </c>
      <c r="I1487" s="3">
        <v>43290</v>
      </c>
      <c r="J1487" s="4">
        <v>0.49994212962963003</v>
      </c>
      <c r="K1487" s="2">
        <v>25</v>
      </c>
      <c r="L1487" t="s">
        <v>5856</v>
      </c>
      <c r="M1487" t="s">
        <v>9638</v>
      </c>
      <c r="N1487" s="3">
        <v>43292</v>
      </c>
      <c r="O1487" s="3">
        <v>43292</v>
      </c>
      <c r="P1487" t="s">
        <v>5960</v>
      </c>
      <c r="Q1487" t="s">
        <v>13660</v>
      </c>
      <c r="R1487" t="s">
        <v>6036</v>
      </c>
      <c r="S1487" s="3">
        <v>43292</v>
      </c>
      <c r="T1487" t="s">
        <v>9938</v>
      </c>
      <c r="U1487" t="s">
        <v>9785</v>
      </c>
      <c r="V1487" t="s">
        <v>13661</v>
      </c>
      <c r="W1487" t="s">
        <v>5857</v>
      </c>
      <c r="X1487" s="2">
        <v>40</v>
      </c>
      <c r="Y1487" t="s">
        <v>5858</v>
      </c>
      <c r="Z1487" t="s">
        <v>6037</v>
      </c>
      <c r="AA1487" s="2">
        <v>25</v>
      </c>
      <c r="AB1487" t="s">
        <v>5863</v>
      </c>
      <c r="AC1487" t="s">
        <v>9976</v>
      </c>
      <c r="AD1487" s="32">
        <v>43280</v>
      </c>
      <c r="AJ1487" t="s">
        <v>9958</v>
      </c>
      <c r="AL1487" t="s">
        <v>14303</v>
      </c>
    </row>
    <row r="1488" spans="1:38">
      <c r="A1488" t="s">
        <v>9637</v>
      </c>
      <c r="B1488" t="s">
        <v>13662</v>
      </c>
      <c r="C1488" t="s">
        <v>13663</v>
      </c>
      <c r="D1488" t="s">
        <v>13664</v>
      </c>
      <c r="E1488" s="2">
        <v>35</v>
      </c>
      <c r="F1488" s="2">
        <v>35</v>
      </c>
      <c r="G1488" s="3">
        <v>43290</v>
      </c>
      <c r="H1488" s="4">
        <v>0.84019675925925996</v>
      </c>
      <c r="I1488" s="3">
        <v>43290</v>
      </c>
      <c r="J1488" s="4">
        <v>0.87665509259259</v>
      </c>
      <c r="K1488" s="2">
        <v>25</v>
      </c>
      <c r="L1488" t="s">
        <v>5856</v>
      </c>
      <c r="M1488" t="s">
        <v>9638</v>
      </c>
      <c r="N1488" s="3">
        <v>43292</v>
      </c>
      <c r="O1488" s="3">
        <v>43292</v>
      </c>
      <c r="P1488" t="s">
        <v>9517</v>
      </c>
      <c r="Q1488" t="s">
        <v>13665</v>
      </c>
      <c r="R1488" t="s">
        <v>6036</v>
      </c>
      <c r="S1488" s="3">
        <v>43292</v>
      </c>
      <c r="T1488" t="s">
        <v>9938</v>
      </c>
      <c r="U1488" t="s">
        <v>5961</v>
      </c>
      <c r="V1488" t="s">
        <v>13666</v>
      </c>
      <c r="W1488" t="s">
        <v>5857</v>
      </c>
      <c r="X1488" s="2">
        <v>0</v>
      </c>
      <c r="Y1488" t="s">
        <v>5858</v>
      </c>
      <c r="Z1488" t="s">
        <v>6037</v>
      </c>
      <c r="AA1488" s="2">
        <v>25</v>
      </c>
      <c r="AB1488" t="s">
        <v>5915</v>
      </c>
      <c r="AC1488" t="s">
        <v>9976</v>
      </c>
      <c r="AD1488" s="32"/>
      <c r="AJ1488" t="s">
        <v>9958</v>
      </c>
      <c r="AL1488" t="s">
        <v>14304</v>
      </c>
    </row>
    <row r="1489" spans="1:38">
      <c r="A1489" t="s">
        <v>9637</v>
      </c>
      <c r="B1489" t="s">
        <v>13667</v>
      </c>
      <c r="C1489" t="s">
        <v>6933</v>
      </c>
      <c r="D1489" t="s">
        <v>6934</v>
      </c>
      <c r="E1489" s="2">
        <v>35</v>
      </c>
      <c r="F1489" s="2">
        <v>35</v>
      </c>
      <c r="G1489" s="3">
        <v>43290</v>
      </c>
      <c r="H1489" s="4">
        <v>0.89748842592593003</v>
      </c>
      <c r="I1489" s="3">
        <v>43290</v>
      </c>
      <c r="J1489" s="4">
        <v>0.93394675925925996</v>
      </c>
      <c r="K1489" s="2">
        <v>4</v>
      </c>
      <c r="L1489" t="s">
        <v>5856</v>
      </c>
      <c r="M1489" t="s">
        <v>9638</v>
      </c>
      <c r="N1489" s="3">
        <v>43291</v>
      </c>
      <c r="O1489" s="3">
        <v>43292</v>
      </c>
      <c r="P1489" t="s">
        <v>6018</v>
      </c>
      <c r="Q1489" t="s">
        <v>6935</v>
      </c>
      <c r="R1489" t="s">
        <v>6036</v>
      </c>
      <c r="S1489" s="3">
        <v>43291</v>
      </c>
      <c r="T1489" t="s">
        <v>9938</v>
      </c>
      <c r="U1489" t="s">
        <v>5963</v>
      </c>
      <c r="V1489" t="s">
        <v>6936</v>
      </c>
      <c r="W1489" t="s">
        <v>5857</v>
      </c>
      <c r="X1489" s="2">
        <v>40</v>
      </c>
      <c r="Y1489" t="s">
        <v>5858</v>
      </c>
      <c r="Z1489" t="s">
        <v>6037</v>
      </c>
      <c r="AA1489" s="2">
        <v>25</v>
      </c>
      <c r="AB1489" t="s">
        <v>5863</v>
      </c>
      <c r="AC1489" t="s">
        <v>9978</v>
      </c>
      <c r="AD1489" s="32">
        <v>43279</v>
      </c>
      <c r="AJ1489" t="s">
        <v>9958</v>
      </c>
      <c r="AL1489" t="s">
        <v>14305</v>
      </c>
    </row>
    <row r="1490" spans="1:38">
      <c r="A1490" t="s">
        <v>9637</v>
      </c>
      <c r="B1490" t="s">
        <v>13668</v>
      </c>
      <c r="C1490" t="s">
        <v>6099</v>
      </c>
      <c r="D1490" t="s">
        <v>6019</v>
      </c>
      <c r="E1490" s="5">
        <v>1.4</v>
      </c>
      <c r="F1490" s="5">
        <v>1.4</v>
      </c>
      <c r="G1490" s="3">
        <v>43290</v>
      </c>
      <c r="H1490" s="4">
        <v>0.99854166666666999</v>
      </c>
      <c r="I1490" s="3">
        <v>43291</v>
      </c>
      <c r="J1490" s="4">
        <v>0</v>
      </c>
      <c r="K1490" s="2">
        <v>0</v>
      </c>
      <c r="L1490" t="s">
        <v>5856</v>
      </c>
      <c r="M1490" t="s">
        <v>13669</v>
      </c>
      <c r="N1490" s="3">
        <v>43278</v>
      </c>
      <c r="O1490" s="3">
        <v>43294</v>
      </c>
      <c r="P1490" t="s">
        <v>5971</v>
      </c>
      <c r="Q1490" t="s">
        <v>9640</v>
      </c>
      <c r="R1490" t="s">
        <v>6036</v>
      </c>
      <c r="S1490" s="3">
        <v>43278</v>
      </c>
      <c r="T1490" t="s">
        <v>9938</v>
      </c>
      <c r="U1490" t="s">
        <v>5935</v>
      </c>
      <c r="V1490" t="s">
        <v>6041</v>
      </c>
      <c r="W1490" t="s">
        <v>5857</v>
      </c>
      <c r="X1490" s="2">
        <v>0</v>
      </c>
      <c r="Y1490" t="s">
        <v>5858</v>
      </c>
      <c r="Z1490" t="s">
        <v>6037</v>
      </c>
      <c r="AA1490" s="2">
        <v>1</v>
      </c>
      <c r="AB1490" t="s">
        <v>5915</v>
      </c>
      <c r="AC1490" t="s">
        <v>9974</v>
      </c>
      <c r="AD1490" s="32"/>
      <c r="AJ1490" t="s">
        <v>9959</v>
      </c>
      <c r="AL1490" t="s">
        <v>14306</v>
      </c>
    </row>
    <row r="1491" spans="1:38">
      <c r="A1491" t="s">
        <v>9637</v>
      </c>
      <c r="B1491" t="s">
        <v>13670</v>
      </c>
      <c r="C1491" t="s">
        <v>6953</v>
      </c>
      <c r="D1491" t="s">
        <v>6954</v>
      </c>
      <c r="E1491" s="2">
        <v>105</v>
      </c>
      <c r="F1491" s="2">
        <v>105</v>
      </c>
      <c r="G1491" s="3">
        <v>43295</v>
      </c>
      <c r="H1491" s="4">
        <v>2.0821759259260001E-2</v>
      </c>
      <c r="I1491" s="3">
        <v>43295</v>
      </c>
      <c r="J1491" s="4">
        <v>0.13019675925926</v>
      </c>
      <c r="K1491" s="2">
        <v>4</v>
      </c>
      <c r="L1491" t="s">
        <v>5856</v>
      </c>
      <c r="M1491" t="s">
        <v>7069</v>
      </c>
      <c r="N1491" s="3">
        <v>43285</v>
      </c>
      <c r="O1491" s="3">
        <v>43297</v>
      </c>
      <c r="P1491" t="s">
        <v>5913</v>
      </c>
      <c r="Q1491" t="s">
        <v>13671</v>
      </c>
      <c r="R1491" t="s">
        <v>6036</v>
      </c>
      <c r="S1491" s="3">
        <v>43287</v>
      </c>
      <c r="T1491" t="s">
        <v>9938</v>
      </c>
      <c r="U1491" t="s">
        <v>5935</v>
      </c>
      <c r="V1491" t="s">
        <v>6956</v>
      </c>
      <c r="W1491" t="s">
        <v>5857</v>
      </c>
      <c r="X1491" s="2">
        <v>40</v>
      </c>
      <c r="Y1491" t="s">
        <v>5858</v>
      </c>
      <c r="Z1491" t="s">
        <v>6037</v>
      </c>
      <c r="AA1491" s="2">
        <v>75</v>
      </c>
      <c r="AB1491" t="s">
        <v>5863</v>
      </c>
      <c r="AC1491" t="s">
        <v>9974</v>
      </c>
      <c r="AD1491" s="32">
        <v>43279</v>
      </c>
      <c r="AJ1491" t="s">
        <v>9959</v>
      </c>
      <c r="AL1491" t="s">
        <v>14307</v>
      </c>
    </row>
    <row r="1492" spans="1:38">
      <c r="A1492" t="s">
        <v>9637</v>
      </c>
      <c r="B1492" t="s">
        <v>12687</v>
      </c>
      <c r="C1492" t="s">
        <v>9674</v>
      </c>
      <c r="D1492" t="s">
        <v>9675</v>
      </c>
      <c r="E1492" s="2">
        <v>40</v>
      </c>
      <c r="F1492" s="2">
        <v>140</v>
      </c>
      <c r="G1492" s="3">
        <v>43295</v>
      </c>
      <c r="H1492" s="4">
        <v>0.15103009259259001</v>
      </c>
      <c r="I1492" s="3">
        <v>43295</v>
      </c>
      <c r="J1492" s="4">
        <v>0.29686342592593001</v>
      </c>
      <c r="K1492" s="2">
        <v>0</v>
      </c>
      <c r="L1492" t="s">
        <v>5856</v>
      </c>
      <c r="M1492" t="s">
        <v>9639</v>
      </c>
      <c r="N1492" s="3">
        <v>43298</v>
      </c>
      <c r="O1492" s="3">
        <v>43297</v>
      </c>
      <c r="P1492" t="s">
        <v>5960</v>
      </c>
      <c r="Q1492" t="s">
        <v>6038</v>
      </c>
      <c r="R1492" t="s">
        <v>6039</v>
      </c>
      <c r="S1492" s="3"/>
      <c r="T1492" t="s">
        <v>9938</v>
      </c>
      <c r="U1492" t="s">
        <v>5917</v>
      </c>
      <c r="V1492" t="s">
        <v>9676</v>
      </c>
      <c r="W1492" t="s">
        <v>5857</v>
      </c>
      <c r="X1492" s="2">
        <v>40</v>
      </c>
      <c r="Y1492" t="s">
        <v>5858</v>
      </c>
      <c r="Z1492" t="s">
        <v>6037</v>
      </c>
      <c r="AA1492" s="2">
        <v>0</v>
      </c>
      <c r="AB1492" t="s">
        <v>5859</v>
      </c>
      <c r="AC1492" t="s">
        <v>9976</v>
      </c>
      <c r="AD1492" s="32">
        <v>43277</v>
      </c>
      <c r="AJ1492" t="s">
        <v>9958</v>
      </c>
      <c r="AL1492" t="s">
        <v>14308</v>
      </c>
    </row>
    <row r="1493" spans="1:38">
      <c r="A1493" t="s">
        <v>9637</v>
      </c>
      <c r="B1493" t="s">
        <v>12715</v>
      </c>
      <c r="C1493" t="s">
        <v>7071</v>
      </c>
      <c r="D1493" t="s">
        <v>7072</v>
      </c>
      <c r="E1493" s="2">
        <v>100</v>
      </c>
      <c r="F1493" s="2">
        <v>100</v>
      </c>
      <c r="G1493" s="3">
        <v>43295</v>
      </c>
      <c r="H1493" s="4">
        <v>0.31769675925926</v>
      </c>
      <c r="I1493" s="3">
        <v>43295</v>
      </c>
      <c r="J1493" s="4">
        <v>0.42186342592593001</v>
      </c>
      <c r="K1493" s="2">
        <v>0</v>
      </c>
      <c r="L1493" t="s">
        <v>5856</v>
      </c>
      <c r="M1493" t="s">
        <v>6984</v>
      </c>
      <c r="N1493" s="3">
        <v>43293</v>
      </c>
      <c r="O1493" s="3">
        <v>43297</v>
      </c>
      <c r="P1493" t="s">
        <v>6868</v>
      </c>
      <c r="Q1493" t="s">
        <v>9787</v>
      </c>
      <c r="R1493" t="s">
        <v>6036</v>
      </c>
      <c r="S1493" s="3">
        <v>43293</v>
      </c>
      <c r="T1493" t="s">
        <v>9938</v>
      </c>
      <c r="U1493" t="s">
        <v>5917</v>
      </c>
      <c r="V1493" t="s">
        <v>7074</v>
      </c>
      <c r="W1493" t="s">
        <v>6038</v>
      </c>
      <c r="X1493" s="2">
        <v>40</v>
      </c>
      <c r="Y1493" t="s">
        <v>5858</v>
      </c>
      <c r="Z1493" t="s">
        <v>6037</v>
      </c>
      <c r="AA1493" s="2">
        <v>100</v>
      </c>
      <c r="AB1493" t="s">
        <v>5863</v>
      </c>
      <c r="AC1493" t="s">
        <v>9976</v>
      </c>
      <c r="AD1493" s="32">
        <v>43248</v>
      </c>
      <c r="AJ1493" t="s">
        <v>9958</v>
      </c>
      <c r="AL1493" t="s">
        <v>11496</v>
      </c>
    </row>
    <row r="1494" spans="1:38">
      <c r="A1494" t="s">
        <v>9637</v>
      </c>
      <c r="B1494" t="s">
        <v>12682</v>
      </c>
      <c r="C1494" t="s">
        <v>7320</v>
      </c>
      <c r="D1494" t="s">
        <v>7321</v>
      </c>
      <c r="E1494" s="2">
        <v>70</v>
      </c>
      <c r="F1494" s="2">
        <v>70</v>
      </c>
      <c r="G1494" s="3">
        <v>43295</v>
      </c>
      <c r="H1494" s="4">
        <v>0.44269675925926</v>
      </c>
      <c r="I1494" s="3">
        <v>43295</v>
      </c>
      <c r="J1494" s="4">
        <v>0.51561342592592996</v>
      </c>
      <c r="K1494" s="2">
        <v>4</v>
      </c>
      <c r="L1494" t="s">
        <v>5856</v>
      </c>
      <c r="M1494" t="s">
        <v>6923</v>
      </c>
      <c r="N1494" s="3">
        <v>43280</v>
      </c>
      <c r="O1494" s="3">
        <v>43297</v>
      </c>
      <c r="P1494" t="s">
        <v>7323</v>
      </c>
      <c r="Q1494" t="s">
        <v>6038</v>
      </c>
      <c r="R1494" t="s">
        <v>6039</v>
      </c>
      <c r="S1494" s="3"/>
      <c r="T1494" t="s">
        <v>9938</v>
      </c>
      <c r="U1494" t="s">
        <v>7324</v>
      </c>
      <c r="V1494" t="s">
        <v>7325</v>
      </c>
      <c r="W1494" t="s">
        <v>5857</v>
      </c>
      <c r="X1494" s="2">
        <v>40</v>
      </c>
      <c r="Y1494" t="s">
        <v>5858</v>
      </c>
      <c r="Z1494" t="s">
        <v>6037</v>
      </c>
      <c r="AA1494" s="2">
        <v>50</v>
      </c>
      <c r="AB1494" t="s">
        <v>5863</v>
      </c>
      <c r="AC1494" t="s">
        <v>9974</v>
      </c>
      <c r="AD1494" s="32">
        <v>43279</v>
      </c>
      <c r="AJ1494" t="s">
        <v>9959</v>
      </c>
      <c r="AL1494" t="s">
        <v>11471</v>
      </c>
    </row>
    <row r="1495" spans="1:38">
      <c r="A1495" t="s">
        <v>9637</v>
      </c>
      <c r="B1495" t="s">
        <v>12688</v>
      </c>
      <c r="C1495" t="s">
        <v>9701</v>
      </c>
      <c r="D1495" t="s">
        <v>9702</v>
      </c>
      <c r="E1495" s="2">
        <v>70</v>
      </c>
      <c r="F1495" s="2">
        <v>70</v>
      </c>
      <c r="G1495" s="3">
        <v>43296</v>
      </c>
      <c r="H1495" s="4">
        <v>0.703125</v>
      </c>
      <c r="I1495" s="3">
        <v>43296</v>
      </c>
      <c r="J1495" s="4">
        <v>0.77604166666666996</v>
      </c>
      <c r="K1495" s="2">
        <v>0</v>
      </c>
      <c r="L1495" t="s">
        <v>5856</v>
      </c>
      <c r="M1495" t="s">
        <v>6923</v>
      </c>
      <c r="N1495" s="3">
        <v>43299</v>
      </c>
      <c r="O1495" s="3">
        <v>43298</v>
      </c>
      <c r="P1495" t="s">
        <v>6026</v>
      </c>
      <c r="Q1495" t="s">
        <v>9703</v>
      </c>
      <c r="R1495" t="s">
        <v>6036</v>
      </c>
      <c r="S1495" s="3">
        <v>43299</v>
      </c>
      <c r="T1495" t="s">
        <v>9938</v>
      </c>
      <c r="U1495" t="s">
        <v>7127</v>
      </c>
      <c r="V1495" t="s">
        <v>6041</v>
      </c>
      <c r="W1495" t="s">
        <v>5857</v>
      </c>
      <c r="X1495" s="2">
        <v>40</v>
      </c>
      <c r="Y1495" t="s">
        <v>5858</v>
      </c>
      <c r="Z1495" t="s">
        <v>6037</v>
      </c>
      <c r="AA1495" s="2">
        <v>50</v>
      </c>
      <c r="AB1495" t="s">
        <v>5863</v>
      </c>
      <c r="AC1495" t="s">
        <v>9976</v>
      </c>
      <c r="AD1495" s="32">
        <v>43278</v>
      </c>
      <c r="AJ1495" t="s">
        <v>9958</v>
      </c>
      <c r="AL1495" t="s">
        <v>14309</v>
      </c>
    </row>
    <row r="1496" spans="1:38">
      <c r="A1496" t="s">
        <v>9637</v>
      </c>
      <c r="B1496" t="s">
        <v>13672</v>
      </c>
      <c r="C1496" t="s">
        <v>7047</v>
      </c>
      <c r="D1496" t="s">
        <v>7048</v>
      </c>
      <c r="E1496" s="2">
        <v>280</v>
      </c>
      <c r="F1496" s="2">
        <v>280</v>
      </c>
      <c r="G1496" s="3">
        <v>43296</v>
      </c>
      <c r="H1496" s="4">
        <v>0.73394675925926001</v>
      </c>
      <c r="I1496" s="3">
        <v>43297</v>
      </c>
      <c r="J1496" s="4">
        <v>2.5613425925930002E-2</v>
      </c>
      <c r="K1496" s="2">
        <v>0</v>
      </c>
      <c r="L1496" t="s">
        <v>5856</v>
      </c>
      <c r="M1496" t="s">
        <v>9512</v>
      </c>
      <c r="N1496" s="3">
        <v>43292</v>
      </c>
      <c r="O1496" s="3">
        <v>43299</v>
      </c>
      <c r="P1496" t="s">
        <v>5960</v>
      </c>
      <c r="Q1496" t="s">
        <v>7049</v>
      </c>
      <c r="R1496" t="s">
        <v>6036</v>
      </c>
      <c r="S1496" s="3">
        <v>43293</v>
      </c>
      <c r="T1496" t="s">
        <v>9938</v>
      </c>
      <c r="U1496" t="s">
        <v>7050</v>
      </c>
      <c r="V1496" t="s">
        <v>7051</v>
      </c>
      <c r="W1496" t="s">
        <v>5857</v>
      </c>
      <c r="X1496" s="2">
        <v>40</v>
      </c>
      <c r="Y1496" t="s">
        <v>5858</v>
      </c>
      <c r="Z1496" t="s">
        <v>6037</v>
      </c>
      <c r="AA1496" s="2">
        <v>200</v>
      </c>
      <c r="AB1496" t="s">
        <v>5863</v>
      </c>
      <c r="AC1496" t="s">
        <v>9976</v>
      </c>
      <c r="AD1496" s="32">
        <v>43280</v>
      </c>
      <c r="AJ1496" t="s">
        <v>9958</v>
      </c>
      <c r="AL1496" t="s">
        <v>14310</v>
      </c>
    </row>
    <row r="1497" spans="1:38">
      <c r="A1497" t="s">
        <v>9637</v>
      </c>
      <c r="B1497" t="s">
        <v>12689</v>
      </c>
      <c r="C1497" t="s">
        <v>9701</v>
      </c>
      <c r="D1497" t="s">
        <v>9702</v>
      </c>
      <c r="E1497" s="2">
        <v>70</v>
      </c>
      <c r="F1497" s="2">
        <v>70</v>
      </c>
      <c r="G1497" s="3">
        <v>43296</v>
      </c>
      <c r="H1497" s="4">
        <v>0.83333333333333004</v>
      </c>
      <c r="I1497" s="3">
        <v>43296</v>
      </c>
      <c r="J1497" s="4">
        <v>0.90625</v>
      </c>
      <c r="K1497" s="2">
        <v>0</v>
      </c>
      <c r="L1497" t="s">
        <v>5856</v>
      </c>
      <c r="M1497" t="s">
        <v>6923</v>
      </c>
      <c r="N1497" s="3">
        <v>43299</v>
      </c>
      <c r="O1497" s="3">
        <v>43298</v>
      </c>
      <c r="P1497" t="s">
        <v>6026</v>
      </c>
      <c r="Q1497" t="s">
        <v>9704</v>
      </c>
      <c r="R1497" t="s">
        <v>6036</v>
      </c>
      <c r="S1497" s="3">
        <v>43299</v>
      </c>
      <c r="T1497" t="s">
        <v>9938</v>
      </c>
      <c r="U1497" t="s">
        <v>7127</v>
      </c>
      <c r="V1497" t="s">
        <v>6041</v>
      </c>
      <c r="W1497" t="s">
        <v>5857</v>
      </c>
      <c r="X1497" s="2">
        <v>40</v>
      </c>
      <c r="Y1497" t="s">
        <v>5858</v>
      </c>
      <c r="Z1497" t="s">
        <v>6037</v>
      </c>
      <c r="AA1497" s="2">
        <v>50</v>
      </c>
      <c r="AB1497" t="s">
        <v>5863</v>
      </c>
      <c r="AC1497" t="s">
        <v>9976</v>
      </c>
      <c r="AD1497" s="32">
        <v>43278</v>
      </c>
      <c r="AJ1497" t="s">
        <v>9958</v>
      </c>
      <c r="AL1497" t="s">
        <v>11474</v>
      </c>
    </row>
    <row r="1498" spans="1:38">
      <c r="A1498" t="s">
        <v>9637</v>
      </c>
      <c r="B1498" t="s">
        <v>12690</v>
      </c>
      <c r="C1498" t="s">
        <v>9701</v>
      </c>
      <c r="D1498" t="s">
        <v>9702</v>
      </c>
      <c r="E1498" s="2">
        <v>70</v>
      </c>
      <c r="F1498" s="2">
        <v>70</v>
      </c>
      <c r="G1498" s="3">
        <v>43296</v>
      </c>
      <c r="H1498" s="4">
        <v>0.92708333333333004</v>
      </c>
      <c r="I1498" s="3">
        <v>43297</v>
      </c>
      <c r="J1498" s="4">
        <v>0</v>
      </c>
      <c r="K1498" s="2">
        <v>0</v>
      </c>
      <c r="L1498" t="s">
        <v>5856</v>
      </c>
      <c r="M1498" t="s">
        <v>6923</v>
      </c>
      <c r="N1498" s="3">
        <v>43299</v>
      </c>
      <c r="O1498" s="3">
        <v>43298</v>
      </c>
      <c r="P1498" t="s">
        <v>6026</v>
      </c>
      <c r="Q1498" t="s">
        <v>9705</v>
      </c>
      <c r="R1498" t="s">
        <v>6036</v>
      </c>
      <c r="S1498" s="3">
        <v>43299</v>
      </c>
      <c r="T1498" t="s">
        <v>9938</v>
      </c>
      <c r="U1498" t="s">
        <v>7127</v>
      </c>
      <c r="V1498" t="s">
        <v>6041</v>
      </c>
      <c r="W1498" t="s">
        <v>5857</v>
      </c>
      <c r="X1498" s="2">
        <v>40</v>
      </c>
      <c r="Y1498" t="s">
        <v>5858</v>
      </c>
      <c r="Z1498" t="s">
        <v>6037</v>
      </c>
      <c r="AA1498" s="2">
        <v>50</v>
      </c>
      <c r="AB1498" t="s">
        <v>5863</v>
      </c>
      <c r="AC1498" t="s">
        <v>9976</v>
      </c>
      <c r="AD1498" s="32">
        <v>43278</v>
      </c>
      <c r="AJ1498" t="s">
        <v>9958</v>
      </c>
      <c r="AL1498" t="s">
        <v>11475</v>
      </c>
    </row>
    <row r="1499" spans="1:38">
      <c r="A1499" t="s">
        <v>9637</v>
      </c>
      <c r="B1499" t="s">
        <v>12646</v>
      </c>
      <c r="C1499" t="s">
        <v>9585</v>
      </c>
      <c r="D1499" t="s">
        <v>9586</v>
      </c>
      <c r="E1499" s="2">
        <v>150</v>
      </c>
      <c r="F1499" s="2">
        <v>150</v>
      </c>
      <c r="G1499" s="3">
        <v>43297</v>
      </c>
      <c r="H1499" s="4">
        <v>0.31526620370370001</v>
      </c>
      <c r="I1499" s="3">
        <v>43297</v>
      </c>
      <c r="J1499" s="4">
        <v>0.47151620370370001</v>
      </c>
      <c r="K1499" s="2">
        <v>0</v>
      </c>
      <c r="L1499" t="s">
        <v>5856</v>
      </c>
      <c r="M1499" t="s">
        <v>7920</v>
      </c>
      <c r="N1499" s="3">
        <v>43297</v>
      </c>
      <c r="O1499" s="3">
        <v>43304</v>
      </c>
      <c r="P1499" t="s">
        <v>9587</v>
      </c>
      <c r="Q1499" t="s">
        <v>9588</v>
      </c>
      <c r="R1499" t="s">
        <v>6036</v>
      </c>
      <c r="S1499" s="3">
        <v>43297</v>
      </c>
      <c r="T1499" t="s">
        <v>9938</v>
      </c>
      <c r="U1499" t="s">
        <v>6093</v>
      </c>
      <c r="V1499" t="s">
        <v>9589</v>
      </c>
      <c r="W1499" t="s">
        <v>6038</v>
      </c>
      <c r="X1499" s="2">
        <v>40</v>
      </c>
      <c r="Y1499" t="s">
        <v>5858</v>
      </c>
      <c r="Z1499" t="s">
        <v>6037</v>
      </c>
      <c r="AA1499" s="2">
        <v>150</v>
      </c>
      <c r="AB1499" t="s">
        <v>5863</v>
      </c>
      <c r="AC1499" t="s">
        <v>9974</v>
      </c>
      <c r="AD1499" s="32">
        <v>43276</v>
      </c>
      <c r="AJ1499" t="s">
        <v>9959</v>
      </c>
      <c r="AL1499" t="s">
        <v>14311</v>
      </c>
    </row>
    <row r="1500" spans="1:38">
      <c r="A1500" t="s">
        <v>9637</v>
      </c>
      <c r="B1500" t="s">
        <v>13673</v>
      </c>
      <c r="C1500" t="s">
        <v>7087</v>
      </c>
      <c r="D1500" t="s">
        <v>7088</v>
      </c>
      <c r="E1500" s="2">
        <v>100</v>
      </c>
      <c r="F1500" s="2">
        <v>100</v>
      </c>
      <c r="G1500" s="3">
        <v>43297</v>
      </c>
      <c r="H1500" s="4">
        <v>0.64583333333333004</v>
      </c>
      <c r="I1500" s="3">
        <v>43297</v>
      </c>
      <c r="J1500" s="4">
        <v>0.75</v>
      </c>
      <c r="K1500" s="2">
        <v>0</v>
      </c>
      <c r="L1500" t="s">
        <v>5856</v>
      </c>
      <c r="M1500" t="s">
        <v>6984</v>
      </c>
      <c r="N1500" s="3">
        <v>43300</v>
      </c>
      <c r="O1500" s="3">
        <v>43299</v>
      </c>
      <c r="P1500" t="s">
        <v>7090</v>
      </c>
      <c r="Q1500" t="s">
        <v>13674</v>
      </c>
      <c r="R1500" t="s">
        <v>6036</v>
      </c>
      <c r="S1500" s="3">
        <v>43300</v>
      </c>
      <c r="T1500" t="s">
        <v>9938</v>
      </c>
      <c r="U1500" t="s">
        <v>7046</v>
      </c>
      <c r="V1500" t="s">
        <v>7091</v>
      </c>
      <c r="W1500" t="s">
        <v>5857</v>
      </c>
      <c r="X1500" s="2">
        <v>40</v>
      </c>
      <c r="Y1500" t="s">
        <v>5858</v>
      </c>
      <c r="Z1500" t="s">
        <v>6037</v>
      </c>
      <c r="AA1500" s="2">
        <v>100</v>
      </c>
      <c r="AB1500" t="s">
        <v>5863</v>
      </c>
      <c r="AC1500" t="s">
        <v>9976</v>
      </c>
      <c r="AD1500" s="32">
        <v>43279</v>
      </c>
      <c r="AJ1500" t="s">
        <v>9958</v>
      </c>
      <c r="AL1500" t="s">
        <v>14312</v>
      </c>
    </row>
    <row r="1501" spans="1:38">
      <c r="A1501" t="s">
        <v>9637</v>
      </c>
      <c r="B1501" t="s">
        <v>13675</v>
      </c>
      <c r="C1501" t="s">
        <v>7092</v>
      </c>
      <c r="D1501" t="s">
        <v>7093</v>
      </c>
      <c r="E1501" s="2">
        <v>100</v>
      </c>
      <c r="F1501" s="2">
        <v>100</v>
      </c>
      <c r="G1501" s="3">
        <v>43297</v>
      </c>
      <c r="H1501" s="4">
        <v>0.77083333333333004</v>
      </c>
      <c r="I1501" s="3">
        <v>43297</v>
      </c>
      <c r="J1501" s="4">
        <v>0.875</v>
      </c>
      <c r="K1501" s="2">
        <v>0</v>
      </c>
      <c r="L1501" t="s">
        <v>5856</v>
      </c>
      <c r="M1501" t="s">
        <v>6984</v>
      </c>
      <c r="N1501" s="3">
        <v>43300</v>
      </c>
      <c r="O1501" s="3">
        <v>43299</v>
      </c>
      <c r="P1501" t="s">
        <v>7094</v>
      </c>
      <c r="Q1501" t="s">
        <v>13676</v>
      </c>
      <c r="R1501" t="s">
        <v>6036</v>
      </c>
      <c r="S1501" s="3">
        <v>43300</v>
      </c>
      <c r="T1501" t="s">
        <v>9938</v>
      </c>
      <c r="U1501" t="s">
        <v>5961</v>
      </c>
      <c r="V1501" t="s">
        <v>7095</v>
      </c>
      <c r="W1501" t="s">
        <v>6038</v>
      </c>
      <c r="X1501" s="2">
        <v>40</v>
      </c>
      <c r="Y1501" t="s">
        <v>5858</v>
      </c>
      <c r="Z1501" t="s">
        <v>6037</v>
      </c>
      <c r="AA1501" s="2">
        <v>100</v>
      </c>
      <c r="AB1501" t="s">
        <v>5863</v>
      </c>
      <c r="AC1501" t="s">
        <v>9976</v>
      </c>
      <c r="AD1501" s="32">
        <v>43279</v>
      </c>
      <c r="AJ1501" t="s">
        <v>9958</v>
      </c>
      <c r="AL1501" t="s">
        <v>14313</v>
      </c>
    </row>
    <row r="1502" spans="1:38">
      <c r="A1502" t="s">
        <v>9637</v>
      </c>
      <c r="B1502" t="s">
        <v>12647</v>
      </c>
      <c r="C1502" t="s">
        <v>7092</v>
      </c>
      <c r="D1502" t="s">
        <v>7093</v>
      </c>
      <c r="E1502" s="2">
        <v>100</v>
      </c>
      <c r="F1502" s="2">
        <v>100</v>
      </c>
      <c r="G1502" s="3">
        <v>43297</v>
      </c>
      <c r="H1502" s="4">
        <v>0.87359953703703996</v>
      </c>
      <c r="I1502" s="3">
        <v>43297</v>
      </c>
      <c r="J1502" s="4">
        <v>0.97776620370370004</v>
      </c>
      <c r="K1502" s="2">
        <v>0</v>
      </c>
      <c r="L1502" t="s">
        <v>5856</v>
      </c>
      <c r="M1502" t="s">
        <v>6984</v>
      </c>
      <c r="N1502" s="3">
        <v>43293</v>
      </c>
      <c r="O1502" s="3">
        <v>43299</v>
      </c>
      <c r="P1502" t="s">
        <v>7094</v>
      </c>
      <c r="Q1502" t="s">
        <v>9594</v>
      </c>
      <c r="R1502" t="s">
        <v>6036</v>
      </c>
      <c r="S1502" s="3">
        <v>43293</v>
      </c>
      <c r="T1502" t="s">
        <v>9938</v>
      </c>
      <c r="U1502" t="s">
        <v>5961</v>
      </c>
      <c r="V1502" t="s">
        <v>7095</v>
      </c>
      <c r="W1502" t="s">
        <v>6038</v>
      </c>
      <c r="X1502" s="2">
        <v>40</v>
      </c>
      <c r="Y1502" t="s">
        <v>5858</v>
      </c>
      <c r="Z1502" t="s">
        <v>6037</v>
      </c>
      <c r="AA1502" s="2">
        <v>100</v>
      </c>
      <c r="AB1502" t="s">
        <v>5863</v>
      </c>
      <c r="AC1502" t="s">
        <v>9976</v>
      </c>
      <c r="AD1502" s="32">
        <v>43248</v>
      </c>
      <c r="AJ1502" t="s">
        <v>9958</v>
      </c>
      <c r="AL1502" t="s">
        <v>11446</v>
      </c>
    </row>
    <row r="1503" spans="1:38">
      <c r="A1503" t="s">
        <v>9637</v>
      </c>
      <c r="B1503" t="s">
        <v>12691</v>
      </c>
      <c r="C1503" t="s">
        <v>9706</v>
      </c>
      <c r="D1503" t="s">
        <v>9707</v>
      </c>
      <c r="E1503" s="2">
        <v>100</v>
      </c>
      <c r="F1503" s="2">
        <v>100</v>
      </c>
      <c r="G1503" s="3">
        <v>43297</v>
      </c>
      <c r="H1503" s="4">
        <v>0.89583333333333004</v>
      </c>
      <c r="I1503" s="3">
        <v>43298</v>
      </c>
      <c r="J1503" s="4">
        <v>0</v>
      </c>
      <c r="K1503" s="2">
        <v>20</v>
      </c>
      <c r="L1503" t="s">
        <v>5856</v>
      </c>
      <c r="M1503" t="s">
        <v>6984</v>
      </c>
      <c r="N1503" s="3">
        <v>43300</v>
      </c>
      <c r="O1503" s="3">
        <v>43299</v>
      </c>
      <c r="P1503" t="s">
        <v>5911</v>
      </c>
      <c r="Q1503" t="s">
        <v>9708</v>
      </c>
      <c r="R1503" t="s">
        <v>6036</v>
      </c>
      <c r="S1503" s="3">
        <v>43300</v>
      </c>
      <c r="T1503" t="s">
        <v>9938</v>
      </c>
      <c r="U1503" t="s">
        <v>6052</v>
      </c>
      <c r="V1503" t="s">
        <v>9709</v>
      </c>
      <c r="W1503" t="s">
        <v>5857</v>
      </c>
      <c r="X1503" s="2">
        <v>40</v>
      </c>
      <c r="Y1503" t="s">
        <v>5858</v>
      </c>
      <c r="Z1503" t="s">
        <v>6037</v>
      </c>
      <c r="AA1503" s="2">
        <v>100</v>
      </c>
      <c r="AB1503" t="s">
        <v>5863</v>
      </c>
      <c r="AC1503" t="s">
        <v>9974</v>
      </c>
      <c r="AD1503" s="32">
        <v>43272</v>
      </c>
      <c r="AJ1503" t="s">
        <v>9958</v>
      </c>
      <c r="AL1503" t="s">
        <v>11476</v>
      </c>
    </row>
    <row r="1504" spans="1:38">
      <c r="A1504" t="s">
        <v>9637</v>
      </c>
      <c r="B1504" t="s">
        <v>12692</v>
      </c>
      <c r="C1504" t="s">
        <v>9710</v>
      </c>
      <c r="D1504" t="s">
        <v>9711</v>
      </c>
      <c r="E1504" s="2">
        <v>100</v>
      </c>
      <c r="F1504" s="2">
        <v>100</v>
      </c>
      <c r="G1504" s="3">
        <v>43298</v>
      </c>
      <c r="H1504" s="4">
        <v>3.819444444444E-2</v>
      </c>
      <c r="I1504" s="3">
        <v>43298</v>
      </c>
      <c r="J1504" s="4">
        <v>0.14236111111110999</v>
      </c>
      <c r="K1504" s="2">
        <v>20</v>
      </c>
      <c r="L1504" t="s">
        <v>5856</v>
      </c>
      <c r="M1504" t="s">
        <v>6984</v>
      </c>
      <c r="N1504" s="3">
        <v>43301</v>
      </c>
      <c r="O1504" s="3">
        <v>43300</v>
      </c>
      <c r="P1504" t="s">
        <v>5971</v>
      </c>
      <c r="Q1504" t="s">
        <v>9712</v>
      </c>
      <c r="R1504" t="s">
        <v>6036</v>
      </c>
      <c r="S1504" s="3">
        <v>43301</v>
      </c>
      <c r="T1504" t="s">
        <v>9938</v>
      </c>
      <c r="U1504" t="s">
        <v>6052</v>
      </c>
      <c r="V1504" t="s">
        <v>9713</v>
      </c>
      <c r="W1504" t="s">
        <v>5857</v>
      </c>
      <c r="X1504" s="2">
        <v>40</v>
      </c>
      <c r="Y1504" t="s">
        <v>5858</v>
      </c>
      <c r="Z1504" t="s">
        <v>6037</v>
      </c>
      <c r="AA1504" s="2">
        <v>100</v>
      </c>
      <c r="AB1504" t="s">
        <v>5863</v>
      </c>
      <c r="AC1504" t="s">
        <v>9974</v>
      </c>
      <c r="AD1504" s="32">
        <v>43273</v>
      </c>
      <c r="AJ1504" t="s">
        <v>9958</v>
      </c>
      <c r="AL1504" t="s">
        <v>11477</v>
      </c>
    </row>
    <row r="1505" spans="1:38">
      <c r="A1505" t="s">
        <v>9637</v>
      </c>
      <c r="B1505" t="s">
        <v>12693</v>
      </c>
      <c r="C1505" t="s">
        <v>9714</v>
      </c>
      <c r="D1505" t="s">
        <v>9715</v>
      </c>
      <c r="E1505" s="2">
        <v>150</v>
      </c>
      <c r="F1505" s="2">
        <v>150</v>
      </c>
      <c r="G1505" s="3">
        <v>43298</v>
      </c>
      <c r="H1505" s="4">
        <v>0.16319444444444001</v>
      </c>
      <c r="I1505" s="3">
        <v>43298</v>
      </c>
      <c r="J1505" s="4">
        <v>0.31944444444443998</v>
      </c>
      <c r="K1505" s="2">
        <v>20</v>
      </c>
      <c r="L1505" t="s">
        <v>5856</v>
      </c>
      <c r="M1505" t="s">
        <v>7920</v>
      </c>
      <c r="N1505" s="3">
        <v>43301</v>
      </c>
      <c r="O1505" s="3">
        <v>43300</v>
      </c>
      <c r="P1505" t="s">
        <v>5862</v>
      </c>
      <c r="Q1505" t="s">
        <v>9716</v>
      </c>
      <c r="R1505" t="s">
        <v>6036</v>
      </c>
      <c r="S1505" s="3">
        <v>43301</v>
      </c>
      <c r="T1505" t="s">
        <v>9938</v>
      </c>
      <c r="U1505" t="s">
        <v>6555</v>
      </c>
      <c r="V1505" t="s">
        <v>9717</v>
      </c>
      <c r="W1505" t="s">
        <v>5857</v>
      </c>
      <c r="X1505" s="2">
        <v>40</v>
      </c>
      <c r="Y1505" t="s">
        <v>5858</v>
      </c>
      <c r="Z1505" t="s">
        <v>6037</v>
      </c>
      <c r="AA1505" s="2">
        <v>150</v>
      </c>
      <c r="AB1505" t="s">
        <v>5863</v>
      </c>
      <c r="AC1505" t="s">
        <v>9978</v>
      </c>
      <c r="AD1505" s="32">
        <v>43273</v>
      </c>
      <c r="AJ1505" t="s">
        <v>9958</v>
      </c>
      <c r="AL1505" t="s">
        <v>11478</v>
      </c>
    </row>
    <row r="1506" spans="1:38">
      <c r="A1506" t="s">
        <v>9637</v>
      </c>
      <c r="B1506" t="s">
        <v>12694</v>
      </c>
      <c r="C1506" t="s">
        <v>9718</v>
      </c>
      <c r="D1506" t="s">
        <v>9719</v>
      </c>
      <c r="E1506" s="2">
        <v>500</v>
      </c>
      <c r="F1506" s="2">
        <v>500</v>
      </c>
      <c r="G1506" s="3">
        <v>43298</v>
      </c>
      <c r="H1506" s="4">
        <v>0.34027777777778001</v>
      </c>
      <c r="I1506" s="3">
        <v>43298</v>
      </c>
      <c r="J1506" s="4">
        <v>0.86111111111111005</v>
      </c>
      <c r="K1506" s="2">
        <v>20</v>
      </c>
      <c r="L1506" t="s">
        <v>5856</v>
      </c>
      <c r="M1506" t="s">
        <v>9720</v>
      </c>
      <c r="N1506" s="3">
        <v>43301</v>
      </c>
      <c r="O1506" s="3">
        <v>43300</v>
      </c>
      <c r="P1506" t="s">
        <v>6026</v>
      </c>
      <c r="Q1506" t="s">
        <v>9721</v>
      </c>
      <c r="R1506" t="s">
        <v>6036</v>
      </c>
      <c r="S1506" s="3">
        <v>43301</v>
      </c>
      <c r="T1506" t="s">
        <v>9938</v>
      </c>
      <c r="U1506" t="s">
        <v>5961</v>
      </c>
      <c r="V1506" t="s">
        <v>9722</v>
      </c>
      <c r="W1506" t="s">
        <v>5857</v>
      </c>
      <c r="X1506" s="2">
        <v>40</v>
      </c>
      <c r="Y1506" t="s">
        <v>5858</v>
      </c>
      <c r="Z1506" t="s">
        <v>6037</v>
      </c>
      <c r="AA1506" s="2">
        <v>500</v>
      </c>
      <c r="AB1506" t="s">
        <v>5863</v>
      </c>
      <c r="AC1506" t="s">
        <v>9976</v>
      </c>
      <c r="AD1506" s="32">
        <v>43264</v>
      </c>
      <c r="AJ1506" t="s">
        <v>9958</v>
      </c>
      <c r="AL1506" t="s">
        <v>11479</v>
      </c>
    </row>
    <row r="1507" spans="1:38">
      <c r="A1507" t="s">
        <v>9637</v>
      </c>
      <c r="B1507" t="s">
        <v>12695</v>
      </c>
      <c r="C1507" t="s">
        <v>9723</v>
      </c>
      <c r="D1507" t="s">
        <v>9724</v>
      </c>
      <c r="E1507" s="2">
        <v>100</v>
      </c>
      <c r="F1507" s="2">
        <v>100</v>
      </c>
      <c r="G1507" s="3">
        <v>43298</v>
      </c>
      <c r="H1507" s="4">
        <v>0.89583333333333004</v>
      </c>
      <c r="I1507" s="3">
        <v>43299</v>
      </c>
      <c r="J1507" s="4">
        <v>0</v>
      </c>
      <c r="K1507" s="2">
        <v>20</v>
      </c>
      <c r="L1507" t="s">
        <v>5856</v>
      </c>
      <c r="M1507" t="s">
        <v>6984</v>
      </c>
      <c r="N1507" s="3">
        <v>43301</v>
      </c>
      <c r="O1507" s="3">
        <v>43300</v>
      </c>
      <c r="P1507" t="s">
        <v>9725</v>
      </c>
      <c r="Q1507" t="s">
        <v>9726</v>
      </c>
      <c r="R1507" t="s">
        <v>6036</v>
      </c>
      <c r="S1507" s="3">
        <v>43301</v>
      </c>
      <c r="T1507" t="s">
        <v>9938</v>
      </c>
      <c r="U1507" t="s">
        <v>5893</v>
      </c>
      <c r="V1507" t="s">
        <v>9727</v>
      </c>
      <c r="W1507" t="s">
        <v>5857</v>
      </c>
      <c r="X1507" s="2">
        <v>40</v>
      </c>
      <c r="Y1507" t="s">
        <v>5858</v>
      </c>
      <c r="Z1507" t="s">
        <v>6037</v>
      </c>
      <c r="AA1507" s="2">
        <v>100</v>
      </c>
      <c r="AB1507" t="s">
        <v>5863</v>
      </c>
      <c r="AC1507" t="s">
        <v>9978</v>
      </c>
      <c r="AD1507" s="32">
        <v>43263</v>
      </c>
      <c r="AI1507" t="s">
        <v>9943</v>
      </c>
      <c r="AJ1507" t="s">
        <v>9958</v>
      </c>
      <c r="AL1507" t="s">
        <v>11480</v>
      </c>
    </row>
    <row r="1508" spans="1:38">
      <c r="A1508" t="s">
        <v>9637</v>
      </c>
      <c r="B1508" t="s">
        <v>12471</v>
      </c>
      <c r="C1508" t="s">
        <v>8906</v>
      </c>
      <c r="D1508" t="s">
        <v>8907</v>
      </c>
      <c r="E1508" s="2">
        <v>100</v>
      </c>
      <c r="F1508" s="2">
        <v>100</v>
      </c>
      <c r="G1508" s="3">
        <v>43301</v>
      </c>
      <c r="H1508" s="4">
        <v>0.98645833333333</v>
      </c>
      <c r="I1508" s="3">
        <v>43302</v>
      </c>
      <c r="J1508" s="4">
        <v>9.0624999999999997E-2</v>
      </c>
      <c r="K1508" s="2">
        <v>0</v>
      </c>
      <c r="L1508" t="s">
        <v>5856</v>
      </c>
      <c r="M1508" t="s">
        <v>6984</v>
      </c>
      <c r="N1508" s="3">
        <v>43304</v>
      </c>
      <c r="O1508" s="3">
        <v>43304</v>
      </c>
      <c r="P1508" t="s">
        <v>6026</v>
      </c>
      <c r="Q1508" t="s">
        <v>9056</v>
      </c>
      <c r="R1508" t="s">
        <v>6036</v>
      </c>
      <c r="S1508" s="3">
        <v>43304</v>
      </c>
      <c r="T1508" t="s">
        <v>9938</v>
      </c>
      <c r="U1508" t="s">
        <v>6582</v>
      </c>
      <c r="V1508" t="s">
        <v>6825</v>
      </c>
      <c r="W1508" t="s">
        <v>5857</v>
      </c>
      <c r="X1508" s="2">
        <v>40</v>
      </c>
      <c r="Y1508" t="s">
        <v>5858</v>
      </c>
      <c r="Z1508" t="s">
        <v>6037</v>
      </c>
      <c r="AA1508" s="2">
        <v>100</v>
      </c>
      <c r="AB1508" t="s">
        <v>5863</v>
      </c>
      <c r="AC1508" t="s">
        <v>9976</v>
      </c>
      <c r="AD1508" s="32">
        <v>43277</v>
      </c>
      <c r="AJ1508" t="s">
        <v>9958</v>
      </c>
      <c r="AL1508" t="s">
        <v>14314</v>
      </c>
    </row>
    <row r="1509" spans="1:38">
      <c r="A1509" t="s">
        <v>9637</v>
      </c>
      <c r="B1509" t="s">
        <v>12696</v>
      </c>
      <c r="C1509" t="s">
        <v>9728</v>
      </c>
      <c r="D1509" t="s">
        <v>9729</v>
      </c>
      <c r="E1509" s="2">
        <v>35</v>
      </c>
      <c r="F1509" s="2">
        <v>35</v>
      </c>
      <c r="G1509" s="3">
        <v>43302</v>
      </c>
      <c r="H1509" s="4">
        <v>4.1666666666670002E-2</v>
      </c>
      <c r="I1509" s="3">
        <v>43302</v>
      </c>
      <c r="J1509" s="4">
        <v>7.8125E-2</v>
      </c>
      <c r="K1509" s="2">
        <v>0</v>
      </c>
      <c r="L1509" t="s">
        <v>5856</v>
      </c>
      <c r="M1509" t="s">
        <v>9638</v>
      </c>
      <c r="N1509" s="3">
        <v>43305</v>
      </c>
      <c r="O1509" s="3">
        <v>43304</v>
      </c>
      <c r="P1509" t="s">
        <v>5971</v>
      </c>
      <c r="Q1509" t="s">
        <v>9730</v>
      </c>
      <c r="R1509" t="s">
        <v>6036</v>
      </c>
      <c r="S1509" s="3">
        <v>43305</v>
      </c>
      <c r="T1509" t="s">
        <v>9938</v>
      </c>
      <c r="U1509" t="s">
        <v>6064</v>
      </c>
      <c r="V1509" t="s">
        <v>6041</v>
      </c>
      <c r="W1509" t="s">
        <v>5857</v>
      </c>
      <c r="X1509" s="2">
        <v>40</v>
      </c>
      <c r="Y1509" t="s">
        <v>5858</v>
      </c>
      <c r="Z1509" t="s">
        <v>6037</v>
      </c>
      <c r="AA1509" s="2">
        <v>25</v>
      </c>
      <c r="AB1509" t="s">
        <v>5863</v>
      </c>
      <c r="AC1509" t="s">
        <v>9974</v>
      </c>
      <c r="AD1509" s="32">
        <v>43278</v>
      </c>
      <c r="AI1509" t="s">
        <v>9939</v>
      </c>
      <c r="AJ1509" t="s">
        <v>9958</v>
      </c>
      <c r="AL1509" t="s">
        <v>11481</v>
      </c>
    </row>
    <row r="1510" spans="1:38">
      <c r="A1510" t="s">
        <v>9637</v>
      </c>
      <c r="B1510" t="s">
        <v>12697</v>
      </c>
      <c r="C1510" t="s">
        <v>9734</v>
      </c>
      <c r="D1510" t="s">
        <v>9735</v>
      </c>
      <c r="E1510" s="2">
        <v>100</v>
      </c>
      <c r="F1510" s="2">
        <v>100</v>
      </c>
      <c r="G1510" s="3">
        <v>43302</v>
      </c>
      <c r="H1510" s="4">
        <v>0.84895833333333004</v>
      </c>
      <c r="I1510" s="3">
        <v>43302</v>
      </c>
      <c r="J1510" s="4">
        <v>0.953125</v>
      </c>
      <c r="K1510" s="2">
        <v>0</v>
      </c>
      <c r="L1510" t="s">
        <v>5856</v>
      </c>
      <c r="M1510" t="s">
        <v>6984</v>
      </c>
      <c r="N1510" s="3">
        <v>43305</v>
      </c>
      <c r="O1510" s="3">
        <v>43304</v>
      </c>
      <c r="P1510" t="s">
        <v>5889</v>
      </c>
      <c r="Q1510" t="s">
        <v>9736</v>
      </c>
      <c r="R1510" t="s">
        <v>6036</v>
      </c>
      <c r="S1510" s="3">
        <v>43305</v>
      </c>
      <c r="T1510" t="s">
        <v>9938</v>
      </c>
      <c r="U1510" t="s">
        <v>5882</v>
      </c>
      <c r="V1510" t="s">
        <v>9737</v>
      </c>
      <c r="W1510" t="s">
        <v>5857</v>
      </c>
      <c r="X1510" s="2">
        <v>40</v>
      </c>
      <c r="Y1510" t="s">
        <v>5858</v>
      </c>
      <c r="Z1510" t="s">
        <v>6037</v>
      </c>
      <c r="AA1510" s="2">
        <v>100</v>
      </c>
      <c r="AB1510" t="s">
        <v>5863</v>
      </c>
      <c r="AC1510" t="s">
        <v>9978</v>
      </c>
      <c r="AD1510" s="32">
        <v>43268</v>
      </c>
      <c r="AJ1510" t="s">
        <v>9958</v>
      </c>
      <c r="AL1510" t="s">
        <v>11482</v>
      </c>
    </row>
    <row r="1511" spans="1:38">
      <c r="A1511" t="s">
        <v>9637</v>
      </c>
      <c r="B1511" t="s">
        <v>12698</v>
      </c>
      <c r="C1511" t="s">
        <v>9738</v>
      </c>
      <c r="D1511" t="s">
        <v>9739</v>
      </c>
      <c r="E1511" s="2">
        <v>25</v>
      </c>
      <c r="F1511" s="2">
        <v>25</v>
      </c>
      <c r="G1511" s="3">
        <v>43302</v>
      </c>
      <c r="H1511" s="4">
        <v>0.97395833333333004</v>
      </c>
      <c r="I1511" s="3">
        <v>43303</v>
      </c>
      <c r="J1511" s="4">
        <v>0</v>
      </c>
      <c r="K1511" s="2">
        <v>20</v>
      </c>
      <c r="L1511" t="s">
        <v>5856</v>
      </c>
      <c r="M1511" t="s">
        <v>9659</v>
      </c>
      <c r="N1511" s="3">
        <v>43305</v>
      </c>
      <c r="O1511" s="3">
        <v>43304</v>
      </c>
      <c r="P1511" t="s">
        <v>7780</v>
      </c>
      <c r="Q1511" t="s">
        <v>9740</v>
      </c>
      <c r="R1511" t="s">
        <v>6036</v>
      </c>
      <c r="S1511" s="3">
        <v>43305</v>
      </c>
      <c r="T1511" t="s">
        <v>9938</v>
      </c>
      <c r="U1511" t="s">
        <v>9741</v>
      </c>
      <c r="V1511" t="s">
        <v>9742</v>
      </c>
      <c r="W1511" t="s">
        <v>5857</v>
      </c>
      <c r="X1511" s="2">
        <v>40</v>
      </c>
      <c r="Y1511" t="s">
        <v>5858</v>
      </c>
      <c r="Z1511" t="s">
        <v>6037</v>
      </c>
      <c r="AA1511" s="2">
        <v>25</v>
      </c>
      <c r="AB1511" t="s">
        <v>5863</v>
      </c>
      <c r="AC1511" t="s">
        <v>9981</v>
      </c>
      <c r="AD1511" s="32">
        <v>43257</v>
      </c>
      <c r="AJ1511" t="s">
        <v>9958</v>
      </c>
      <c r="AL1511" t="s">
        <v>11483</v>
      </c>
    </row>
    <row r="1512" spans="1:38">
      <c r="A1512" t="s">
        <v>9637</v>
      </c>
      <c r="B1512" t="s">
        <v>12699</v>
      </c>
      <c r="C1512" t="s">
        <v>9743</v>
      </c>
      <c r="D1512" t="s">
        <v>9744</v>
      </c>
      <c r="E1512" s="2">
        <v>100</v>
      </c>
      <c r="F1512" s="2">
        <v>100</v>
      </c>
      <c r="G1512" s="3">
        <v>43304</v>
      </c>
      <c r="H1512" s="4">
        <v>0.89583333333333004</v>
      </c>
      <c r="I1512" s="3">
        <v>43305</v>
      </c>
      <c r="J1512" s="4">
        <v>0</v>
      </c>
      <c r="K1512" s="2">
        <v>0</v>
      </c>
      <c r="L1512" t="s">
        <v>5856</v>
      </c>
      <c r="M1512" t="s">
        <v>6984</v>
      </c>
      <c r="N1512" s="3">
        <v>43307</v>
      </c>
      <c r="O1512" s="3">
        <v>43306</v>
      </c>
      <c r="P1512" t="s">
        <v>5911</v>
      </c>
      <c r="Q1512" t="s">
        <v>9745</v>
      </c>
      <c r="R1512" t="s">
        <v>6036</v>
      </c>
      <c r="S1512" s="3">
        <v>43307</v>
      </c>
      <c r="T1512" t="s">
        <v>9938</v>
      </c>
      <c r="U1512" t="s">
        <v>6065</v>
      </c>
      <c r="V1512" t="s">
        <v>9746</v>
      </c>
      <c r="W1512" t="s">
        <v>5857</v>
      </c>
      <c r="X1512" s="2">
        <v>40</v>
      </c>
      <c r="Y1512" t="s">
        <v>5858</v>
      </c>
      <c r="Z1512" t="s">
        <v>6037</v>
      </c>
      <c r="AA1512" s="2">
        <v>100</v>
      </c>
      <c r="AB1512" t="s">
        <v>5863</v>
      </c>
      <c r="AC1512" t="s">
        <v>9974</v>
      </c>
      <c r="AD1512" s="32">
        <v>43258</v>
      </c>
      <c r="AI1512" t="s">
        <v>9949</v>
      </c>
      <c r="AJ1512" t="s">
        <v>9958</v>
      </c>
      <c r="AL1512" t="s">
        <v>11484</v>
      </c>
    </row>
    <row r="1513" spans="1:38">
      <c r="A1513" t="s">
        <v>9637</v>
      </c>
      <c r="B1513" t="s">
        <v>13677</v>
      </c>
      <c r="C1513" t="s">
        <v>13678</v>
      </c>
      <c r="D1513" t="s">
        <v>13679</v>
      </c>
      <c r="E1513" s="2">
        <v>100</v>
      </c>
      <c r="F1513" s="2">
        <v>100</v>
      </c>
      <c r="G1513" s="3">
        <v>43305</v>
      </c>
      <c r="H1513" s="4">
        <v>0.89583333333333004</v>
      </c>
      <c r="I1513" s="3">
        <v>43306</v>
      </c>
      <c r="J1513" s="4">
        <v>0</v>
      </c>
      <c r="K1513" s="2">
        <v>0</v>
      </c>
      <c r="L1513" t="s">
        <v>5856</v>
      </c>
      <c r="M1513" t="s">
        <v>6984</v>
      </c>
      <c r="N1513" s="3">
        <v>43308</v>
      </c>
      <c r="O1513" s="3">
        <v>43307</v>
      </c>
      <c r="P1513" t="s">
        <v>5889</v>
      </c>
      <c r="Q1513" t="s">
        <v>13680</v>
      </c>
      <c r="R1513" t="s">
        <v>6036</v>
      </c>
      <c r="S1513" s="3">
        <v>43308</v>
      </c>
      <c r="T1513" t="s">
        <v>9938</v>
      </c>
      <c r="U1513" t="s">
        <v>5894</v>
      </c>
      <c r="V1513" t="s">
        <v>13681</v>
      </c>
      <c r="W1513" t="s">
        <v>5857</v>
      </c>
      <c r="X1513" s="2">
        <v>40</v>
      </c>
      <c r="Y1513" t="s">
        <v>5858</v>
      </c>
      <c r="Z1513" t="s">
        <v>6037</v>
      </c>
      <c r="AA1513" s="2">
        <v>100</v>
      </c>
      <c r="AB1513" t="s">
        <v>5863</v>
      </c>
      <c r="AC1513" t="s">
        <v>9978</v>
      </c>
      <c r="AD1513" s="32">
        <v>43280</v>
      </c>
      <c r="AJ1513" t="s">
        <v>9958</v>
      </c>
      <c r="AL1513" t="s">
        <v>14315</v>
      </c>
    </row>
    <row r="1514" spans="1:38">
      <c r="A1514" t="s">
        <v>9637</v>
      </c>
      <c r="B1514" t="s">
        <v>12700</v>
      </c>
      <c r="C1514" t="s">
        <v>9747</v>
      </c>
      <c r="D1514" t="s">
        <v>9748</v>
      </c>
      <c r="E1514" s="2">
        <v>500</v>
      </c>
      <c r="F1514" s="2">
        <v>500</v>
      </c>
      <c r="G1514" s="3">
        <v>43312</v>
      </c>
      <c r="H1514" s="4">
        <v>0.47916666666667002</v>
      </c>
      <c r="I1514" s="3">
        <v>43313</v>
      </c>
      <c r="J1514" s="4">
        <v>0</v>
      </c>
      <c r="K1514" s="2">
        <v>20</v>
      </c>
      <c r="L1514" t="s">
        <v>5856</v>
      </c>
      <c r="M1514" t="s">
        <v>9720</v>
      </c>
      <c r="N1514" s="3">
        <v>43315</v>
      </c>
      <c r="O1514" s="3">
        <v>43314</v>
      </c>
      <c r="P1514" t="s">
        <v>9749</v>
      </c>
      <c r="Q1514" t="s">
        <v>9750</v>
      </c>
      <c r="R1514" t="s">
        <v>6036</v>
      </c>
      <c r="S1514" s="3">
        <v>43315</v>
      </c>
      <c r="T1514" t="s">
        <v>9938</v>
      </c>
      <c r="U1514" t="s">
        <v>6513</v>
      </c>
      <c r="V1514" t="s">
        <v>9751</v>
      </c>
      <c r="W1514" t="s">
        <v>5857</v>
      </c>
      <c r="X1514" s="2">
        <v>40</v>
      </c>
      <c r="Y1514" t="s">
        <v>5858</v>
      </c>
      <c r="Z1514" t="s">
        <v>6037</v>
      </c>
      <c r="AA1514" s="2">
        <v>500</v>
      </c>
      <c r="AB1514" t="s">
        <v>5863</v>
      </c>
      <c r="AC1514" t="s">
        <v>9974</v>
      </c>
      <c r="AD1514" s="32">
        <v>43248</v>
      </c>
      <c r="AJ1514" t="s">
        <v>9959</v>
      </c>
      <c r="AL1514" t="s">
        <v>11485</v>
      </c>
    </row>
    <row r="1515" spans="1:38">
      <c r="A1515" t="s">
        <v>9637</v>
      </c>
      <c r="B1515" t="s">
        <v>12701</v>
      </c>
      <c r="C1515" t="s">
        <v>9752</v>
      </c>
      <c r="D1515" t="s">
        <v>9753</v>
      </c>
      <c r="E1515" s="2">
        <v>35</v>
      </c>
      <c r="F1515" s="2">
        <v>35</v>
      </c>
      <c r="G1515" s="3">
        <v>43315</v>
      </c>
      <c r="H1515" s="4">
        <v>0.96353009259259004</v>
      </c>
      <c r="I1515" s="3">
        <v>43315</v>
      </c>
      <c r="J1515" s="4">
        <v>0.99998842592592996</v>
      </c>
      <c r="K1515" s="2">
        <v>0</v>
      </c>
      <c r="L1515" t="s">
        <v>5856</v>
      </c>
      <c r="M1515" t="s">
        <v>9638</v>
      </c>
      <c r="N1515" s="3"/>
      <c r="O1515" s="3">
        <v>43317</v>
      </c>
      <c r="P1515" t="s">
        <v>5862</v>
      </c>
      <c r="Q1515" t="s">
        <v>6038</v>
      </c>
      <c r="R1515" t="s">
        <v>6040</v>
      </c>
      <c r="S1515" s="3">
        <v>43313</v>
      </c>
      <c r="T1515" t="s">
        <v>9938</v>
      </c>
      <c r="U1515" t="s">
        <v>5918</v>
      </c>
      <c r="V1515" t="s">
        <v>9754</v>
      </c>
      <c r="W1515" t="s">
        <v>5857</v>
      </c>
      <c r="X1515" s="2">
        <v>0</v>
      </c>
      <c r="Y1515" t="s">
        <v>5858</v>
      </c>
      <c r="Z1515" t="s">
        <v>6037</v>
      </c>
      <c r="AA1515" s="2">
        <v>25</v>
      </c>
      <c r="AB1515" t="s">
        <v>5861</v>
      </c>
      <c r="AC1515" t="s">
        <v>9982</v>
      </c>
      <c r="AD1515" s="32"/>
      <c r="AJ1515" t="s">
        <v>9958</v>
      </c>
      <c r="AL1515" t="s">
        <v>11486</v>
      </c>
    </row>
    <row r="1516" spans="1:38">
      <c r="A1516" t="s">
        <v>9637</v>
      </c>
      <c r="B1516" t="s">
        <v>12702</v>
      </c>
      <c r="C1516" t="s">
        <v>9755</v>
      </c>
      <c r="D1516" t="s">
        <v>9756</v>
      </c>
      <c r="E1516" s="2">
        <v>490</v>
      </c>
      <c r="F1516" s="2">
        <v>490</v>
      </c>
      <c r="G1516" s="3">
        <v>43316</v>
      </c>
      <c r="H1516" s="4">
        <v>0.48958333333332998</v>
      </c>
      <c r="I1516" s="3">
        <v>43317</v>
      </c>
      <c r="J1516" s="4">
        <v>0</v>
      </c>
      <c r="K1516" s="2">
        <v>20</v>
      </c>
      <c r="L1516" t="s">
        <v>5856</v>
      </c>
      <c r="M1516" t="s">
        <v>9757</v>
      </c>
      <c r="N1516" s="3">
        <v>43319</v>
      </c>
      <c r="O1516" s="3">
        <v>43318</v>
      </c>
      <c r="P1516" t="s">
        <v>5862</v>
      </c>
      <c r="Q1516" t="s">
        <v>9758</v>
      </c>
      <c r="R1516" t="s">
        <v>6036</v>
      </c>
      <c r="S1516" s="3">
        <v>43319</v>
      </c>
      <c r="T1516" t="s">
        <v>9938</v>
      </c>
      <c r="U1516" t="s">
        <v>6582</v>
      </c>
      <c r="V1516" t="s">
        <v>9759</v>
      </c>
      <c r="W1516" t="s">
        <v>5857</v>
      </c>
      <c r="X1516" s="2">
        <v>40</v>
      </c>
      <c r="Y1516" t="s">
        <v>5858</v>
      </c>
      <c r="Z1516" t="s">
        <v>6037</v>
      </c>
      <c r="AA1516" s="2">
        <v>350</v>
      </c>
      <c r="AB1516" t="s">
        <v>5863</v>
      </c>
      <c r="AC1516" t="s">
        <v>9976</v>
      </c>
      <c r="AD1516" s="32">
        <v>43277</v>
      </c>
      <c r="AJ1516" t="s">
        <v>9958</v>
      </c>
      <c r="AL1516" t="s">
        <v>14316</v>
      </c>
    </row>
    <row r="1517" spans="1:38">
      <c r="A1517" t="s">
        <v>9760</v>
      </c>
      <c r="B1517" t="s">
        <v>12703</v>
      </c>
      <c r="C1517" t="s">
        <v>7063</v>
      </c>
      <c r="D1517" t="s">
        <v>7064</v>
      </c>
      <c r="E1517" s="2">
        <v>50</v>
      </c>
      <c r="F1517" s="2">
        <v>175</v>
      </c>
      <c r="G1517" s="3">
        <v>43280</v>
      </c>
      <c r="H1517" s="4">
        <v>2.0833333333330002E-2</v>
      </c>
      <c r="I1517" s="3">
        <v>43280</v>
      </c>
      <c r="J1517" s="4">
        <v>0.3125</v>
      </c>
      <c r="K1517" s="2">
        <v>8</v>
      </c>
      <c r="L1517" t="s">
        <v>5856</v>
      </c>
      <c r="M1517" t="s">
        <v>9512</v>
      </c>
      <c r="N1517" s="3">
        <v>43283</v>
      </c>
      <c r="O1517" s="3">
        <v>43282</v>
      </c>
      <c r="P1517" t="s">
        <v>5889</v>
      </c>
      <c r="Q1517" t="s">
        <v>6038</v>
      </c>
      <c r="R1517" t="s">
        <v>6039</v>
      </c>
      <c r="S1517" s="3"/>
      <c r="T1517" t="s">
        <v>9938</v>
      </c>
      <c r="U1517" t="s">
        <v>5987</v>
      </c>
      <c r="V1517" t="s">
        <v>7066</v>
      </c>
      <c r="W1517" t="s">
        <v>5857</v>
      </c>
      <c r="X1517" s="2">
        <v>25</v>
      </c>
      <c r="Y1517" t="s">
        <v>5858</v>
      </c>
      <c r="Z1517" t="s">
        <v>6037</v>
      </c>
      <c r="AA1517" s="2">
        <v>0</v>
      </c>
      <c r="AB1517" t="s">
        <v>5859</v>
      </c>
      <c r="AC1517" t="s">
        <v>9978</v>
      </c>
      <c r="AD1517" s="32">
        <v>43267</v>
      </c>
      <c r="AJ1517" t="s">
        <v>9958</v>
      </c>
      <c r="AL1517" t="s">
        <v>11488</v>
      </c>
    </row>
    <row r="1518" spans="1:38">
      <c r="A1518" t="s">
        <v>9760</v>
      </c>
      <c r="B1518" t="s">
        <v>12704</v>
      </c>
      <c r="C1518" t="s">
        <v>9761</v>
      </c>
      <c r="D1518" t="s">
        <v>9762</v>
      </c>
      <c r="E1518" s="2">
        <v>10</v>
      </c>
      <c r="F1518" s="2">
        <v>35</v>
      </c>
      <c r="G1518" s="3">
        <v>43280</v>
      </c>
      <c r="H1518" s="4">
        <v>0.33333333333332998</v>
      </c>
      <c r="I1518" s="3">
        <v>43280</v>
      </c>
      <c r="J1518" s="4">
        <v>0.39166666666666999</v>
      </c>
      <c r="K1518" s="2">
        <v>7</v>
      </c>
      <c r="L1518" t="s">
        <v>5856</v>
      </c>
      <c r="M1518" t="s">
        <v>9495</v>
      </c>
      <c r="N1518" s="3">
        <v>43277</v>
      </c>
      <c r="O1518" s="3">
        <v>43282</v>
      </c>
      <c r="P1518" t="s">
        <v>6638</v>
      </c>
      <c r="Q1518" t="s">
        <v>6038</v>
      </c>
      <c r="R1518" t="s">
        <v>6039</v>
      </c>
      <c r="S1518" s="3"/>
      <c r="T1518" t="s">
        <v>9938</v>
      </c>
      <c r="U1518" t="s">
        <v>9645</v>
      </c>
      <c r="V1518" t="s">
        <v>9763</v>
      </c>
      <c r="W1518" t="s">
        <v>6038</v>
      </c>
      <c r="X1518" s="2">
        <v>25</v>
      </c>
      <c r="Y1518" t="s">
        <v>5858</v>
      </c>
      <c r="Z1518" t="s">
        <v>6037</v>
      </c>
      <c r="AA1518" s="2">
        <v>0</v>
      </c>
      <c r="AB1518" t="s">
        <v>5859</v>
      </c>
      <c r="AC1518" t="s">
        <v>9976</v>
      </c>
      <c r="AD1518" s="32">
        <v>43278</v>
      </c>
      <c r="AJ1518" t="s">
        <v>9958</v>
      </c>
      <c r="AL1518" t="s">
        <v>11489</v>
      </c>
    </row>
    <row r="1519" spans="1:38">
      <c r="A1519" t="s">
        <v>9760</v>
      </c>
      <c r="B1519" t="s">
        <v>12705</v>
      </c>
      <c r="C1519" t="s">
        <v>9764</v>
      </c>
      <c r="D1519" t="s">
        <v>9765</v>
      </c>
      <c r="E1519" s="2">
        <v>25</v>
      </c>
      <c r="F1519" s="2">
        <v>25</v>
      </c>
      <c r="G1519" s="3">
        <v>43282</v>
      </c>
      <c r="H1519" s="4">
        <v>0.8125</v>
      </c>
      <c r="I1519" s="3">
        <v>43282</v>
      </c>
      <c r="J1519" s="4">
        <v>0.85416666666666996</v>
      </c>
      <c r="K1519" s="2">
        <v>4</v>
      </c>
      <c r="L1519" t="s">
        <v>5856</v>
      </c>
      <c r="M1519" t="s">
        <v>6994</v>
      </c>
      <c r="N1519" s="3">
        <v>43271</v>
      </c>
      <c r="O1519" s="3">
        <v>43284</v>
      </c>
      <c r="P1519" t="s">
        <v>5960</v>
      </c>
      <c r="Q1519" t="s">
        <v>6038</v>
      </c>
      <c r="R1519" t="s">
        <v>6039</v>
      </c>
      <c r="S1519" s="3"/>
      <c r="T1519" t="s">
        <v>9938</v>
      </c>
      <c r="U1519" t="s">
        <v>6582</v>
      </c>
      <c r="V1519" t="s">
        <v>9766</v>
      </c>
      <c r="W1519" t="s">
        <v>5857</v>
      </c>
      <c r="X1519" s="2">
        <v>25</v>
      </c>
      <c r="Y1519" t="s">
        <v>5858</v>
      </c>
      <c r="Z1519" t="s">
        <v>6037</v>
      </c>
      <c r="AA1519" s="2">
        <v>25</v>
      </c>
      <c r="AB1519" t="s">
        <v>5863</v>
      </c>
      <c r="AC1519" t="s">
        <v>9976</v>
      </c>
      <c r="AD1519" s="32">
        <v>43270</v>
      </c>
      <c r="AJ1519" t="s">
        <v>9958</v>
      </c>
      <c r="AL1519" t="s">
        <v>11490</v>
      </c>
    </row>
    <row r="1520" spans="1:38">
      <c r="A1520" t="s">
        <v>9760</v>
      </c>
      <c r="B1520" t="s">
        <v>12706</v>
      </c>
      <c r="C1520" t="s">
        <v>9767</v>
      </c>
      <c r="D1520" t="s">
        <v>9768</v>
      </c>
      <c r="E1520" s="2">
        <v>25</v>
      </c>
      <c r="F1520" s="2">
        <v>25</v>
      </c>
      <c r="G1520" s="3">
        <v>43284</v>
      </c>
      <c r="H1520" s="4">
        <v>0.61326388888889005</v>
      </c>
      <c r="I1520" s="3">
        <v>43284</v>
      </c>
      <c r="J1520" s="4">
        <v>0.65493055555556001</v>
      </c>
      <c r="K1520" s="2">
        <v>4</v>
      </c>
      <c r="L1520" t="s">
        <v>5856</v>
      </c>
      <c r="M1520" t="s">
        <v>6994</v>
      </c>
      <c r="N1520" s="3">
        <v>43277</v>
      </c>
      <c r="O1520" s="3">
        <v>43286</v>
      </c>
      <c r="P1520" t="s">
        <v>5977</v>
      </c>
      <c r="Q1520" t="s">
        <v>6038</v>
      </c>
      <c r="R1520" t="s">
        <v>6039</v>
      </c>
      <c r="S1520" s="3"/>
      <c r="T1520" t="s">
        <v>9938</v>
      </c>
      <c r="U1520" t="s">
        <v>5923</v>
      </c>
      <c r="V1520" t="s">
        <v>9769</v>
      </c>
      <c r="W1520" t="s">
        <v>5857</v>
      </c>
      <c r="X1520" s="2">
        <v>25</v>
      </c>
      <c r="Y1520" t="s">
        <v>5858</v>
      </c>
      <c r="Z1520" t="s">
        <v>6037</v>
      </c>
      <c r="AA1520" s="2">
        <v>25</v>
      </c>
      <c r="AB1520" t="s">
        <v>5863</v>
      </c>
      <c r="AC1520" t="s">
        <v>9974</v>
      </c>
      <c r="AD1520" s="32">
        <v>43272</v>
      </c>
      <c r="AI1520" t="s">
        <v>9943</v>
      </c>
      <c r="AJ1520" t="s">
        <v>9959</v>
      </c>
      <c r="AL1520" t="s">
        <v>11491</v>
      </c>
    </row>
    <row r="1521" spans="1:38">
      <c r="A1521" t="s">
        <v>9760</v>
      </c>
      <c r="B1521" t="s">
        <v>12622</v>
      </c>
      <c r="C1521" t="s">
        <v>6881</v>
      </c>
      <c r="D1521" t="s">
        <v>6882</v>
      </c>
      <c r="E1521" s="2">
        <v>10</v>
      </c>
      <c r="F1521" s="2">
        <v>35</v>
      </c>
      <c r="G1521" s="3">
        <v>43285</v>
      </c>
      <c r="H1521" s="4">
        <v>2.0833333333330002E-2</v>
      </c>
      <c r="I1521" s="3">
        <v>43285</v>
      </c>
      <c r="J1521" s="4">
        <v>7.9166666666669994E-2</v>
      </c>
      <c r="K1521" s="2">
        <v>25</v>
      </c>
      <c r="L1521" t="s">
        <v>5856</v>
      </c>
      <c r="M1521" t="s">
        <v>9495</v>
      </c>
      <c r="N1521" s="3">
        <v>43290</v>
      </c>
      <c r="O1521" s="3">
        <v>43292</v>
      </c>
      <c r="P1521" t="s">
        <v>5862</v>
      </c>
      <c r="Q1521" t="s">
        <v>6038</v>
      </c>
      <c r="R1521" t="s">
        <v>6039</v>
      </c>
      <c r="S1521" s="3"/>
      <c r="T1521" t="s">
        <v>9938</v>
      </c>
      <c r="U1521" t="s">
        <v>6884</v>
      </c>
      <c r="V1521" t="s">
        <v>6885</v>
      </c>
      <c r="W1521" t="s">
        <v>5857</v>
      </c>
      <c r="X1521" s="2">
        <v>25</v>
      </c>
      <c r="Y1521" t="s">
        <v>5858</v>
      </c>
      <c r="Z1521" t="s">
        <v>6037</v>
      </c>
      <c r="AA1521" s="2">
        <v>0</v>
      </c>
      <c r="AB1521" t="s">
        <v>5859</v>
      </c>
      <c r="AC1521" t="s">
        <v>9978</v>
      </c>
      <c r="AD1521" s="32">
        <v>43278</v>
      </c>
      <c r="AJ1521" t="s">
        <v>9958</v>
      </c>
      <c r="AL1521" t="s">
        <v>11429</v>
      </c>
    </row>
    <row r="1522" spans="1:38">
      <c r="A1522" t="s">
        <v>9760</v>
      </c>
      <c r="B1522" t="s">
        <v>12707</v>
      </c>
      <c r="C1522" t="s">
        <v>9770</v>
      </c>
      <c r="D1522" t="s">
        <v>9771</v>
      </c>
      <c r="E1522" s="2">
        <v>10</v>
      </c>
      <c r="F1522" s="2">
        <v>35</v>
      </c>
      <c r="G1522" s="3">
        <v>43287</v>
      </c>
      <c r="H1522" s="4">
        <v>2.0833333333330002E-2</v>
      </c>
      <c r="I1522" s="3">
        <v>43287</v>
      </c>
      <c r="J1522" s="4">
        <v>7.9166666666669994E-2</v>
      </c>
      <c r="K1522" s="2">
        <v>25</v>
      </c>
      <c r="L1522" t="s">
        <v>5856</v>
      </c>
      <c r="M1522" t="s">
        <v>9495</v>
      </c>
      <c r="N1522" s="3">
        <v>43290</v>
      </c>
      <c r="O1522" s="3">
        <v>43289</v>
      </c>
      <c r="P1522" t="s">
        <v>5898</v>
      </c>
      <c r="Q1522" t="s">
        <v>6038</v>
      </c>
      <c r="R1522" t="s">
        <v>6039</v>
      </c>
      <c r="S1522" s="3"/>
      <c r="T1522" t="s">
        <v>9938</v>
      </c>
      <c r="U1522" t="s">
        <v>9555</v>
      </c>
      <c r="V1522" t="s">
        <v>9772</v>
      </c>
      <c r="W1522" t="s">
        <v>6038</v>
      </c>
      <c r="X1522" s="2">
        <v>25</v>
      </c>
      <c r="Y1522" t="s">
        <v>5858</v>
      </c>
      <c r="Z1522" t="s">
        <v>6037</v>
      </c>
      <c r="AA1522" s="2">
        <v>0</v>
      </c>
      <c r="AB1522" t="s">
        <v>5859</v>
      </c>
      <c r="AC1522" t="s">
        <v>9976</v>
      </c>
      <c r="AD1522" s="32">
        <v>43277</v>
      </c>
      <c r="AJ1522" t="s">
        <v>9959</v>
      </c>
      <c r="AL1522" t="s">
        <v>11492</v>
      </c>
    </row>
    <row r="1523" spans="1:38">
      <c r="A1523" t="s">
        <v>9760</v>
      </c>
      <c r="B1523" t="s">
        <v>12708</v>
      </c>
      <c r="C1523" t="s">
        <v>9773</v>
      </c>
      <c r="D1523" t="s">
        <v>9774</v>
      </c>
      <c r="E1523" s="2">
        <v>40</v>
      </c>
      <c r="F1523" s="2">
        <v>140</v>
      </c>
      <c r="G1523" s="3">
        <v>43287</v>
      </c>
      <c r="H1523" s="4">
        <v>4.1666666666670002E-2</v>
      </c>
      <c r="I1523" s="3">
        <v>43287</v>
      </c>
      <c r="J1523" s="4">
        <v>0.27500000000000002</v>
      </c>
      <c r="K1523" s="2">
        <v>55</v>
      </c>
      <c r="L1523" t="s">
        <v>5856</v>
      </c>
      <c r="M1523" t="s">
        <v>9509</v>
      </c>
      <c r="N1523" s="3">
        <v>43290</v>
      </c>
      <c r="O1523" s="3">
        <v>43289</v>
      </c>
      <c r="P1523" t="s">
        <v>5883</v>
      </c>
      <c r="Q1523" t="s">
        <v>6038</v>
      </c>
      <c r="R1523" t="s">
        <v>6039</v>
      </c>
      <c r="S1523" s="3"/>
      <c r="T1523" t="s">
        <v>9938</v>
      </c>
      <c r="U1523" t="s">
        <v>5893</v>
      </c>
      <c r="V1523" t="s">
        <v>9775</v>
      </c>
      <c r="W1523" t="s">
        <v>5857</v>
      </c>
      <c r="X1523" s="2">
        <v>25</v>
      </c>
      <c r="Y1523" t="s">
        <v>5858</v>
      </c>
      <c r="Z1523" t="s">
        <v>6037</v>
      </c>
      <c r="AA1523" s="2">
        <v>0</v>
      </c>
      <c r="AB1523" t="s">
        <v>5859</v>
      </c>
      <c r="AC1523" t="s">
        <v>9978</v>
      </c>
      <c r="AD1523" s="32">
        <v>43277</v>
      </c>
      <c r="AI1523" t="s">
        <v>9943</v>
      </c>
      <c r="AJ1523" t="s">
        <v>9958</v>
      </c>
      <c r="AL1523" t="s">
        <v>14317</v>
      </c>
    </row>
    <row r="1524" spans="1:38">
      <c r="A1524" t="s">
        <v>9760</v>
      </c>
      <c r="B1524" t="s">
        <v>13682</v>
      </c>
      <c r="C1524" t="s">
        <v>13683</v>
      </c>
      <c r="D1524" t="s">
        <v>13684</v>
      </c>
      <c r="E1524" s="2">
        <v>70</v>
      </c>
      <c r="F1524" s="2">
        <v>70</v>
      </c>
      <c r="G1524" s="3">
        <v>43287</v>
      </c>
      <c r="H1524" s="4">
        <v>0.88333333333332997</v>
      </c>
      <c r="I1524" s="3">
        <v>43288</v>
      </c>
      <c r="J1524" s="4">
        <v>0</v>
      </c>
      <c r="K1524" s="2">
        <v>10</v>
      </c>
      <c r="L1524" t="s">
        <v>5856</v>
      </c>
      <c r="M1524" t="s">
        <v>9523</v>
      </c>
      <c r="N1524" s="3">
        <v>43290</v>
      </c>
      <c r="O1524" s="3">
        <v>43289</v>
      </c>
      <c r="P1524" t="s">
        <v>5994</v>
      </c>
      <c r="Q1524" t="s">
        <v>13685</v>
      </c>
      <c r="R1524" t="s">
        <v>6036</v>
      </c>
      <c r="S1524" s="3">
        <v>43290</v>
      </c>
      <c r="T1524" t="s">
        <v>9938</v>
      </c>
      <c r="U1524" t="s">
        <v>6052</v>
      </c>
      <c r="V1524" t="s">
        <v>13686</v>
      </c>
      <c r="W1524" t="s">
        <v>6038</v>
      </c>
      <c r="X1524" s="2">
        <v>25</v>
      </c>
      <c r="Y1524" t="s">
        <v>5858</v>
      </c>
      <c r="Z1524" t="s">
        <v>6037</v>
      </c>
      <c r="AA1524" s="2">
        <v>50</v>
      </c>
      <c r="AB1524" t="s">
        <v>5863</v>
      </c>
      <c r="AC1524" t="s">
        <v>9974</v>
      </c>
      <c r="AD1524" s="32">
        <v>43280</v>
      </c>
      <c r="AJ1524" t="s">
        <v>9958</v>
      </c>
      <c r="AL1524" t="s">
        <v>14318</v>
      </c>
    </row>
    <row r="1525" spans="1:38">
      <c r="A1525" t="s">
        <v>9760</v>
      </c>
      <c r="B1525" t="s">
        <v>12709</v>
      </c>
      <c r="C1525" t="s">
        <v>9072</v>
      </c>
      <c r="D1525" t="s">
        <v>9073</v>
      </c>
      <c r="E1525" s="2">
        <v>245</v>
      </c>
      <c r="F1525" s="2">
        <v>245</v>
      </c>
      <c r="G1525" s="3">
        <v>43288</v>
      </c>
      <c r="H1525" s="4">
        <v>4.1666666666670002E-2</v>
      </c>
      <c r="I1525" s="3">
        <v>43288</v>
      </c>
      <c r="J1525" s="4">
        <v>0.45</v>
      </c>
      <c r="K1525" s="2">
        <v>4</v>
      </c>
      <c r="L1525" t="s">
        <v>5856</v>
      </c>
      <c r="M1525" t="s">
        <v>9534</v>
      </c>
      <c r="N1525" s="3">
        <v>43283</v>
      </c>
      <c r="O1525" s="3">
        <v>43290</v>
      </c>
      <c r="P1525" t="s">
        <v>5881</v>
      </c>
      <c r="Q1525" t="s">
        <v>6038</v>
      </c>
      <c r="R1525" t="s">
        <v>6039</v>
      </c>
      <c r="S1525" s="3"/>
      <c r="T1525" t="s">
        <v>9938</v>
      </c>
      <c r="U1525" t="s">
        <v>9075</v>
      </c>
      <c r="V1525" t="s">
        <v>9076</v>
      </c>
      <c r="W1525" t="s">
        <v>5857</v>
      </c>
      <c r="X1525" s="2">
        <v>25</v>
      </c>
      <c r="Y1525" t="s">
        <v>5858</v>
      </c>
      <c r="Z1525" t="s">
        <v>6037</v>
      </c>
      <c r="AA1525" s="2">
        <v>175</v>
      </c>
      <c r="AB1525" t="s">
        <v>5863</v>
      </c>
      <c r="AC1525" t="s">
        <v>9978</v>
      </c>
      <c r="AD1525" s="32">
        <v>43276</v>
      </c>
      <c r="AJ1525" t="s">
        <v>9958</v>
      </c>
      <c r="AL1525" t="s">
        <v>11493</v>
      </c>
    </row>
    <row r="1526" spans="1:38">
      <c r="A1526" t="s">
        <v>9760</v>
      </c>
      <c r="B1526" t="s">
        <v>12710</v>
      </c>
      <c r="C1526" t="s">
        <v>9776</v>
      </c>
      <c r="D1526" t="s">
        <v>9777</v>
      </c>
      <c r="E1526" s="2">
        <v>300</v>
      </c>
      <c r="F1526" s="2">
        <v>300</v>
      </c>
      <c r="G1526" s="3">
        <v>43288</v>
      </c>
      <c r="H1526" s="4">
        <v>0.52946759259259002</v>
      </c>
      <c r="I1526" s="3">
        <v>43289</v>
      </c>
      <c r="J1526" s="4">
        <v>2.9467592592589999E-2</v>
      </c>
      <c r="K1526" s="2">
        <v>0</v>
      </c>
      <c r="L1526" t="s">
        <v>5856</v>
      </c>
      <c r="M1526" t="s">
        <v>9778</v>
      </c>
      <c r="N1526" s="3">
        <v>43291</v>
      </c>
      <c r="O1526" s="3">
        <v>43291</v>
      </c>
      <c r="P1526" t="s">
        <v>7090</v>
      </c>
      <c r="Q1526" t="s">
        <v>9779</v>
      </c>
      <c r="R1526" t="s">
        <v>6036</v>
      </c>
      <c r="S1526" s="3">
        <v>43291</v>
      </c>
      <c r="T1526" t="s">
        <v>9938</v>
      </c>
      <c r="U1526" t="s">
        <v>7354</v>
      </c>
      <c r="V1526" t="s">
        <v>9780</v>
      </c>
      <c r="W1526" t="s">
        <v>6038</v>
      </c>
      <c r="X1526" s="2">
        <v>25</v>
      </c>
      <c r="Y1526" t="s">
        <v>5858</v>
      </c>
      <c r="Z1526" t="s">
        <v>6037</v>
      </c>
      <c r="AA1526" s="2">
        <v>300</v>
      </c>
      <c r="AB1526" t="s">
        <v>5863</v>
      </c>
      <c r="AC1526" t="s">
        <v>9981</v>
      </c>
      <c r="AD1526" s="32">
        <v>43264</v>
      </c>
      <c r="AJ1526" t="s">
        <v>9959</v>
      </c>
      <c r="AL1526" t="s">
        <v>11494</v>
      </c>
    </row>
    <row r="1527" spans="1:38">
      <c r="A1527" t="s">
        <v>9760</v>
      </c>
      <c r="B1527" t="s">
        <v>12680</v>
      </c>
      <c r="C1527" t="s">
        <v>9688</v>
      </c>
      <c r="D1527" t="s">
        <v>9689</v>
      </c>
      <c r="E1527" s="2">
        <v>20</v>
      </c>
      <c r="F1527" s="2">
        <v>70</v>
      </c>
      <c r="G1527" s="3">
        <v>43289</v>
      </c>
      <c r="H1527" s="4">
        <v>5.0300925925930003E-2</v>
      </c>
      <c r="I1527" s="3">
        <v>43289</v>
      </c>
      <c r="J1527" s="4">
        <v>0.16696759259259</v>
      </c>
      <c r="K1527" s="2">
        <v>20</v>
      </c>
      <c r="L1527" t="s">
        <v>5856</v>
      </c>
      <c r="M1527" t="s">
        <v>9523</v>
      </c>
      <c r="N1527" s="3">
        <v>43291</v>
      </c>
      <c r="O1527" s="3">
        <v>43291</v>
      </c>
      <c r="P1527" t="s">
        <v>5881</v>
      </c>
      <c r="Q1527" t="s">
        <v>6038</v>
      </c>
      <c r="R1527" t="s">
        <v>6039</v>
      </c>
      <c r="S1527" s="3"/>
      <c r="T1527" t="s">
        <v>9938</v>
      </c>
      <c r="U1527" t="s">
        <v>5893</v>
      </c>
      <c r="V1527" t="s">
        <v>9690</v>
      </c>
      <c r="W1527" t="s">
        <v>5857</v>
      </c>
      <c r="X1527" s="2">
        <v>25</v>
      </c>
      <c r="Y1527" t="s">
        <v>5858</v>
      </c>
      <c r="Z1527" t="s">
        <v>6037</v>
      </c>
      <c r="AA1527" s="2">
        <v>0</v>
      </c>
      <c r="AB1527" t="s">
        <v>5859</v>
      </c>
      <c r="AC1527" t="s">
        <v>9978</v>
      </c>
      <c r="AD1527" s="32">
        <v>43275</v>
      </c>
      <c r="AJ1527" t="s">
        <v>9958</v>
      </c>
      <c r="AL1527" t="s">
        <v>11470</v>
      </c>
    </row>
    <row r="1528" spans="1:38">
      <c r="A1528" t="s">
        <v>9760</v>
      </c>
      <c r="B1528" t="s">
        <v>13687</v>
      </c>
      <c r="C1528" t="s">
        <v>7559</v>
      </c>
      <c r="D1528" t="s">
        <v>7560</v>
      </c>
      <c r="E1528" s="2">
        <v>70</v>
      </c>
      <c r="F1528" s="2">
        <v>70</v>
      </c>
      <c r="G1528" s="3">
        <v>43289</v>
      </c>
      <c r="H1528" s="4">
        <v>0.88333333333332997</v>
      </c>
      <c r="I1528" s="3">
        <v>43290</v>
      </c>
      <c r="J1528" s="4">
        <v>0</v>
      </c>
      <c r="K1528" s="2">
        <v>20</v>
      </c>
      <c r="L1528" t="s">
        <v>5856</v>
      </c>
      <c r="M1528" t="s">
        <v>9523</v>
      </c>
      <c r="N1528" s="3">
        <v>43286</v>
      </c>
      <c r="O1528" s="3">
        <v>43296</v>
      </c>
      <c r="P1528" t="s">
        <v>5911</v>
      </c>
      <c r="Q1528" t="s">
        <v>7561</v>
      </c>
      <c r="R1528" t="s">
        <v>6036</v>
      </c>
      <c r="S1528" s="3">
        <v>43286</v>
      </c>
      <c r="T1528" t="s">
        <v>9938</v>
      </c>
      <c r="U1528" t="s">
        <v>6052</v>
      </c>
      <c r="V1528" t="s">
        <v>7562</v>
      </c>
      <c r="W1528" t="s">
        <v>5857</v>
      </c>
      <c r="X1528" s="2">
        <v>0</v>
      </c>
      <c r="Y1528" t="s">
        <v>5858</v>
      </c>
      <c r="Z1528" t="s">
        <v>6037</v>
      </c>
      <c r="AA1528" s="2">
        <v>50</v>
      </c>
      <c r="AB1528" t="s">
        <v>5915</v>
      </c>
      <c r="AC1528" t="s">
        <v>9974</v>
      </c>
      <c r="AD1528" s="32"/>
      <c r="AJ1528" t="s">
        <v>9958</v>
      </c>
      <c r="AL1528" t="s">
        <v>14319</v>
      </c>
    </row>
    <row r="1529" spans="1:38">
      <c r="A1529" t="s">
        <v>9760</v>
      </c>
      <c r="B1529" t="s">
        <v>12716</v>
      </c>
      <c r="C1529" t="s">
        <v>9788</v>
      </c>
      <c r="D1529" t="s">
        <v>9789</v>
      </c>
      <c r="E1529" s="2">
        <v>10</v>
      </c>
      <c r="F1529" s="2">
        <v>35</v>
      </c>
      <c r="G1529" s="3">
        <v>43290</v>
      </c>
      <c r="H1529" s="4">
        <v>2.0833333333330002E-2</v>
      </c>
      <c r="I1529" s="3">
        <v>43290</v>
      </c>
      <c r="J1529" s="4">
        <v>7.9166666666669994E-2</v>
      </c>
      <c r="K1529" s="2">
        <v>20</v>
      </c>
      <c r="L1529" t="s">
        <v>5856</v>
      </c>
      <c r="M1529" t="s">
        <v>9495</v>
      </c>
      <c r="N1529" s="3">
        <v>43293</v>
      </c>
      <c r="O1529" s="3">
        <v>43292</v>
      </c>
      <c r="P1529" t="s">
        <v>5885</v>
      </c>
      <c r="Q1529" t="s">
        <v>6038</v>
      </c>
      <c r="R1529" t="s">
        <v>6039</v>
      </c>
      <c r="S1529" s="3"/>
      <c r="T1529" t="s">
        <v>9938</v>
      </c>
      <c r="U1529" t="s">
        <v>5893</v>
      </c>
      <c r="V1529" t="s">
        <v>9790</v>
      </c>
      <c r="W1529" t="s">
        <v>5857</v>
      </c>
      <c r="X1529" s="2">
        <v>25</v>
      </c>
      <c r="Y1529" t="s">
        <v>5858</v>
      </c>
      <c r="Z1529" t="s">
        <v>6037</v>
      </c>
      <c r="AA1529" s="2">
        <v>0</v>
      </c>
      <c r="AB1529" t="s">
        <v>5859</v>
      </c>
      <c r="AC1529" t="s">
        <v>9978</v>
      </c>
      <c r="AD1529" s="32">
        <v>43265</v>
      </c>
      <c r="AJ1529" t="s">
        <v>9958</v>
      </c>
      <c r="AL1529" t="s">
        <v>14320</v>
      </c>
    </row>
    <row r="1530" spans="1:38">
      <c r="A1530" t="s">
        <v>9760</v>
      </c>
      <c r="B1530" t="s">
        <v>13688</v>
      </c>
      <c r="C1530" t="s">
        <v>8936</v>
      </c>
      <c r="D1530" t="s">
        <v>8937</v>
      </c>
      <c r="E1530" s="2">
        <v>10</v>
      </c>
      <c r="F1530" s="2">
        <v>35</v>
      </c>
      <c r="G1530" s="3">
        <v>43290</v>
      </c>
      <c r="H1530" s="4">
        <v>2.0833333333330002E-2</v>
      </c>
      <c r="I1530" s="3">
        <v>43290</v>
      </c>
      <c r="J1530" s="4">
        <v>7.9166666666669994E-2</v>
      </c>
      <c r="K1530" s="2">
        <v>25</v>
      </c>
      <c r="L1530" t="s">
        <v>5856</v>
      </c>
      <c r="M1530" t="s">
        <v>9495</v>
      </c>
      <c r="N1530" s="3">
        <v>43292</v>
      </c>
      <c r="O1530" s="3">
        <v>43292</v>
      </c>
      <c r="P1530" t="s">
        <v>5889</v>
      </c>
      <c r="Q1530" t="s">
        <v>6038</v>
      </c>
      <c r="R1530" t="s">
        <v>6039</v>
      </c>
      <c r="S1530" s="3"/>
      <c r="T1530" t="s">
        <v>9938</v>
      </c>
      <c r="U1530" t="s">
        <v>8475</v>
      </c>
      <c r="V1530" t="s">
        <v>6041</v>
      </c>
      <c r="W1530" t="s">
        <v>5857</v>
      </c>
      <c r="X1530" s="2">
        <v>25</v>
      </c>
      <c r="Y1530" t="s">
        <v>5858</v>
      </c>
      <c r="Z1530" t="s">
        <v>6037</v>
      </c>
      <c r="AA1530" s="2">
        <v>0</v>
      </c>
      <c r="AB1530" t="s">
        <v>5859</v>
      </c>
      <c r="AC1530" t="s">
        <v>9978</v>
      </c>
      <c r="AD1530" s="32">
        <v>43280</v>
      </c>
      <c r="AJ1530" t="s">
        <v>9958</v>
      </c>
      <c r="AL1530" t="s">
        <v>14321</v>
      </c>
    </row>
    <row r="1531" spans="1:38">
      <c r="A1531" t="s">
        <v>9760</v>
      </c>
      <c r="B1531" t="s">
        <v>12714</v>
      </c>
      <c r="C1531" t="s">
        <v>9783</v>
      </c>
      <c r="D1531" t="s">
        <v>9784</v>
      </c>
      <c r="E1531" s="2">
        <v>40</v>
      </c>
      <c r="F1531" s="2">
        <v>140</v>
      </c>
      <c r="G1531" s="3">
        <v>43290</v>
      </c>
      <c r="H1531" s="4">
        <v>0.1</v>
      </c>
      <c r="I1531" s="3">
        <v>43290</v>
      </c>
      <c r="J1531" s="4">
        <v>0.33333333333332998</v>
      </c>
      <c r="K1531" s="2">
        <v>0</v>
      </c>
      <c r="L1531" t="s">
        <v>5856</v>
      </c>
      <c r="M1531" t="s">
        <v>9509</v>
      </c>
      <c r="N1531" s="3">
        <v>43293</v>
      </c>
      <c r="O1531" s="3">
        <v>43292</v>
      </c>
      <c r="P1531" t="s">
        <v>5960</v>
      </c>
      <c r="Q1531" t="s">
        <v>6038</v>
      </c>
      <c r="R1531" t="s">
        <v>6039</v>
      </c>
      <c r="S1531" s="3"/>
      <c r="T1531" t="s">
        <v>9938</v>
      </c>
      <c r="U1531" t="s">
        <v>9785</v>
      </c>
      <c r="V1531" t="s">
        <v>9786</v>
      </c>
      <c r="W1531" t="s">
        <v>5857</v>
      </c>
      <c r="X1531" s="2">
        <v>25</v>
      </c>
      <c r="Y1531" t="s">
        <v>5858</v>
      </c>
      <c r="Z1531" t="s">
        <v>6037</v>
      </c>
      <c r="AA1531" s="2">
        <v>0</v>
      </c>
      <c r="AB1531" t="s">
        <v>5859</v>
      </c>
      <c r="AC1531" t="s">
        <v>9976</v>
      </c>
      <c r="AD1531" s="32">
        <v>43272</v>
      </c>
      <c r="AJ1531" t="s">
        <v>9958</v>
      </c>
      <c r="AL1531" t="s">
        <v>14322</v>
      </c>
    </row>
    <row r="1532" spans="1:38">
      <c r="A1532" t="s">
        <v>9760</v>
      </c>
      <c r="B1532" t="s">
        <v>13689</v>
      </c>
      <c r="C1532" t="s">
        <v>13690</v>
      </c>
      <c r="D1532" t="s">
        <v>13691</v>
      </c>
      <c r="E1532" s="2">
        <v>70</v>
      </c>
      <c r="F1532" s="2">
        <v>70</v>
      </c>
      <c r="G1532" s="3">
        <v>43290</v>
      </c>
      <c r="H1532" s="4">
        <v>0.43333333333333002</v>
      </c>
      <c r="I1532" s="3">
        <v>43290</v>
      </c>
      <c r="J1532" s="4">
        <v>0.55000000000000004</v>
      </c>
      <c r="K1532" s="2">
        <v>25</v>
      </c>
      <c r="L1532" t="s">
        <v>5856</v>
      </c>
      <c r="M1532" t="s">
        <v>9523</v>
      </c>
      <c r="N1532" s="3">
        <v>43292</v>
      </c>
      <c r="O1532" s="3">
        <v>43292</v>
      </c>
      <c r="P1532" t="s">
        <v>6026</v>
      </c>
      <c r="Q1532" t="s">
        <v>13692</v>
      </c>
      <c r="R1532" t="s">
        <v>6036</v>
      </c>
      <c r="S1532" s="3">
        <v>43292</v>
      </c>
      <c r="T1532" t="s">
        <v>9938</v>
      </c>
      <c r="U1532" t="s">
        <v>6600</v>
      </c>
      <c r="V1532" t="s">
        <v>6864</v>
      </c>
      <c r="W1532" t="s">
        <v>5857</v>
      </c>
      <c r="X1532" s="2">
        <v>25</v>
      </c>
      <c r="Y1532" t="s">
        <v>5858</v>
      </c>
      <c r="Z1532" t="s">
        <v>6037</v>
      </c>
      <c r="AA1532" s="2">
        <v>50</v>
      </c>
      <c r="AB1532" t="s">
        <v>5863</v>
      </c>
      <c r="AC1532" t="s">
        <v>9976</v>
      </c>
      <c r="AD1532" s="32">
        <v>43280</v>
      </c>
      <c r="AJ1532" t="s">
        <v>9958</v>
      </c>
      <c r="AL1532" t="s">
        <v>14323</v>
      </c>
    </row>
    <row r="1533" spans="1:38">
      <c r="A1533" t="s">
        <v>9760</v>
      </c>
      <c r="B1533" t="s">
        <v>13693</v>
      </c>
      <c r="C1533" t="s">
        <v>13694</v>
      </c>
      <c r="D1533" t="s">
        <v>13695</v>
      </c>
      <c r="E1533" s="2">
        <v>35</v>
      </c>
      <c r="F1533" s="2">
        <v>35</v>
      </c>
      <c r="G1533" s="3">
        <v>43290</v>
      </c>
      <c r="H1533" s="4">
        <v>0.57083333333332997</v>
      </c>
      <c r="I1533" s="3">
        <v>43290</v>
      </c>
      <c r="J1533" s="4">
        <v>0.62916666666666998</v>
      </c>
      <c r="K1533" s="2">
        <v>25</v>
      </c>
      <c r="L1533" t="s">
        <v>5856</v>
      </c>
      <c r="M1533" t="s">
        <v>9495</v>
      </c>
      <c r="N1533" s="3">
        <v>43292</v>
      </c>
      <c r="O1533" s="3">
        <v>43292</v>
      </c>
      <c r="P1533" t="s">
        <v>5889</v>
      </c>
      <c r="Q1533" t="s">
        <v>13696</v>
      </c>
      <c r="R1533" t="s">
        <v>6036</v>
      </c>
      <c r="S1533" s="3">
        <v>43292</v>
      </c>
      <c r="T1533" t="s">
        <v>9938</v>
      </c>
      <c r="U1533" t="s">
        <v>7506</v>
      </c>
      <c r="V1533" t="s">
        <v>13697</v>
      </c>
      <c r="W1533" t="s">
        <v>5857</v>
      </c>
      <c r="X1533" s="2">
        <v>25</v>
      </c>
      <c r="Y1533" t="s">
        <v>5858</v>
      </c>
      <c r="Z1533" t="s">
        <v>6037</v>
      </c>
      <c r="AA1533" s="2">
        <v>25</v>
      </c>
      <c r="AB1533" t="s">
        <v>5863</v>
      </c>
      <c r="AC1533" t="s">
        <v>9978</v>
      </c>
      <c r="AD1533" s="32">
        <v>43280</v>
      </c>
      <c r="AJ1533" t="s">
        <v>9958</v>
      </c>
      <c r="AL1533" t="s">
        <v>14324</v>
      </c>
    </row>
    <row r="1534" spans="1:38">
      <c r="A1534" t="s">
        <v>9760</v>
      </c>
      <c r="B1534" t="s">
        <v>12712</v>
      </c>
      <c r="C1534" t="s">
        <v>6937</v>
      </c>
      <c r="D1534" t="s">
        <v>6938</v>
      </c>
      <c r="E1534" s="2">
        <v>35</v>
      </c>
      <c r="F1534" s="2">
        <v>35</v>
      </c>
      <c r="G1534" s="3">
        <v>43290</v>
      </c>
      <c r="H1534" s="4">
        <v>0.65</v>
      </c>
      <c r="I1534" s="3">
        <v>43290</v>
      </c>
      <c r="J1534" s="4">
        <v>0.70833333333333004</v>
      </c>
      <c r="K1534" s="2">
        <v>4</v>
      </c>
      <c r="L1534" t="s">
        <v>5856</v>
      </c>
      <c r="M1534" t="s">
        <v>9495</v>
      </c>
      <c r="N1534" s="3">
        <v>43285</v>
      </c>
      <c r="O1534" s="3">
        <v>43292</v>
      </c>
      <c r="P1534" t="s">
        <v>6939</v>
      </c>
      <c r="Q1534" t="s">
        <v>6038</v>
      </c>
      <c r="R1534" t="s">
        <v>6039</v>
      </c>
      <c r="S1534" s="3"/>
      <c r="T1534" t="s">
        <v>9938</v>
      </c>
      <c r="U1534" t="s">
        <v>5987</v>
      </c>
      <c r="V1534" t="s">
        <v>6940</v>
      </c>
      <c r="W1534" t="s">
        <v>5857</v>
      </c>
      <c r="X1534" s="2">
        <v>25</v>
      </c>
      <c r="Y1534" t="s">
        <v>5858</v>
      </c>
      <c r="Z1534" t="s">
        <v>6037</v>
      </c>
      <c r="AA1534" s="2">
        <v>25</v>
      </c>
      <c r="AB1534" t="s">
        <v>5863</v>
      </c>
      <c r="AC1534" t="s">
        <v>9978</v>
      </c>
      <c r="AD1534" s="32">
        <v>43278</v>
      </c>
      <c r="AJ1534" t="s">
        <v>9958</v>
      </c>
      <c r="AL1534" t="s">
        <v>11495</v>
      </c>
    </row>
    <row r="1535" spans="1:38">
      <c r="A1535" t="s">
        <v>9760</v>
      </c>
      <c r="B1535" t="s">
        <v>13698</v>
      </c>
      <c r="C1535" t="s">
        <v>6964</v>
      </c>
      <c r="D1535" t="s">
        <v>6965</v>
      </c>
      <c r="E1535" s="2">
        <v>70</v>
      </c>
      <c r="F1535" s="2">
        <v>70</v>
      </c>
      <c r="G1535" s="3">
        <v>43290</v>
      </c>
      <c r="H1535" s="4">
        <v>0.74583333333333002</v>
      </c>
      <c r="I1535" s="3">
        <v>43290</v>
      </c>
      <c r="J1535" s="4">
        <v>0.86250000000000004</v>
      </c>
      <c r="K1535" s="2">
        <v>20</v>
      </c>
      <c r="L1535" t="s">
        <v>5856</v>
      </c>
      <c r="M1535" t="s">
        <v>9523</v>
      </c>
      <c r="N1535" s="3">
        <v>43290</v>
      </c>
      <c r="O1535" s="3">
        <v>43292</v>
      </c>
      <c r="P1535" t="s">
        <v>5862</v>
      </c>
      <c r="Q1535" t="s">
        <v>6966</v>
      </c>
      <c r="R1535" t="s">
        <v>6036</v>
      </c>
      <c r="S1535" s="3">
        <v>43290</v>
      </c>
      <c r="T1535" t="s">
        <v>9938</v>
      </c>
      <c r="U1535" t="s">
        <v>6052</v>
      </c>
      <c r="V1535" t="s">
        <v>6967</v>
      </c>
      <c r="W1535" t="s">
        <v>5857</v>
      </c>
      <c r="X1535" s="2">
        <v>25</v>
      </c>
      <c r="Y1535" t="s">
        <v>5858</v>
      </c>
      <c r="Z1535" t="s">
        <v>6037</v>
      </c>
      <c r="AA1535" s="2">
        <v>50</v>
      </c>
      <c r="AB1535" t="s">
        <v>5863</v>
      </c>
      <c r="AC1535" t="s">
        <v>9974</v>
      </c>
      <c r="AD1535" s="32">
        <v>43280</v>
      </c>
      <c r="AJ1535" t="s">
        <v>9958</v>
      </c>
      <c r="AL1535" t="s">
        <v>14325</v>
      </c>
    </row>
    <row r="1536" spans="1:38">
      <c r="A1536" t="s">
        <v>9760</v>
      </c>
      <c r="B1536" t="s">
        <v>13699</v>
      </c>
      <c r="C1536" t="s">
        <v>7038</v>
      </c>
      <c r="D1536" t="s">
        <v>7039</v>
      </c>
      <c r="E1536" s="2">
        <v>70</v>
      </c>
      <c r="F1536" s="2">
        <v>70</v>
      </c>
      <c r="G1536" s="3">
        <v>43290</v>
      </c>
      <c r="H1536" s="4">
        <v>0.88333333333332997</v>
      </c>
      <c r="I1536" s="3">
        <v>43291</v>
      </c>
      <c r="J1536" s="4">
        <v>0</v>
      </c>
      <c r="K1536" s="2">
        <v>20</v>
      </c>
      <c r="L1536" t="s">
        <v>5856</v>
      </c>
      <c r="M1536" t="s">
        <v>9523</v>
      </c>
      <c r="N1536" s="3">
        <v>43293</v>
      </c>
      <c r="O1536" s="3">
        <v>43292</v>
      </c>
      <c r="P1536" t="s">
        <v>5883</v>
      </c>
      <c r="Q1536" t="s">
        <v>7040</v>
      </c>
      <c r="R1536" t="s">
        <v>6036</v>
      </c>
      <c r="S1536" s="3">
        <v>43293</v>
      </c>
      <c r="T1536" t="s">
        <v>9938</v>
      </c>
      <c r="U1536" t="s">
        <v>7041</v>
      </c>
      <c r="V1536" t="s">
        <v>7042</v>
      </c>
      <c r="W1536" t="s">
        <v>5857</v>
      </c>
      <c r="X1536" s="2">
        <v>25</v>
      </c>
      <c r="Y1536" t="s">
        <v>5858</v>
      </c>
      <c r="Z1536" t="s">
        <v>6037</v>
      </c>
      <c r="AA1536" s="2">
        <v>50</v>
      </c>
      <c r="AB1536" t="s">
        <v>5863</v>
      </c>
      <c r="AC1536" t="s">
        <v>9978</v>
      </c>
      <c r="AD1536" s="32">
        <v>43280</v>
      </c>
      <c r="AJ1536" t="s">
        <v>9958</v>
      </c>
      <c r="AL1536" t="s">
        <v>14326</v>
      </c>
    </row>
    <row r="1537" spans="1:38">
      <c r="A1537" t="s">
        <v>9760</v>
      </c>
      <c r="B1537" t="s">
        <v>12683</v>
      </c>
      <c r="C1537" t="s">
        <v>7087</v>
      </c>
      <c r="D1537" t="s">
        <v>7088</v>
      </c>
      <c r="E1537" s="2">
        <v>140</v>
      </c>
      <c r="F1537" s="2">
        <v>140</v>
      </c>
      <c r="G1537" s="3">
        <v>43295</v>
      </c>
      <c r="H1537" s="4">
        <v>9.9988425925930005E-2</v>
      </c>
      <c r="I1537" s="3">
        <v>43295</v>
      </c>
      <c r="J1537" s="4">
        <v>0.33332175925926</v>
      </c>
      <c r="K1537" s="2">
        <v>0</v>
      </c>
      <c r="L1537" t="s">
        <v>5856</v>
      </c>
      <c r="M1537" t="s">
        <v>9509</v>
      </c>
      <c r="N1537" s="3">
        <v>43294</v>
      </c>
      <c r="O1537" s="3">
        <v>43297</v>
      </c>
      <c r="P1537" t="s">
        <v>7090</v>
      </c>
      <c r="Q1537" t="s">
        <v>9692</v>
      </c>
      <c r="R1537" t="s">
        <v>6036</v>
      </c>
      <c r="S1537" s="3">
        <v>43294</v>
      </c>
      <c r="T1537" t="s">
        <v>9938</v>
      </c>
      <c r="U1537" t="s">
        <v>7046</v>
      </c>
      <c r="V1537" t="s">
        <v>7091</v>
      </c>
      <c r="W1537" t="s">
        <v>5857</v>
      </c>
      <c r="X1537" s="2">
        <v>25</v>
      </c>
      <c r="Y1537" t="s">
        <v>5858</v>
      </c>
      <c r="Z1537" t="s">
        <v>6037</v>
      </c>
      <c r="AA1537" s="2">
        <v>100</v>
      </c>
      <c r="AB1537" t="s">
        <v>5859</v>
      </c>
      <c r="AC1537" t="s">
        <v>9976</v>
      </c>
      <c r="AD1537" s="32">
        <v>43248</v>
      </c>
      <c r="AJ1537" t="s">
        <v>9958</v>
      </c>
      <c r="AL1537" t="s">
        <v>14327</v>
      </c>
    </row>
    <row r="1538" spans="1:38">
      <c r="A1538" t="s">
        <v>9760</v>
      </c>
      <c r="B1538" t="s">
        <v>13700</v>
      </c>
      <c r="C1538" t="s">
        <v>13701</v>
      </c>
      <c r="D1538" t="s">
        <v>13702</v>
      </c>
      <c r="E1538" s="2">
        <v>70</v>
      </c>
      <c r="F1538" s="2">
        <v>70</v>
      </c>
      <c r="G1538" s="3">
        <v>43296</v>
      </c>
      <c r="H1538" s="4">
        <v>4.1666666666670002E-2</v>
      </c>
      <c r="I1538" s="3">
        <v>43296</v>
      </c>
      <c r="J1538" s="4">
        <v>0.15833333333333</v>
      </c>
      <c r="K1538" s="2">
        <v>20</v>
      </c>
      <c r="L1538" t="s">
        <v>5856</v>
      </c>
      <c r="M1538" t="s">
        <v>9523</v>
      </c>
      <c r="N1538" s="3">
        <v>43298</v>
      </c>
      <c r="O1538" s="3">
        <v>43298</v>
      </c>
      <c r="P1538" t="s">
        <v>13703</v>
      </c>
      <c r="Q1538" t="s">
        <v>13704</v>
      </c>
      <c r="R1538" t="s">
        <v>6036</v>
      </c>
      <c r="S1538" s="3">
        <v>43298</v>
      </c>
      <c r="T1538" t="s">
        <v>9938</v>
      </c>
      <c r="U1538" t="s">
        <v>5874</v>
      </c>
      <c r="V1538" t="s">
        <v>13705</v>
      </c>
      <c r="W1538" t="s">
        <v>5857</v>
      </c>
      <c r="X1538" s="2">
        <v>25</v>
      </c>
      <c r="Y1538" t="s">
        <v>5858</v>
      </c>
      <c r="Z1538" t="s">
        <v>6037</v>
      </c>
      <c r="AA1538" s="2">
        <v>50</v>
      </c>
      <c r="AB1538" t="s">
        <v>5863</v>
      </c>
      <c r="AC1538" t="s">
        <v>9978</v>
      </c>
      <c r="AD1538" s="32">
        <v>43279</v>
      </c>
      <c r="AI1538" t="s">
        <v>9943</v>
      </c>
      <c r="AJ1538" t="s">
        <v>9958</v>
      </c>
      <c r="AL1538" t="s">
        <v>14328</v>
      </c>
    </row>
    <row r="1539" spans="1:38">
      <c r="A1539" t="s">
        <v>9760</v>
      </c>
      <c r="B1539" t="s">
        <v>12644</v>
      </c>
      <c r="C1539" t="s">
        <v>9578</v>
      </c>
      <c r="D1539" t="s">
        <v>9579</v>
      </c>
      <c r="E1539" s="2">
        <v>35</v>
      </c>
      <c r="F1539" s="2">
        <v>35</v>
      </c>
      <c r="G1539" s="3">
        <v>43297</v>
      </c>
      <c r="H1539" s="4">
        <v>2.0833333333330002E-2</v>
      </c>
      <c r="I1539" s="3">
        <v>43297</v>
      </c>
      <c r="J1539" s="4">
        <v>7.9166666666669994E-2</v>
      </c>
      <c r="K1539" s="2">
        <v>25</v>
      </c>
      <c r="L1539" t="s">
        <v>5856</v>
      </c>
      <c r="M1539" t="s">
        <v>9495</v>
      </c>
      <c r="N1539" s="3">
        <v>43291</v>
      </c>
      <c r="O1539" s="3">
        <v>43299</v>
      </c>
      <c r="P1539" t="s">
        <v>6924</v>
      </c>
      <c r="Q1539" t="s">
        <v>9580</v>
      </c>
      <c r="R1539" t="s">
        <v>6036</v>
      </c>
      <c r="S1539" s="3">
        <v>43291</v>
      </c>
      <c r="T1539" t="s">
        <v>9938</v>
      </c>
      <c r="U1539" t="s">
        <v>8205</v>
      </c>
      <c r="V1539" t="s">
        <v>6925</v>
      </c>
      <c r="W1539" t="s">
        <v>5857</v>
      </c>
      <c r="X1539" s="2">
        <v>25</v>
      </c>
      <c r="Y1539" t="s">
        <v>5858</v>
      </c>
      <c r="Z1539" t="s">
        <v>6037</v>
      </c>
      <c r="AA1539" s="2">
        <v>25</v>
      </c>
      <c r="AB1539" t="s">
        <v>5859</v>
      </c>
      <c r="AC1539" t="s">
        <v>9976</v>
      </c>
      <c r="AD1539" s="32">
        <v>43279</v>
      </c>
      <c r="AL1539" t="s">
        <v>11445</v>
      </c>
    </row>
    <row r="1540" spans="1:38">
      <c r="A1540" t="s">
        <v>9760</v>
      </c>
      <c r="B1540" t="s">
        <v>12645</v>
      </c>
      <c r="C1540" t="s">
        <v>9581</v>
      </c>
      <c r="D1540" t="s">
        <v>9582</v>
      </c>
      <c r="E1540" s="2">
        <v>35</v>
      </c>
      <c r="F1540" s="2">
        <v>35</v>
      </c>
      <c r="G1540" s="3">
        <v>43297</v>
      </c>
      <c r="H1540" s="4">
        <v>0.1</v>
      </c>
      <c r="I1540" s="3">
        <v>43297</v>
      </c>
      <c r="J1540" s="4">
        <v>0.15833333333333</v>
      </c>
      <c r="K1540" s="2">
        <v>20</v>
      </c>
      <c r="L1540" t="s">
        <v>5856</v>
      </c>
      <c r="M1540" t="s">
        <v>9495</v>
      </c>
      <c r="N1540" s="3">
        <v>43292</v>
      </c>
      <c r="O1540" s="3">
        <v>43299</v>
      </c>
      <c r="P1540" t="s">
        <v>5862</v>
      </c>
      <c r="Q1540" t="s">
        <v>9583</v>
      </c>
      <c r="R1540" t="s">
        <v>6036</v>
      </c>
      <c r="S1540" s="3">
        <v>43292</v>
      </c>
      <c r="T1540" t="s">
        <v>9938</v>
      </c>
      <c r="U1540" t="s">
        <v>5980</v>
      </c>
      <c r="V1540" t="s">
        <v>9584</v>
      </c>
      <c r="W1540" t="s">
        <v>5857</v>
      </c>
      <c r="X1540" s="2">
        <v>25</v>
      </c>
      <c r="Y1540" t="s">
        <v>5858</v>
      </c>
      <c r="Z1540" t="s">
        <v>6037</v>
      </c>
      <c r="AA1540" s="2">
        <v>25</v>
      </c>
      <c r="AB1540" t="s">
        <v>5859</v>
      </c>
      <c r="AC1540" t="s">
        <v>9981</v>
      </c>
      <c r="AD1540" s="32">
        <v>43271</v>
      </c>
      <c r="AJ1540" t="s">
        <v>9958</v>
      </c>
      <c r="AL1540" t="s">
        <v>14329</v>
      </c>
    </row>
    <row r="1541" spans="1:38">
      <c r="A1541" t="s">
        <v>9760</v>
      </c>
      <c r="B1541" t="s">
        <v>13706</v>
      </c>
      <c r="C1541" t="s">
        <v>9559</v>
      </c>
      <c r="D1541" t="s">
        <v>9560</v>
      </c>
      <c r="E1541" s="2">
        <v>280</v>
      </c>
      <c r="F1541" s="2">
        <v>280</v>
      </c>
      <c r="G1541" s="3">
        <v>43297</v>
      </c>
      <c r="H1541" s="4">
        <v>0.36666666666667003</v>
      </c>
      <c r="I1541" s="3">
        <v>43297</v>
      </c>
      <c r="J1541" s="4">
        <v>0.83333333333333004</v>
      </c>
      <c r="K1541" s="2">
        <v>0</v>
      </c>
      <c r="L1541" t="s">
        <v>5856</v>
      </c>
      <c r="M1541" t="s">
        <v>9500</v>
      </c>
      <c r="N1541" s="3">
        <v>43300</v>
      </c>
      <c r="O1541" s="3">
        <v>43299</v>
      </c>
      <c r="P1541" t="s">
        <v>5924</v>
      </c>
      <c r="Q1541" t="s">
        <v>13707</v>
      </c>
      <c r="R1541" t="s">
        <v>6036</v>
      </c>
      <c r="S1541" s="3">
        <v>43300</v>
      </c>
      <c r="T1541" t="s">
        <v>9938</v>
      </c>
      <c r="U1541" t="s">
        <v>9562</v>
      </c>
      <c r="V1541" t="s">
        <v>9563</v>
      </c>
      <c r="W1541" t="s">
        <v>5857</v>
      </c>
      <c r="X1541" s="2">
        <v>25</v>
      </c>
      <c r="Y1541" t="s">
        <v>5858</v>
      </c>
      <c r="Z1541" t="s">
        <v>6037</v>
      </c>
      <c r="AA1541" s="2">
        <v>200</v>
      </c>
      <c r="AB1541" t="s">
        <v>5863</v>
      </c>
      <c r="AC1541" t="s">
        <v>9976</v>
      </c>
      <c r="AD1541" s="32">
        <v>43280</v>
      </c>
      <c r="AJ1541" t="s">
        <v>9958</v>
      </c>
      <c r="AL1541" t="s">
        <v>14330</v>
      </c>
    </row>
    <row r="1542" spans="1:38">
      <c r="A1542" t="s">
        <v>9760</v>
      </c>
      <c r="B1542" t="s">
        <v>12718</v>
      </c>
      <c r="C1542" t="s">
        <v>9796</v>
      </c>
      <c r="D1542" t="s">
        <v>9797</v>
      </c>
      <c r="E1542" s="2">
        <v>25</v>
      </c>
      <c r="F1542" s="2">
        <v>25</v>
      </c>
      <c r="G1542" s="3">
        <v>43297</v>
      </c>
      <c r="H1542" s="4">
        <v>0.85416666666666996</v>
      </c>
      <c r="I1542" s="3">
        <v>43297</v>
      </c>
      <c r="J1542" s="4">
        <v>0.89583333333333004</v>
      </c>
      <c r="K1542" s="2">
        <v>0</v>
      </c>
      <c r="L1542" t="s">
        <v>5856</v>
      </c>
      <c r="M1542" t="s">
        <v>6994</v>
      </c>
      <c r="N1542" s="3">
        <v>43300</v>
      </c>
      <c r="O1542" s="3">
        <v>43299</v>
      </c>
      <c r="P1542" t="s">
        <v>5862</v>
      </c>
      <c r="Q1542" t="s">
        <v>9798</v>
      </c>
      <c r="R1542" t="s">
        <v>6036</v>
      </c>
      <c r="S1542" s="3">
        <v>43300</v>
      </c>
      <c r="T1542" t="s">
        <v>9938</v>
      </c>
      <c r="U1542" t="s">
        <v>5886</v>
      </c>
      <c r="V1542" t="s">
        <v>9799</v>
      </c>
      <c r="W1542" t="s">
        <v>5857</v>
      </c>
      <c r="X1542" s="2">
        <v>25</v>
      </c>
      <c r="Y1542" t="s">
        <v>5858</v>
      </c>
      <c r="Z1542" t="s">
        <v>6037</v>
      </c>
      <c r="AA1542" s="2">
        <v>25</v>
      </c>
      <c r="AB1542" t="s">
        <v>5863</v>
      </c>
      <c r="AC1542" t="s">
        <v>9978</v>
      </c>
      <c r="AD1542" s="32">
        <v>43272</v>
      </c>
      <c r="AJ1542" t="s">
        <v>9958</v>
      </c>
      <c r="AL1542" t="s">
        <v>11497</v>
      </c>
    </row>
    <row r="1543" spans="1:38">
      <c r="A1543" t="s">
        <v>9760</v>
      </c>
      <c r="B1543" t="s">
        <v>13708</v>
      </c>
      <c r="C1543" t="s">
        <v>13709</v>
      </c>
      <c r="D1543" t="s">
        <v>13710</v>
      </c>
      <c r="E1543" s="2">
        <v>140</v>
      </c>
      <c r="F1543" s="2">
        <v>140</v>
      </c>
      <c r="G1543" s="3">
        <v>43299</v>
      </c>
      <c r="H1543" s="4">
        <v>4.1666666666670002E-2</v>
      </c>
      <c r="I1543" s="3">
        <v>43299</v>
      </c>
      <c r="J1543" s="4">
        <v>0.27500000000000002</v>
      </c>
      <c r="K1543" s="2">
        <v>55</v>
      </c>
      <c r="L1543" t="s">
        <v>5856</v>
      </c>
      <c r="M1543" t="s">
        <v>9509</v>
      </c>
      <c r="N1543" s="3">
        <v>43283</v>
      </c>
      <c r="O1543" s="3">
        <v>43301</v>
      </c>
      <c r="P1543" t="s">
        <v>5951</v>
      </c>
      <c r="Q1543" t="s">
        <v>13711</v>
      </c>
      <c r="R1543" t="s">
        <v>6036</v>
      </c>
      <c r="S1543" s="3">
        <v>43283</v>
      </c>
      <c r="T1543" t="s">
        <v>9938</v>
      </c>
      <c r="U1543" t="s">
        <v>9661</v>
      </c>
      <c r="V1543" t="s">
        <v>9646</v>
      </c>
      <c r="W1543" t="s">
        <v>6038</v>
      </c>
      <c r="X1543" s="2">
        <v>25</v>
      </c>
      <c r="Y1543" t="s">
        <v>5858</v>
      </c>
      <c r="Z1543" t="s">
        <v>6037</v>
      </c>
      <c r="AA1543" s="2">
        <v>140</v>
      </c>
      <c r="AB1543" t="s">
        <v>5859</v>
      </c>
      <c r="AC1543" t="s">
        <v>9976</v>
      </c>
      <c r="AD1543" s="32">
        <v>43279</v>
      </c>
      <c r="AL1543" t="s">
        <v>14331</v>
      </c>
    </row>
    <row r="1544" spans="1:38">
      <c r="A1544" t="s">
        <v>9760</v>
      </c>
      <c r="B1544" t="s">
        <v>12719</v>
      </c>
      <c r="C1544" t="s">
        <v>9498</v>
      </c>
      <c r="D1544" t="s">
        <v>9499</v>
      </c>
      <c r="E1544" s="2">
        <v>300</v>
      </c>
      <c r="F1544" s="2">
        <v>300</v>
      </c>
      <c r="G1544" s="3">
        <v>43303</v>
      </c>
      <c r="H1544" s="4">
        <v>0.5</v>
      </c>
      <c r="I1544" s="3">
        <v>43304</v>
      </c>
      <c r="J1544" s="4">
        <v>0</v>
      </c>
      <c r="K1544" s="2">
        <v>0</v>
      </c>
      <c r="L1544" t="s">
        <v>5856</v>
      </c>
      <c r="M1544" t="s">
        <v>9778</v>
      </c>
      <c r="N1544" s="3">
        <v>43306</v>
      </c>
      <c r="O1544" s="3">
        <v>43305</v>
      </c>
      <c r="P1544" t="s">
        <v>5862</v>
      </c>
      <c r="Q1544" t="s">
        <v>9800</v>
      </c>
      <c r="R1544" t="s">
        <v>6036</v>
      </c>
      <c r="S1544" s="3">
        <v>43306</v>
      </c>
      <c r="T1544" t="s">
        <v>9938</v>
      </c>
      <c r="U1544" t="s">
        <v>8322</v>
      </c>
      <c r="V1544" t="s">
        <v>9501</v>
      </c>
      <c r="W1544" t="s">
        <v>5857</v>
      </c>
      <c r="X1544" s="2">
        <v>25</v>
      </c>
      <c r="Y1544" t="s">
        <v>5858</v>
      </c>
      <c r="Z1544" t="s">
        <v>6037</v>
      </c>
      <c r="AA1544" s="2">
        <v>300</v>
      </c>
      <c r="AB1544" t="s">
        <v>5863</v>
      </c>
      <c r="AC1544" t="s">
        <v>9976</v>
      </c>
      <c r="AD1544" s="32">
        <v>43270</v>
      </c>
      <c r="AJ1544" t="s">
        <v>9958</v>
      </c>
      <c r="AL1544" t="s">
        <v>11498</v>
      </c>
    </row>
    <row r="1545" spans="1:38">
      <c r="A1545" t="s">
        <v>9760</v>
      </c>
      <c r="B1545" t="s">
        <v>13712</v>
      </c>
      <c r="C1545" t="s">
        <v>9507</v>
      </c>
      <c r="D1545" t="s">
        <v>9508</v>
      </c>
      <c r="E1545" s="2">
        <v>100</v>
      </c>
      <c r="F1545" s="2">
        <v>100</v>
      </c>
      <c r="G1545" s="3">
        <v>43304</v>
      </c>
      <c r="H1545" s="4">
        <v>0.58333333333333004</v>
      </c>
      <c r="I1545" s="3">
        <v>43304</v>
      </c>
      <c r="J1545" s="4">
        <v>0.75</v>
      </c>
      <c r="K1545" s="2">
        <v>20</v>
      </c>
      <c r="L1545" t="s">
        <v>5856</v>
      </c>
      <c r="M1545" t="s">
        <v>9516</v>
      </c>
      <c r="N1545" s="3">
        <v>43307</v>
      </c>
      <c r="O1545" s="3">
        <v>43306</v>
      </c>
      <c r="P1545" t="s">
        <v>7323</v>
      </c>
      <c r="Q1545" t="s">
        <v>13713</v>
      </c>
      <c r="R1545" t="s">
        <v>6036</v>
      </c>
      <c r="S1545" s="3">
        <v>43307</v>
      </c>
      <c r="T1545" t="s">
        <v>9938</v>
      </c>
      <c r="U1545" t="s">
        <v>5878</v>
      </c>
      <c r="V1545" t="s">
        <v>7325</v>
      </c>
      <c r="W1545" t="s">
        <v>5857</v>
      </c>
      <c r="X1545" s="2">
        <v>25</v>
      </c>
      <c r="Y1545" t="s">
        <v>5858</v>
      </c>
      <c r="Z1545" t="s">
        <v>6037</v>
      </c>
      <c r="AA1545" s="2">
        <v>100</v>
      </c>
      <c r="AB1545" t="s">
        <v>5863</v>
      </c>
      <c r="AC1545" t="s">
        <v>9974</v>
      </c>
      <c r="AD1545" s="32">
        <v>43280</v>
      </c>
      <c r="AJ1545" t="s">
        <v>9959</v>
      </c>
      <c r="AL1545" t="s">
        <v>14332</v>
      </c>
    </row>
    <row r="1546" spans="1:38">
      <c r="A1546" t="s">
        <v>9760</v>
      </c>
      <c r="B1546" t="s">
        <v>12720</v>
      </c>
      <c r="C1546" t="s">
        <v>6051</v>
      </c>
      <c r="D1546" t="s">
        <v>5890</v>
      </c>
      <c r="E1546" s="2">
        <v>25</v>
      </c>
      <c r="F1546" s="2">
        <v>25</v>
      </c>
      <c r="G1546" s="3">
        <v>43304</v>
      </c>
      <c r="H1546" s="4">
        <v>0.77083333333333004</v>
      </c>
      <c r="I1546" s="3">
        <v>43304</v>
      </c>
      <c r="J1546" s="4">
        <v>0.8125</v>
      </c>
      <c r="K1546" s="2">
        <v>0</v>
      </c>
      <c r="L1546" t="s">
        <v>5856</v>
      </c>
      <c r="M1546" t="s">
        <v>6994</v>
      </c>
      <c r="N1546" s="3">
        <v>43307</v>
      </c>
      <c r="O1546" s="3">
        <v>43306</v>
      </c>
      <c r="P1546" t="s">
        <v>5911</v>
      </c>
      <c r="Q1546" t="s">
        <v>9801</v>
      </c>
      <c r="R1546" t="s">
        <v>6036</v>
      </c>
      <c r="S1546" s="3">
        <v>43307</v>
      </c>
      <c r="T1546" t="s">
        <v>9938</v>
      </c>
      <c r="U1546" t="s">
        <v>6052</v>
      </c>
      <c r="V1546" t="s">
        <v>5891</v>
      </c>
      <c r="W1546" t="s">
        <v>5857</v>
      </c>
      <c r="X1546" s="2">
        <v>25</v>
      </c>
      <c r="Y1546" t="s">
        <v>5858</v>
      </c>
      <c r="Z1546" t="s">
        <v>6037</v>
      </c>
      <c r="AA1546" s="2">
        <v>25</v>
      </c>
      <c r="AB1546" t="s">
        <v>5863</v>
      </c>
      <c r="AC1546" t="s">
        <v>9974</v>
      </c>
      <c r="AD1546" s="32">
        <v>43255</v>
      </c>
      <c r="AJ1546" t="s">
        <v>9958</v>
      </c>
      <c r="AL1546" t="s">
        <v>11499</v>
      </c>
    </row>
    <row r="1547" spans="1:38">
      <c r="A1547" t="s">
        <v>9760</v>
      </c>
      <c r="B1547" t="s">
        <v>12721</v>
      </c>
      <c r="C1547" t="s">
        <v>9802</v>
      </c>
      <c r="D1547" t="s">
        <v>9803</v>
      </c>
      <c r="E1547" s="2">
        <v>100</v>
      </c>
      <c r="F1547" s="2">
        <v>100</v>
      </c>
      <c r="G1547" s="3">
        <v>43304</v>
      </c>
      <c r="H1547" s="4">
        <v>0.83333333333333004</v>
      </c>
      <c r="I1547" s="3">
        <v>43305</v>
      </c>
      <c r="J1547" s="4">
        <v>0</v>
      </c>
      <c r="K1547" s="2">
        <v>0</v>
      </c>
      <c r="L1547" t="s">
        <v>5856</v>
      </c>
      <c r="M1547" t="s">
        <v>9516</v>
      </c>
      <c r="N1547" s="3">
        <v>43307</v>
      </c>
      <c r="O1547" s="3">
        <v>43306</v>
      </c>
      <c r="P1547" t="s">
        <v>6868</v>
      </c>
      <c r="Q1547" t="s">
        <v>9804</v>
      </c>
      <c r="R1547" t="s">
        <v>6036</v>
      </c>
      <c r="S1547" s="3">
        <v>43307</v>
      </c>
      <c r="T1547" t="s">
        <v>9938</v>
      </c>
      <c r="U1547" t="s">
        <v>6582</v>
      </c>
      <c r="V1547" t="s">
        <v>9805</v>
      </c>
      <c r="W1547" t="s">
        <v>5857</v>
      </c>
      <c r="X1547" s="2">
        <v>25</v>
      </c>
      <c r="Y1547" t="s">
        <v>5858</v>
      </c>
      <c r="Z1547" t="s">
        <v>6037</v>
      </c>
      <c r="AA1547" s="2">
        <v>100</v>
      </c>
      <c r="AB1547" t="s">
        <v>5863</v>
      </c>
      <c r="AC1547" t="s">
        <v>9976</v>
      </c>
      <c r="AD1547" s="32">
        <v>43242</v>
      </c>
      <c r="AJ1547" t="s">
        <v>9958</v>
      </c>
      <c r="AL1547" t="s">
        <v>11500</v>
      </c>
    </row>
    <row r="1548" spans="1:38">
      <c r="A1548" t="s">
        <v>9760</v>
      </c>
      <c r="B1548" t="s">
        <v>12722</v>
      </c>
      <c r="C1548" t="s">
        <v>9806</v>
      </c>
      <c r="D1548" t="s">
        <v>9807</v>
      </c>
      <c r="E1548" s="2">
        <v>50</v>
      </c>
      <c r="F1548" s="2">
        <v>50</v>
      </c>
      <c r="G1548" s="3">
        <v>43304</v>
      </c>
      <c r="H1548" s="4">
        <v>0.91666666666666996</v>
      </c>
      <c r="I1548" s="3">
        <v>43305</v>
      </c>
      <c r="J1548" s="4">
        <v>0</v>
      </c>
      <c r="K1548" s="2">
        <v>0</v>
      </c>
      <c r="L1548" t="s">
        <v>5856</v>
      </c>
      <c r="M1548" t="s">
        <v>9537</v>
      </c>
      <c r="N1548" s="3">
        <v>43308</v>
      </c>
      <c r="O1548" s="3">
        <v>43306</v>
      </c>
      <c r="P1548" t="s">
        <v>5964</v>
      </c>
      <c r="Q1548" t="s">
        <v>9808</v>
      </c>
      <c r="R1548" t="s">
        <v>6036</v>
      </c>
      <c r="S1548" s="3">
        <v>43308</v>
      </c>
      <c r="T1548" t="s">
        <v>9938</v>
      </c>
      <c r="U1548" t="s">
        <v>5882</v>
      </c>
      <c r="V1548" t="s">
        <v>9809</v>
      </c>
      <c r="W1548" t="s">
        <v>5857</v>
      </c>
      <c r="X1548" s="2">
        <v>25</v>
      </c>
      <c r="Y1548" t="s">
        <v>5858</v>
      </c>
      <c r="Z1548" t="s">
        <v>6037</v>
      </c>
      <c r="AA1548" s="2">
        <v>50</v>
      </c>
      <c r="AB1548" t="s">
        <v>5863</v>
      </c>
      <c r="AC1548" t="s">
        <v>9978</v>
      </c>
      <c r="AD1548" s="32">
        <v>43228</v>
      </c>
      <c r="AJ1548" t="s">
        <v>9958</v>
      </c>
      <c r="AL1548" t="s">
        <v>11501</v>
      </c>
    </row>
    <row r="1549" spans="1:38">
      <c r="A1549" t="s">
        <v>9760</v>
      </c>
      <c r="B1549" t="s">
        <v>13714</v>
      </c>
      <c r="C1549" t="s">
        <v>13715</v>
      </c>
      <c r="D1549" t="s">
        <v>13716</v>
      </c>
      <c r="E1549" s="2">
        <v>700</v>
      </c>
      <c r="F1549" s="2">
        <v>700</v>
      </c>
      <c r="G1549" s="3">
        <v>43322</v>
      </c>
      <c r="H1549" s="4">
        <v>0.64583333333333004</v>
      </c>
      <c r="I1549" s="3">
        <v>43323</v>
      </c>
      <c r="J1549" s="4">
        <v>0.8125</v>
      </c>
      <c r="K1549" s="2">
        <v>0</v>
      </c>
      <c r="L1549" t="s">
        <v>5856</v>
      </c>
      <c r="M1549" t="s">
        <v>9481</v>
      </c>
      <c r="N1549" s="3">
        <v>43326</v>
      </c>
      <c r="O1549" s="3">
        <v>43325</v>
      </c>
      <c r="P1549" t="s">
        <v>5862</v>
      </c>
      <c r="Q1549" t="s">
        <v>13717</v>
      </c>
      <c r="R1549" t="s">
        <v>6036</v>
      </c>
      <c r="S1549" s="3">
        <v>43326</v>
      </c>
      <c r="T1549" t="s">
        <v>9938</v>
      </c>
      <c r="U1549" t="s">
        <v>13718</v>
      </c>
      <c r="V1549" t="s">
        <v>13719</v>
      </c>
      <c r="W1549" t="s">
        <v>5857</v>
      </c>
      <c r="X1549" s="2">
        <v>0</v>
      </c>
      <c r="Y1549" t="s">
        <v>5858</v>
      </c>
      <c r="Z1549" t="s">
        <v>6037</v>
      </c>
      <c r="AA1549" s="2">
        <v>500</v>
      </c>
      <c r="AB1549" t="s">
        <v>5915</v>
      </c>
      <c r="AD1549" s="32"/>
      <c r="AI1549" t="s">
        <v>9939</v>
      </c>
      <c r="AJ1549" t="s">
        <v>9958</v>
      </c>
      <c r="AL1549" t="s">
        <v>14333</v>
      </c>
    </row>
    <row r="1550" spans="1:38">
      <c r="A1550" t="s">
        <v>9760</v>
      </c>
      <c r="B1550" t="s">
        <v>12723</v>
      </c>
      <c r="C1550" t="s">
        <v>9810</v>
      </c>
      <c r="D1550" t="s">
        <v>9811</v>
      </c>
      <c r="E1550" s="2">
        <v>100</v>
      </c>
      <c r="F1550" s="2">
        <v>100</v>
      </c>
      <c r="G1550" s="3">
        <v>43323</v>
      </c>
      <c r="H1550" s="4">
        <v>0.83333333333333004</v>
      </c>
      <c r="I1550" s="3">
        <v>43324</v>
      </c>
      <c r="J1550" s="4">
        <v>0</v>
      </c>
      <c r="K1550" s="2">
        <v>0</v>
      </c>
      <c r="L1550" t="s">
        <v>5856</v>
      </c>
      <c r="M1550" t="s">
        <v>9516</v>
      </c>
      <c r="N1550" s="3">
        <v>43326</v>
      </c>
      <c r="O1550" s="3">
        <v>43325</v>
      </c>
      <c r="P1550" t="s">
        <v>5889</v>
      </c>
      <c r="Q1550" t="s">
        <v>9812</v>
      </c>
      <c r="R1550" t="s">
        <v>6036</v>
      </c>
      <c r="S1550" s="3">
        <v>43326</v>
      </c>
      <c r="T1550" t="s">
        <v>9938</v>
      </c>
      <c r="U1550" t="s">
        <v>5987</v>
      </c>
      <c r="V1550" t="s">
        <v>6794</v>
      </c>
      <c r="W1550" t="s">
        <v>5857</v>
      </c>
      <c r="X1550" s="2">
        <v>25</v>
      </c>
      <c r="Y1550" t="s">
        <v>5858</v>
      </c>
      <c r="Z1550" t="s">
        <v>6037</v>
      </c>
      <c r="AA1550" s="2">
        <v>100</v>
      </c>
      <c r="AB1550" t="s">
        <v>5863</v>
      </c>
      <c r="AD1550" s="32"/>
      <c r="AJ1550" t="s">
        <v>9958</v>
      </c>
      <c r="AL1550" t="s">
        <v>11502</v>
      </c>
    </row>
    <row r="1551" spans="1:38">
      <c r="A1551" t="s">
        <v>9760</v>
      </c>
      <c r="B1551" t="s">
        <v>13720</v>
      </c>
      <c r="C1551" t="s">
        <v>13721</v>
      </c>
      <c r="D1551" t="s">
        <v>13722</v>
      </c>
      <c r="E1551" s="2">
        <v>35</v>
      </c>
      <c r="F1551" s="2">
        <v>35</v>
      </c>
      <c r="G1551" s="3">
        <v>43367</v>
      </c>
      <c r="H1551" s="4">
        <v>0.94166666666666998</v>
      </c>
      <c r="I1551" s="3">
        <v>43368</v>
      </c>
      <c r="J1551" s="4">
        <v>0</v>
      </c>
      <c r="K1551" s="2">
        <v>20</v>
      </c>
      <c r="L1551" t="s">
        <v>5856</v>
      </c>
      <c r="M1551" t="s">
        <v>9495</v>
      </c>
      <c r="N1551" s="3">
        <v>43370</v>
      </c>
      <c r="O1551" s="3">
        <v>43369</v>
      </c>
      <c r="P1551" t="s">
        <v>7251</v>
      </c>
      <c r="Q1551" t="s">
        <v>13723</v>
      </c>
      <c r="R1551" t="s">
        <v>6036</v>
      </c>
      <c r="S1551" s="3">
        <v>43370</v>
      </c>
      <c r="T1551" t="s">
        <v>9938</v>
      </c>
      <c r="U1551" t="s">
        <v>13724</v>
      </c>
      <c r="V1551" t="s">
        <v>13725</v>
      </c>
      <c r="W1551" t="s">
        <v>5857</v>
      </c>
      <c r="X1551" s="2">
        <v>25</v>
      </c>
      <c r="Y1551" t="s">
        <v>5858</v>
      </c>
      <c r="Z1551" t="s">
        <v>6037</v>
      </c>
      <c r="AA1551" s="2">
        <v>25</v>
      </c>
      <c r="AB1551" t="s">
        <v>5863</v>
      </c>
      <c r="AC1551" t="s">
        <v>9974</v>
      </c>
      <c r="AD1551" s="32"/>
      <c r="AJ1551" t="s">
        <v>9957</v>
      </c>
      <c r="AL1551" t="s">
        <v>14334</v>
      </c>
    </row>
    <row r="1552" spans="1:38">
      <c r="A1552" t="s">
        <v>9813</v>
      </c>
      <c r="B1552" t="s">
        <v>12724</v>
      </c>
      <c r="C1552" t="s">
        <v>6062</v>
      </c>
      <c r="D1552" t="s">
        <v>5909</v>
      </c>
      <c r="E1552" s="2">
        <v>300</v>
      </c>
      <c r="F1552" s="2">
        <v>300</v>
      </c>
      <c r="G1552" s="3">
        <v>43275</v>
      </c>
      <c r="H1552" s="4">
        <v>0.49583333333333002</v>
      </c>
      <c r="I1552" s="3">
        <v>43275</v>
      </c>
      <c r="J1552" s="4">
        <v>0.99583333333333002</v>
      </c>
      <c r="K1552" s="2">
        <v>0</v>
      </c>
      <c r="L1552" t="s">
        <v>5856</v>
      </c>
      <c r="M1552" t="s">
        <v>9778</v>
      </c>
      <c r="N1552" s="3">
        <v>43279</v>
      </c>
      <c r="O1552" s="3">
        <v>43277</v>
      </c>
      <c r="P1552" t="s">
        <v>5870</v>
      </c>
      <c r="Q1552" t="s">
        <v>9817</v>
      </c>
      <c r="R1552" t="s">
        <v>6036</v>
      </c>
      <c r="S1552" s="3">
        <v>43279</v>
      </c>
      <c r="T1552" t="s">
        <v>9938</v>
      </c>
      <c r="U1552" t="s">
        <v>5866</v>
      </c>
      <c r="V1552" t="s">
        <v>5910</v>
      </c>
      <c r="W1552" t="s">
        <v>5857</v>
      </c>
      <c r="X1552" s="2">
        <v>25</v>
      </c>
      <c r="Y1552" t="s">
        <v>5858</v>
      </c>
      <c r="Z1552" t="s">
        <v>6037</v>
      </c>
      <c r="AA1552" s="2">
        <v>300</v>
      </c>
      <c r="AB1552" t="s">
        <v>5863</v>
      </c>
      <c r="AD1552" s="32"/>
      <c r="AI1552" t="s">
        <v>9939</v>
      </c>
      <c r="AJ1552" t="s">
        <v>9967</v>
      </c>
      <c r="AL1552" t="s">
        <v>11503</v>
      </c>
    </row>
    <row r="1553" spans="1:38">
      <c r="A1553" t="s">
        <v>9813</v>
      </c>
      <c r="B1553" t="s">
        <v>12725</v>
      </c>
      <c r="C1553" t="s">
        <v>9818</v>
      </c>
      <c r="D1553" t="s">
        <v>9819</v>
      </c>
      <c r="E1553" s="2">
        <v>50</v>
      </c>
      <c r="F1553" s="2">
        <v>50</v>
      </c>
      <c r="G1553" s="3">
        <v>43277</v>
      </c>
      <c r="H1553" s="4">
        <v>0.86694444444443997</v>
      </c>
      <c r="I1553" s="3">
        <v>43277</v>
      </c>
      <c r="J1553" s="4">
        <v>0.95027777777778</v>
      </c>
      <c r="K1553" s="2">
        <v>4</v>
      </c>
      <c r="L1553" t="s">
        <v>5856</v>
      </c>
      <c r="M1553" t="s">
        <v>9537</v>
      </c>
      <c r="N1553" s="3">
        <v>43277</v>
      </c>
      <c r="O1553" s="3">
        <v>43279</v>
      </c>
      <c r="P1553" t="s">
        <v>9394</v>
      </c>
      <c r="Q1553" t="s">
        <v>9820</v>
      </c>
      <c r="R1553" t="s">
        <v>6036</v>
      </c>
      <c r="S1553" s="3">
        <v>43277</v>
      </c>
      <c r="T1553" t="s">
        <v>9938</v>
      </c>
      <c r="U1553" t="s">
        <v>9298</v>
      </c>
      <c r="V1553" t="s">
        <v>9821</v>
      </c>
      <c r="W1553" t="s">
        <v>7883</v>
      </c>
      <c r="X1553" s="2">
        <v>25</v>
      </c>
      <c r="Y1553" t="s">
        <v>5858</v>
      </c>
      <c r="Z1553" t="s">
        <v>6037</v>
      </c>
      <c r="AA1553" s="2">
        <v>50</v>
      </c>
      <c r="AB1553" t="s">
        <v>5863</v>
      </c>
      <c r="AC1553" t="s">
        <v>9981</v>
      </c>
      <c r="AD1553" s="32">
        <v>43265</v>
      </c>
      <c r="AJ1553" t="s">
        <v>9967</v>
      </c>
      <c r="AL1553" t="s">
        <v>11504</v>
      </c>
    </row>
    <row r="1554" spans="1:38">
      <c r="A1554" t="s">
        <v>9813</v>
      </c>
      <c r="B1554" t="s">
        <v>12726</v>
      </c>
      <c r="C1554" t="s">
        <v>9822</v>
      </c>
      <c r="D1554" t="s">
        <v>9823</v>
      </c>
      <c r="E1554" s="2">
        <v>28</v>
      </c>
      <c r="F1554" s="2">
        <v>168</v>
      </c>
      <c r="G1554" s="3">
        <v>43278</v>
      </c>
      <c r="H1554" s="4">
        <v>0.94222222222221996</v>
      </c>
      <c r="I1554" s="3">
        <v>43279</v>
      </c>
      <c r="J1554" s="4">
        <v>0.22222222222221999</v>
      </c>
      <c r="K1554" s="2">
        <v>0</v>
      </c>
      <c r="L1554" t="s">
        <v>5856</v>
      </c>
      <c r="M1554" t="s">
        <v>9824</v>
      </c>
      <c r="N1554" s="3">
        <v>43285</v>
      </c>
      <c r="O1554" s="3">
        <v>43286</v>
      </c>
      <c r="P1554" t="s">
        <v>9311</v>
      </c>
      <c r="Q1554" t="s">
        <v>6038</v>
      </c>
      <c r="R1554" t="s">
        <v>6039</v>
      </c>
      <c r="S1554" s="3"/>
      <c r="T1554" t="s">
        <v>9938</v>
      </c>
      <c r="U1554" t="s">
        <v>9132</v>
      </c>
      <c r="V1554" t="s">
        <v>9825</v>
      </c>
      <c r="W1554" t="s">
        <v>6038</v>
      </c>
      <c r="X1554" s="2">
        <v>25</v>
      </c>
      <c r="Y1554" t="s">
        <v>5858</v>
      </c>
      <c r="Z1554" t="s">
        <v>6037</v>
      </c>
      <c r="AA1554" s="2">
        <v>28</v>
      </c>
      <c r="AB1554" t="s">
        <v>5859</v>
      </c>
      <c r="AC1554" t="s">
        <v>9981</v>
      </c>
      <c r="AD1554" s="32">
        <v>43264</v>
      </c>
      <c r="AJ1554" t="s">
        <v>9967</v>
      </c>
      <c r="AL1554" t="s">
        <v>11505</v>
      </c>
    </row>
    <row r="1555" spans="1:38">
      <c r="A1555" t="s">
        <v>9813</v>
      </c>
      <c r="B1555" t="s">
        <v>12727</v>
      </c>
      <c r="C1555" t="s">
        <v>9376</v>
      </c>
      <c r="D1555" t="s">
        <v>9377</v>
      </c>
      <c r="E1555" s="2">
        <v>60</v>
      </c>
      <c r="F1555" s="2">
        <v>210</v>
      </c>
      <c r="G1555" s="3">
        <v>43280</v>
      </c>
      <c r="H1555" s="4">
        <v>2.0833333333330002E-2</v>
      </c>
      <c r="I1555" s="3">
        <v>43280</v>
      </c>
      <c r="J1555" s="4">
        <v>0.37083333333333002</v>
      </c>
      <c r="K1555" s="2">
        <v>10</v>
      </c>
      <c r="L1555" t="s">
        <v>5856</v>
      </c>
      <c r="M1555" t="s">
        <v>9551</v>
      </c>
      <c r="N1555" s="3"/>
      <c r="O1555" s="3">
        <v>43287</v>
      </c>
      <c r="P1555" t="s">
        <v>6021</v>
      </c>
      <c r="Q1555" t="s">
        <v>6038</v>
      </c>
      <c r="R1555" t="s">
        <v>6039</v>
      </c>
      <c r="S1555" s="3"/>
      <c r="T1555" t="s">
        <v>9938</v>
      </c>
      <c r="U1555" t="s">
        <v>9252</v>
      </c>
      <c r="V1555" t="s">
        <v>9378</v>
      </c>
      <c r="W1555" t="s">
        <v>5857</v>
      </c>
      <c r="X1555" s="2">
        <v>25</v>
      </c>
      <c r="Y1555" t="s">
        <v>5858</v>
      </c>
      <c r="Z1555" t="s">
        <v>6037</v>
      </c>
      <c r="AA1555" s="2">
        <v>0</v>
      </c>
      <c r="AB1555" t="s">
        <v>5859</v>
      </c>
      <c r="AC1555" t="s">
        <v>9981</v>
      </c>
      <c r="AD1555" s="32">
        <v>43278</v>
      </c>
      <c r="AJ1555" t="s">
        <v>9967</v>
      </c>
      <c r="AL1555" t="s">
        <v>11506</v>
      </c>
    </row>
    <row r="1556" spans="1:38">
      <c r="A1556" t="s">
        <v>9813</v>
      </c>
      <c r="B1556" t="s">
        <v>13726</v>
      </c>
      <c r="C1556" t="s">
        <v>9878</v>
      </c>
      <c r="D1556" t="s">
        <v>9879</v>
      </c>
      <c r="E1556" s="2">
        <v>84</v>
      </c>
      <c r="F1556" s="2">
        <v>84</v>
      </c>
      <c r="G1556" s="3">
        <v>43280</v>
      </c>
      <c r="H1556" s="4">
        <v>0.85998842592592994</v>
      </c>
      <c r="I1556" s="3">
        <v>43280</v>
      </c>
      <c r="J1556" s="4">
        <v>0.99998842592592996</v>
      </c>
      <c r="K1556" s="2">
        <v>8</v>
      </c>
      <c r="L1556" t="s">
        <v>5856</v>
      </c>
      <c r="M1556" t="s">
        <v>9852</v>
      </c>
      <c r="N1556" s="3">
        <v>43287</v>
      </c>
      <c r="O1556" s="3">
        <v>43287</v>
      </c>
      <c r="P1556" t="s">
        <v>9880</v>
      </c>
      <c r="Q1556" t="s">
        <v>13727</v>
      </c>
      <c r="R1556" t="s">
        <v>6036</v>
      </c>
      <c r="S1556" s="3">
        <v>43287</v>
      </c>
      <c r="T1556" t="s">
        <v>9938</v>
      </c>
      <c r="U1556" t="s">
        <v>9132</v>
      </c>
      <c r="V1556" t="s">
        <v>9882</v>
      </c>
      <c r="W1556" t="s">
        <v>6038</v>
      </c>
      <c r="X1556" s="2">
        <v>25</v>
      </c>
      <c r="Y1556" t="s">
        <v>5858</v>
      </c>
      <c r="Z1556" t="s">
        <v>6037</v>
      </c>
      <c r="AA1556" s="2">
        <v>60</v>
      </c>
      <c r="AB1556" t="s">
        <v>5863</v>
      </c>
      <c r="AC1556" t="s">
        <v>9981</v>
      </c>
      <c r="AD1556" s="32">
        <v>43280</v>
      </c>
      <c r="AJ1556" t="s">
        <v>9967</v>
      </c>
      <c r="AL1556" t="s">
        <v>14335</v>
      </c>
    </row>
    <row r="1557" spans="1:38">
      <c r="A1557" t="s">
        <v>9813</v>
      </c>
      <c r="B1557" t="s">
        <v>12729</v>
      </c>
      <c r="C1557" t="s">
        <v>7855</v>
      </c>
      <c r="D1557" t="s">
        <v>7856</v>
      </c>
      <c r="E1557" s="2">
        <v>35</v>
      </c>
      <c r="F1557" s="2">
        <v>35</v>
      </c>
      <c r="G1557" s="3">
        <v>43281</v>
      </c>
      <c r="H1557" s="4">
        <v>0.96250000000000002</v>
      </c>
      <c r="I1557" s="3">
        <v>43282</v>
      </c>
      <c r="J1557" s="4">
        <v>2.0833333333330002E-2</v>
      </c>
      <c r="K1557" s="2">
        <v>4</v>
      </c>
      <c r="L1557" t="s">
        <v>5856</v>
      </c>
      <c r="M1557" t="s">
        <v>9495</v>
      </c>
      <c r="N1557" s="3">
        <v>43272</v>
      </c>
      <c r="O1557" s="3">
        <v>43284</v>
      </c>
      <c r="P1557" t="s">
        <v>9827</v>
      </c>
      <c r="Q1557" t="s">
        <v>6038</v>
      </c>
      <c r="R1557" t="s">
        <v>6039</v>
      </c>
      <c r="S1557" s="3"/>
      <c r="T1557" t="s">
        <v>9938</v>
      </c>
      <c r="U1557" t="s">
        <v>7858</v>
      </c>
      <c r="V1557" t="s">
        <v>6073</v>
      </c>
      <c r="W1557" t="s">
        <v>5857</v>
      </c>
      <c r="X1557" s="2">
        <v>25</v>
      </c>
      <c r="Y1557" t="s">
        <v>5858</v>
      </c>
      <c r="Z1557" t="s">
        <v>6037</v>
      </c>
      <c r="AA1557" s="2">
        <v>25</v>
      </c>
      <c r="AB1557" t="s">
        <v>5859</v>
      </c>
      <c r="AC1557" t="s">
        <v>9982</v>
      </c>
      <c r="AD1557" s="32">
        <v>43277</v>
      </c>
      <c r="AJ1557" t="s">
        <v>9967</v>
      </c>
      <c r="AL1557" t="s">
        <v>11507</v>
      </c>
    </row>
    <row r="1558" spans="1:38">
      <c r="A1558" t="s">
        <v>9813</v>
      </c>
      <c r="B1558" t="s">
        <v>12732</v>
      </c>
      <c r="C1558" t="s">
        <v>7877</v>
      </c>
      <c r="D1558" t="s">
        <v>7878</v>
      </c>
      <c r="E1558" s="2">
        <v>35</v>
      </c>
      <c r="F1558" s="2">
        <v>35</v>
      </c>
      <c r="G1558" s="3">
        <v>43282</v>
      </c>
      <c r="H1558" s="4">
        <v>4.1666666666670002E-2</v>
      </c>
      <c r="I1558" s="3">
        <v>43282</v>
      </c>
      <c r="J1558" s="4">
        <v>0.1</v>
      </c>
      <c r="K1558" s="2">
        <v>8</v>
      </c>
      <c r="L1558" t="s">
        <v>5856</v>
      </c>
      <c r="M1558" t="s">
        <v>9495</v>
      </c>
      <c r="N1558" s="3">
        <v>43284</v>
      </c>
      <c r="O1558" s="3">
        <v>43284</v>
      </c>
      <c r="P1558" t="s">
        <v>7879</v>
      </c>
      <c r="Q1558" t="s">
        <v>9830</v>
      </c>
      <c r="R1558" t="s">
        <v>6036</v>
      </c>
      <c r="S1558" s="3">
        <v>43284</v>
      </c>
      <c r="T1558" t="s">
        <v>9938</v>
      </c>
      <c r="U1558" t="s">
        <v>7881</v>
      </c>
      <c r="V1558" t="s">
        <v>7882</v>
      </c>
      <c r="W1558" t="s">
        <v>7883</v>
      </c>
      <c r="X1558" s="2">
        <v>25</v>
      </c>
      <c r="Y1558" t="s">
        <v>5858</v>
      </c>
      <c r="Z1558" t="s">
        <v>6037</v>
      </c>
      <c r="AA1558" s="2">
        <v>25</v>
      </c>
      <c r="AB1558" t="s">
        <v>5859</v>
      </c>
      <c r="AC1558" t="s">
        <v>9981</v>
      </c>
      <c r="AD1558" s="32">
        <v>43278</v>
      </c>
      <c r="AJ1558" t="s">
        <v>9967</v>
      </c>
      <c r="AL1558" t="s">
        <v>11510</v>
      </c>
    </row>
    <row r="1559" spans="1:38">
      <c r="A1559" t="s">
        <v>9813</v>
      </c>
      <c r="B1559" t="s">
        <v>12730</v>
      </c>
      <c r="C1559" t="s">
        <v>9457</v>
      </c>
      <c r="D1559" t="s">
        <v>9458</v>
      </c>
      <c r="E1559" s="2">
        <v>35</v>
      </c>
      <c r="F1559" s="2">
        <v>35</v>
      </c>
      <c r="G1559" s="3">
        <v>43282</v>
      </c>
      <c r="H1559" s="4">
        <v>0.12083333333333</v>
      </c>
      <c r="I1559" s="3">
        <v>43282</v>
      </c>
      <c r="J1559" s="4">
        <v>0.17916666666667</v>
      </c>
      <c r="K1559" s="2">
        <v>8</v>
      </c>
      <c r="L1559" t="s">
        <v>5856</v>
      </c>
      <c r="M1559" t="s">
        <v>9495</v>
      </c>
      <c r="N1559" s="3">
        <v>43284</v>
      </c>
      <c r="O1559" s="3">
        <v>43284</v>
      </c>
      <c r="P1559" t="s">
        <v>5898</v>
      </c>
      <c r="Q1559" t="s">
        <v>9828</v>
      </c>
      <c r="R1559" t="s">
        <v>6036</v>
      </c>
      <c r="S1559" s="3">
        <v>43284</v>
      </c>
      <c r="T1559" t="s">
        <v>9938</v>
      </c>
      <c r="U1559" t="s">
        <v>9460</v>
      </c>
      <c r="V1559" t="s">
        <v>9461</v>
      </c>
      <c r="W1559" t="s">
        <v>5857</v>
      </c>
      <c r="X1559" s="2">
        <v>25</v>
      </c>
      <c r="Y1559" t="s">
        <v>5858</v>
      </c>
      <c r="Z1559" t="s">
        <v>6037</v>
      </c>
      <c r="AA1559" s="2">
        <v>25</v>
      </c>
      <c r="AB1559" t="s">
        <v>5859</v>
      </c>
      <c r="AC1559" t="s">
        <v>9982</v>
      </c>
      <c r="AD1559" s="32">
        <v>43277</v>
      </c>
      <c r="AJ1559" t="s">
        <v>9967</v>
      </c>
      <c r="AL1559" t="s">
        <v>11508</v>
      </c>
    </row>
    <row r="1560" spans="1:38">
      <c r="A1560" t="s">
        <v>9813</v>
      </c>
      <c r="B1560" t="s">
        <v>12731</v>
      </c>
      <c r="C1560" t="s">
        <v>7911</v>
      </c>
      <c r="D1560" t="s">
        <v>7912</v>
      </c>
      <c r="E1560" s="2">
        <v>35</v>
      </c>
      <c r="F1560" s="2">
        <v>35</v>
      </c>
      <c r="G1560" s="3">
        <v>43282</v>
      </c>
      <c r="H1560" s="4">
        <v>0.2</v>
      </c>
      <c r="I1560" s="3">
        <v>43282</v>
      </c>
      <c r="J1560" s="4">
        <v>0.25833333333332997</v>
      </c>
      <c r="K1560" s="2">
        <v>8</v>
      </c>
      <c r="L1560" t="s">
        <v>5856</v>
      </c>
      <c r="M1560" t="s">
        <v>9495</v>
      </c>
      <c r="N1560" s="3">
        <v>43284</v>
      </c>
      <c r="O1560" s="3">
        <v>43284</v>
      </c>
      <c r="P1560" t="s">
        <v>7913</v>
      </c>
      <c r="Q1560" t="s">
        <v>9829</v>
      </c>
      <c r="R1560" t="s">
        <v>6036</v>
      </c>
      <c r="S1560" s="3">
        <v>43284</v>
      </c>
      <c r="T1560" t="s">
        <v>9938</v>
      </c>
      <c r="U1560" t="s">
        <v>7915</v>
      </c>
      <c r="V1560" t="s">
        <v>6067</v>
      </c>
      <c r="W1560" t="s">
        <v>5857</v>
      </c>
      <c r="X1560" s="2">
        <v>25</v>
      </c>
      <c r="Y1560" t="s">
        <v>5858</v>
      </c>
      <c r="Z1560" t="s">
        <v>6037</v>
      </c>
      <c r="AA1560" s="2">
        <v>25</v>
      </c>
      <c r="AB1560" t="s">
        <v>5859</v>
      </c>
      <c r="AC1560" t="s">
        <v>9982</v>
      </c>
      <c r="AD1560" s="32">
        <v>43278</v>
      </c>
      <c r="AI1560" t="s">
        <v>9939</v>
      </c>
      <c r="AJ1560" t="s">
        <v>9967</v>
      </c>
      <c r="AL1560" t="s">
        <v>11509</v>
      </c>
    </row>
    <row r="1561" spans="1:38">
      <c r="A1561" t="s">
        <v>9813</v>
      </c>
      <c r="B1561" t="s">
        <v>12733</v>
      </c>
      <c r="C1561" t="s">
        <v>9832</v>
      </c>
      <c r="D1561" t="s">
        <v>9833</v>
      </c>
      <c r="E1561" s="2">
        <v>28</v>
      </c>
      <c r="F1561" s="2">
        <v>28</v>
      </c>
      <c r="G1561" s="3">
        <v>43283</v>
      </c>
      <c r="H1561" s="4">
        <v>0.2</v>
      </c>
      <c r="I1561" s="3">
        <v>43283</v>
      </c>
      <c r="J1561" s="4">
        <v>0.24666666666667</v>
      </c>
      <c r="K1561" s="2">
        <v>25</v>
      </c>
      <c r="L1561" t="s">
        <v>5856</v>
      </c>
      <c r="M1561" t="s">
        <v>9834</v>
      </c>
      <c r="N1561" s="3">
        <v>43290</v>
      </c>
      <c r="O1561" s="3">
        <v>43290</v>
      </c>
      <c r="P1561" t="s">
        <v>9131</v>
      </c>
      <c r="Q1561" t="s">
        <v>9835</v>
      </c>
      <c r="R1561" t="s">
        <v>6036</v>
      </c>
      <c r="S1561" s="3">
        <v>43290</v>
      </c>
      <c r="T1561" t="s">
        <v>9938</v>
      </c>
      <c r="U1561" t="s">
        <v>9836</v>
      </c>
      <c r="V1561" t="s">
        <v>9837</v>
      </c>
      <c r="W1561" t="s">
        <v>6038</v>
      </c>
      <c r="X1561" s="2">
        <v>25</v>
      </c>
      <c r="Y1561" t="s">
        <v>5858</v>
      </c>
      <c r="Z1561" t="s">
        <v>6037</v>
      </c>
      <c r="AA1561" s="2">
        <v>20</v>
      </c>
      <c r="AB1561" t="s">
        <v>5859</v>
      </c>
      <c r="AC1561" t="s">
        <v>9981</v>
      </c>
      <c r="AD1561" s="32">
        <v>43278</v>
      </c>
      <c r="AJ1561" t="s">
        <v>9967</v>
      </c>
      <c r="AL1561" t="s">
        <v>11511</v>
      </c>
    </row>
    <row r="1562" spans="1:38">
      <c r="A1562" t="s">
        <v>9813</v>
      </c>
      <c r="B1562" t="s">
        <v>12744</v>
      </c>
      <c r="C1562" t="s">
        <v>8102</v>
      </c>
      <c r="D1562" t="s">
        <v>8103</v>
      </c>
      <c r="E1562" s="2">
        <v>35</v>
      </c>
      <c r="F1562" s="2">
        <v>35</v>
      </c>
      <c r="G1562" s="3">
        <v>43283</v>
      </c>
      <c r="H1562" s="4">
        <v>0.49166666666667003</v>
      </c>
      <c r="I1562" s="3">
        <v>43283</v>
      </c>
      <c r="J1562" s="4">
        <v>0.55000000000000004</v>
      </c>
      <c r="K1562" s="2">
        <v>25</v>
      </c>
      <c r="L1562" t="s">
        <v>5856</v>
      </c>
      <c r="M1562" t="s">
        <v>9495</v>
      </c>
      <c r="N1562" s="3">
        <v>43290</v>
      </c>
      <c r="O1562" s="3">
        <v>43285</v>
      </c>
      <c r="P1562" t="s">
        <v>5869</v>
      </c>
      <c r="Q1562" t="s">
        <v>9866</v>
      </c>
      <c r="R1562" t="s">
        <v>6036</v>
      </c>
      <c r="S1562" s="3">
        <v>43290</v>
      </c>
      <c r="T1562" t="s">
        <v>9938</v>
      </c>
      <c r="U1562" t="s">
        <v>8104</v>
      </c>
      <c r="V1562" t="s">
        <v>5860</v>
      </c>
      <c r="W1562" t="s">
        <v>6038</v>
      </c>
      <c r="X1562" s="2">
        <v>25</v>
      </c>
      <c r="Y1562" t="s">
        <v>5858</v>
      </c>
      <c r="Z1562" t="s">
        <v>6037</v>
      </c>
      <c r="AA1562" s="2">
        <v>25</v>
      </c>
      <c r="AB1562" t="s">
        <v>5859</v>
      </c>
      <c r="AC1562" t="s">
        <v>9981</v>
      </c>
      <c r="AD1562" s="32">
        <v>43277</v>
      </c>
      <c r="AL1562" t="s">
        <v>11521</v>
      </c>
    </row>
    <row r="1563" spans="1:38">
      <c r="A1563" t="s">
        <v>9813</v>
      </c>
      <c r="B1563" t="s">
        <v>12734</v>
      </c>
      <c r="C1563" t="s">
        <v>9814</v>
      </c>
      <c r="D1563" t="s">
        <v>9815</v>
      </c>
      <c r="E1563" s="2">
        <v>5</v>
      </c>
      <c r="F1563" s="2">
        <v>105</v>
      </c>
      <c r="G1563" s="3">
        <v>43283</v>
      </c>
      <c r="H1563" s="4">
        <v>0.65916666666667001</v>
      </c>
      <c r="I1563" s="3">
        <v>43283</v>
      </c>
      <c r="J1563" s="4">
        <v>0.83416666666667005</v>
      </c>
      <c r="K1563" s="2">
        <v>25</v>
      </c>
      <c r="L1563" t="s">
        <v>5856</v>
      </c>
      <c r="M1563" t="s">
        <v>9625</v>
      </c>
      <c r="N1563" s="3">
        <v>43276</v>
      </c>
      <c r="O1563" s="3">
        <v>43285</v>
      </c>
      <c r="P1563" t="s">
        <v>5862</v>
      </c>
      <c r="Q1563" t="s">
        <v>6038</v>
      </c>
      <c r="R1563" t="s">
        <v>6039</v>
      </c>
      <c r="S1563" s="3"/>
      <c r="T1563" t="s">
        <v>9938</v>
      </c>
      <c r="U1563" t="s">
        <v>9816</v>
      </c>
      <c r="V1563" t="s">
        <v>6041</v>
      </c>
      <c r="W1563" t="s">
        <v>6038</v>
      </c>
      <c r="X1563" s="2">
        <v>25</v>
      </c>
      <c r="Y1563" t="s">
        <v>5858</v>
      </c>
      <c r="Z1563" t="s">
        <v>6037</v>
      </c>
      <c r="AA1563" s="2">
        <v>5</v>
      </c>
      <c r="AB1563" t="s">
        <v>5859</v>
      </c>
      <c r="AC1563" t="s">
        <v>9981</v>
      </c>
      <c r="AD1563" s="32">
        <v>43256</v>
      </c>
      <c r="AL1563" t="s">
        <v>11512</v>
      </c>
    </row>
    <row r="1564" spans="1:38">
      <c r="A1564" t="s">
        <v>9813</v>
      </c>
      <c r="B1564" t="s">
        <v>12735</v>
      </c>
      <c r="C1564" t="s">
        <v>9838</v>
      </c>
      <c r="D1564" t="s">
        <v>9839</v>
      </c>
      <c r="E1564" s="2">
        <v>3</v>
      </c>
      <c r="F1564" s="2">
        <v>28</v>
      </c>
      <c r="G1564" s="3">
        <v>43284</v>
      </c>
      <c r="H1564" s="4">
        <v>4.1666666666670002E-2</v>
      </c>
      <c r="I1564" s="3">
        <v>43284</v>
      </c>
      <c r="J1564" s="4">
        <v>8.8333333333330002E-2</v>
      </c>
      <c r="K1564" s="2">
        <v>25</v>
      </c>
      <c r="L1564" t="s">
        <v>5856</v>
      </c>
      <c r="M1564" t="s">
        <v>9834</v>
      </c>
      <c r="N1564" s="3">
        <v>43285</v>
      </c>
      <c r="O1564" s="3">
        <v>43286</v>
      </c>
      <c r="P1564" t="s">
        <v>7790</v>
      </c>
      <c r="Q1564" t="s">
        <v>6038</v>
      </c>
      <c r="R1564" t="s">
        <v>6039</v>
      </c>
      <c r="S1564" s="3"/>
      <c r="T1564" t="s">
        <v>9938</v>
      </c>
      <c r="U1564" t="s">
        <v>7932</v>
      </c>
      <c r="V1564" t="s">
        <v>9840</v>
      </c>
      <c r="W1564" t="s">
        <v>5914</v>
      </c>
      <c r="X1564" s="2">
        <v>25</v>
      </c>
      <c r="Y1564" t="s">
        <v>5858</v>
      </c>
      <c r="Z1564" t="s">
        <v>6037</v>
      </c>
      <c r="AA1564" s="2">
        <v>0</v>
      </c>
      <c r="AB1564" t="s">
        <v>5859</v>
      </c>
      <c r="AC1564" t="s">
        <v>9981</v>
      </c>
      <c r="AD1564" s="32">
        <v>43273</v>
      </c>
      <c r="AJ1564" t="s">
        <v>9962</v>
      </c>
      <c r="AL1564" t="s">
        <v>11513</v>
      </c>
    </row>
    <row r="1565" spans="1:38">
      <c r="A1565" t="s">
        <v>9813</v>
      </c>
      <c r="B1565" t="s">
        <v>13728</v>
      </c>
      <c r="C1565" t="s">
        <v>13729</v>
      </c>
      <c r="D1565" t="s">
        <v>13730</v>
      </c>
      <c r="E1565" s="2">
        <v>35</v>
      </c>
      <c r="F1565" s="2">
        <v>35</v>
      </c>
      <c r="G1565" s="3">
        <v>43284</v>
      </c>
      <c r="H1565" s="4">
        <v>8.3333333333329998E-2</v>
      </c>
      <c r="I1565" s="3">
        <v>43284</v>
      </c>
      <c r="J1565" s="4">
        <v>0.14166666666666999</v>
      </c>
      <c r="K1565" s="2">
        <v>6</v>
      </c>
      <c r="L1565" t="s">
        <v>5856</v>
      </c>
      <c r="M1565" t="s">
        <v>9495</v>
      </c>
      <c r="N1565" s="3"/>
      <c r="O1565" s="3">
        <v>43286</v>
      </c>
      <c r="P1565" t="s">
        <v>9394</v>
      </c>
      <c r="Q1565" t="s">
        <v>6038</v>
      </c>
      <c r="R1565" t="s">
        <v>6039</v>
      </c>
      <c r="S1565" s="3"/>
      <c r="T1565" t="s">
        <v>9938</v>
      </c>
      <c r="U1565" t="s">
        <v>9207</v>
      </c>
      <c r="V1565" t="s">
        <v>13731</v>
      </c>
      <c r="W1565" t="s">
        <v>5914</v>
      </c>
      <c r="X1565" s="2">
        <v>25</v>
      </c>
      <c r="Y1565" t="s">
        <v>5858</v>
      </c>
      <c r="Z1565" t="s">
        <v>6037</v>
      </c>
      <c r="AA1565" s="2">
        <v>25</v>
      </c>
      <c r="AB1565" t="s">
        <v>5859</v>
      </c>
      <c r="AC1565" t="s">
        <v>9981</v>
      </c>
      <c r="AD1565" s="32">
        <v>43279</v>
      </c>
      <c r="AJ1565" t="s">
        <v>9967</v>
      </c>
      <c r="AL1565" t="s">
        <v>14336</v>
      </c>
    </row>
    <row r="1566" spans="1:38">
      <c r="A1566" t="s">
        <v>9813</v>
      </c>
      <c r="B1566" t="s">
        <v>13732</v>
      </c>
      <c r="C1566" t="s">
        <v>13729</v>
      </c>
      <c r="D1566" t="s">
        <v>13730</v>
      </c>
      <c r="E1566" s="2">
        <v>35</v>
      </c>
      <c r="F1566" s="2">
        <v>35</v>
      </c>
      <c r="G1566" s="3">
        <v>43284</v>
      </c>
      <c r="H1566" s="4">
        <v>0.16944444444444001</v>
      </c>
      <c r="I1566" s="3">
        <v>43284</v>
      </c>
      <c r="J1566" s="4">
        <v>0.22777777777777999</v>
      </c>
      <c r="K1566" s="2">
        <v>6</v>
      </c>
      <c r="L1566" t="s">
        <v>5856</v>
      </c>
      <c r="M1566" t="s">
        <v>9495</v>
      </c>
      <c r="N1566" s="3"/>
      <c r="O1566" s="3">
        <v>43286</v>
      </c>
      <c r="P1566" t="s">
        <v>9394</v>
      </c>
      <c r="Q1566" t="s">
        <v>6038</v>
      </c>
      <c r="R1566" t="s">
        <v>6039</v>
      </c>
      <c r="S1566" s="3"/>
      <c r="T1566" t="s">
        <v>9938</v>
      </c>
      <c r="U1566" t="s">
        <v>9207</v>
      </c>
      <c r="V1566" t="s">
        <v>13731</v>
      </c>
      <c r="W1566" t="s">
        <v>5914</v>
      </c>
      <c r="X1566" s="2">
        <v>25</v>
      </c>
      <c r="Y1566" t="s">
        <v>5858</v>
      </c>
      <c r="Z1566" t="s">
        <v>6037</v>
      </c>
      <c r="AA1566" s="2">
        <v>25</v>
      </c>
      <c r="AB1566" t="s">
        <v>5859</v>
      </c>
      <c r="AC1566" t="s">
        <v>9981</v>
      </c>
      <c r="AD1566" s="32">
        <v>43279</v>
      </c>
      <c r="AJ1566" t="s">
        <v>9967</v>
      </c>
      <c r="AL1566" t="s">
        <v>14337</v>
      </c>
    </row>
    <row r="1567" spans="1:38">
      <c r="A1567" t="s">
        <v>9813</v>
      </c>
      <c r="B1567" t="s">
        <v>12736</v>
      </c>
      <c r="C1567" t="s">
        <v>9841</v>
      </c>
      <c r="D1567" t="s">
        <v>9842</v>
      </c>
      <c r="E1567" s="2">
        <v>104</v>
      </c>
      <c r="F1567" s="2">
        <v>364</v>
      </c>
      <c r="G1567" s="3">
        <v>43284</v>
      </c>
      <c r="H1567" s="4">
        <v>0.56666666666666998</v>
      </c>
      <c r="I1567" s="3">
        <v>43285</v>
      </c>
      <c r="J1567" s="4">
        <v>0.17333333333333001</v>
      </c>
      <c r="K1567" s="2">
        <v>0</v>
      </c>
      <c r="L1567" t="s">
        <v>5856</v>
      </c>
      <c r="M1567" t="s">
        <v>13733</v>
      </c>
      <c r="N1567" s="3">
        <v>43292</v>
      </c>
      <c r="O1567" s="3">
        <v>43292</v>
      </c>
      <c r="P1567" t="s">
        <v>9131</v>
      </c>
      <c r="Q1567" t="s">
        <v>6038</v>
      </c>
      <c r="R1567" t="s">
        <v>6039</v>
      </c>
      <c r="S1567" s="3"/>
      <c r="T1567" t="s">
        <v>9938</v>
      </c>
      <c r="U1567" t="s">
        <v>9132</v>
      </c>
      <c r="V1567" t="s">
        <v>9843</v>
      </c>
      <c r="W1567" t="s">
        <v>5914</v>
      </c>
      <c r="X1567" s="2">
        <v>25</v>
      </c>
      <c r="Y1567" t="s">
        <v>5858</v>
      </c>
      <c r="Z1567" t="s">
        <v>6037</v>
      </c>
      <c r="AA1567" s="2">
        <v>104</v>
      </c>
      <c r="AB1567" t="s">
        <v>5859</v>
      </c>
      <c r="AC1567" t="s">
        <v>9981</v>
      </c>
      <c r="AD1567" s="32">
        <v>43271</v>
      </c>
      <c r="AJ1567" t="s">
        <v>9967</v>
      </c>
      <c r="AL1567" t="s">
        <v>14338</v>
      </c>
    </row>
    <row r="1568" spans="1:38">
      <c r="A1568" t="s">
        <v>9813</v>
      </c>
      <c r="B1568" t="s">
        <v>12737</v>
      </c>
      <c r="C1568" t="s">
        <v>9844</v>
      </c>
      <c r="D1568" t="s">
        <v>9845</v>
      </c>
      <c r="E1568" s="2">
        <v>25</v>
      </c>
      <c r="F1568" s="2">
        <v>25</v>
      </c>
      <c r="G1568" s="3">
        <v>43286</v>
      </c>
      <c r="H1568" s="4">
        <v>0.63267361111110998</v>
      </c>
      <c r="I1568" s="3">
        <v>43286</v>
      </c>
      <c r="J1568" s="4">
        <v>0.67434027777778005</v>
      </c>
      <c r="K1568" s="2">
        <v>4</v>
      </c>
      <c r="L1568" t="s">
        <v>5856</v>
      </c>
      <c r="M1568" t="s">
        <v>6994</v>
      </c>
      <c r="N1568" s="3">
        <v>43287</v>
      </c>
      <c r="O1568" s="3">
        <v>43288</v>
      </c>
      <c r="P1568" t="s">
        <v>5864</v>
      </c>
      <c r="Q1568" t="s">
        <v>6038</v>
      </c>
      <c r="R1568" t="s">
        <v>6039</v>
      </c>
      <c r="S1568" s="3"/>
      <c r="T1568" t="s">
        <v>9938</v>
      </c>
      <c r="U1568" t="s">
        <v>9846</v>
      </c>
      <c r="V1568" t="s">
        <v>6057</v>
      </c>
      <c r="W1568" t="s">
        <v>5857</v>
      </c>
      <c r="X1568" s="2">
        <v>25</v>
      </c>
      <c r="Y1568" t="s">
        <v>5858</v>
      </c>
      <c r="Z1568" t="s">
        <v>6037</v>
      </c>
      <c r="AA1568" s="2">
        <v>25</v>
      </c>
      <c r="AB1568" t="s">
        <v>5863</v>
      </c>
      <c r="AC1568" t="s">
        <v>9974</v>
      </c>
      <c r="AD1568" s="32">
        <v>43274</v>
      </c>
      <c r="AI1568" t="s">
        <v>9939</v>
      </c>
      <c r="AJ1568" t="s">
        <v>9967</v>
      </c>
      <c r="AL1568" t="s">
        <v>11514</v>
      </c>
    </row>
    <row r="1569" spans="1:38">
      <c r="A1569" t="s">
        <v>9813</v>
      </c>
      <c r="B1569" t="s">
        <v>13734</v>
      </c>
      <c r="C1569" t="s">
        <v>8107</v>
      </c>
      <c r="D1569" t="s">
        <v>8108</v>
      </c>
      <c r="E1569" s="2">
        <v>35</v>
      </c>
      <c r="F1569" s="2">
        <v>35</v>
      </c>
      <c r="G1569" s="3">
        <v>43286</v>
      </c>
      <c r="H1569" s="4">
        <v>0.94165509259258995</v>
      </c>
      <c r="I1569" s="3">
        <v>43286</v>
      </c>
      <c r="J1569" s="4">
        <v>0.99998842592592996</v>
      </c>
      <c r="K1569" s="2">
        <v>6</v>
      </c>
      <c r="L1569" t="s">
        <v>5856</v>
      </c>
      <c r="M1569" t="s">
        <v>9495</v>
      </c>
      <c r="N1569" s="3">
        <v>43277</v>
      </c>
      <c r="O1569" s="3">
        <v>43288</v>
      </c>
      <c r="P1569" t="s">
        <v>5862</v>
      </c>
      <c r="Q1569" t="s">
        <v>6038</v>
      </c>
      <c r="R1569" t="s">
        <v>6039</v>
      </c>
      <c r="S1569" s="3"/>
      <c r="T1569" t="s">
        <v>9938</v>
      </c>
      <c r="U1569" t="s">
        <v>8109</v>
      </c>
      <c r="V1569" t="s">
        <v>8110</v>
      </c>
      <c r="W1569" t="s">
        <v>5857</v>
      </c>
      <c r="X1569" s="2">
        <v>25</v>
      </c>
      <c r="Y1569" t="s">
        <v>5858</v>
      </c>
      <c r="Z1569" t="s">
        <v>6037</v>
      </c>
      <c r="AA1569" s="2">
        <v>25</v>
      </c>
      <c r="AB1569" t="s">
        <v>5863</v>
      </c>
      <c r="AC1569" t="s">
        <v>9976</v>
      </c>
      <c r="AD1569" s="32">
        <v>43280</v>
      </c>
      <c r="AJ1569" t="s">
        <v>9967</v>
      </c>
      <c r="AL1569" t="s">
        <v>14339</v>
      </c>
    </row>
    <row r="1570" spans="1:38">
      <c r="A1570" t="s">
        <v>9813</v>
      </c>
      <c r="B1570" t="s">
        <v>12745</v>
      </c>
      <c r="C1570" t="s">
        <v>9867</v>
      </c>
      <c r="D1570" t="s">
        <v>9868</v>
      </c>
      <c r="E1570" s="2">
        <v>35</v>
      </c>
      <c r="F1570" s="2">
        <v>35</v>
      </c>
      <c r="G1570" s="3">
        <v>43287</v>
      </c>
      <c r="H1570" s="4">
        <v>0.34582175925926001</v>
      </c>
      <c r="I1570" s="3">
        <v>43287</v>
      </c>
      <c r="J1570" s="4">
        <v>0.40415509259259003</v>
      </c>
      <c r="K1570" s="2">
        <v>25</v>
      </c>
      <c r="L1570" t="s">
        <v>5856</v>
      </c>
      <c r="M1570" t="s">
        <v>9495</v>
      </c>
      <c r="N1570" s="3">
        <v>43290</v>
      </c>
      <c r="O1570" s="3">
        <v>43289</v>
      </c>
      <c r="P1570" t="s">
        <v>9869</v>
      </c>
      <c r="Q1570" t="s">
        <v>9870</v>
      </c>
      <c r="R1570" t="s">
        <v>6036</v>
      </c>
      <c r="S1570" s="3">
        <v>43290</v>
      </c>
      <c r="T1570" t="s">
        <v>9938</v>
      </c>
      <c r="U1570" t="s">
        <v>9143</v>
      </c>
      <c r="V1570" t="s">
        <v>9871</v>
      </c>
      <c r="W1570" t="s">
        <v>6038</v>
      </c>
      <c r="X1570" s="2">
        <v>25</v>
      </c>
      <c r="Y1570" t="s">
        <v>5858</v>
      </c>
      <c r="Z1570" t="s">
        <v>6037</v>
      </c>
      <c r="AA1570" s="2">
        <v>25</v>
      </c>
      <c r="AB1570" t="s">
        <v>5859</v>
      </c>
      <c r="AC1570" t="s">
        <v>9976</v>
      </c>
      <c r="AD1570" s="32">
        <v>43277</v>
      </c>
      <c r="AJ1570" t="s">
        <v>9967</v>
      </c>
      <c r="AL1570" t="s">
        <v>11522</v>
      </c>
    </row>
    <row r="1571" spans="1:38">
      <c r="A1571" t="s">
        <v>9813</v>
      </c>
      <c r="B1571" t="s">
        <v>12739</v>
      </c>
      <c r="C1571" t="s">
        <v>9850</v>
      </c>
      <c r="D1571" t="s">
        <v>9851</v>
      </c>
      <c r="E1571" s="2">
        <v>84</v>
      </c>
      <c r="F1571" s="2">
        <v>84</v>
      </c>
      <c r="G1571" s="3">
        <v>43288</v>
      </c>
      <c r="H1571" s="4">
        <v>2.0833333333330002E-2</v>
      </c>
      <c r="I1571" s="3">
        <v>43288</v>
      </c>
      <c r="J1571" s="4">
        <v>0.16083333333333</v>
      </c>
      <c r="K1571" s="2">
        <v>25</v>
      </c>
      <c r="L1571" t="s">
        <v>5856</v>
      </c>
      <c r="M1571" t="s">
        <v>9852</v>
      </c>
      <c r="N1571" s="3">
        <v>43290</v>
      </c>
      <c r="O1571" s="3">
        <v>43290</v>
      </c>
      <c r="P1571" t="s">
        <v>5967</v>
      </c>
      <c r="Q1571" t="s">
        <v>9853</v>
      </c>
      <c r="R1571" t="s">
        <v>6036</v>
      </c>
      <c r="S1571" s="3">
        <v>43290</v>
      </c>
      <c r="T1571" t="s">
        <v>9938</v>
      </c>
      <c r="U1571" t="s">
        <v>9854</v>
      </c>
      <c r="V1571" t="s">
        <v>7779</v>
      </c>
      <c r="W1571" t="s">
        <v>5914</v>
      </c>
      <c r="X1571" s="2">
        <v>25</v>
      </c>
      <c r="Y1571" t="s">
        <v>5858</v>
      </c>
      <c r="Z1571" t="s">
        <v>6037</v>
      </c>
      <c r="AA1571" s="2">
        <v>60</v>
      </c>
      <c r="AB1571" t="s">
        <v>5859</v>
      </c>
      <c r="AC1571" t="s">
        <v>9981</v>
      </c>
      <c r="AD1571" s="32">
        <v>43278</v>
      </c>
      <c r="AI1571" t="s">
        <v>9939</v>
      </c>
      <c r="AJ1571" t="s">
        <v>9962</v>
      </c>
      <c r="AL1571" t="s">
        <v>11516</v>
      </c>
    </row>
    <row r="1572" spans="1:38">
      <c r="A1572" t="s">
        <v>9813</v>
      </c>
      <c r="B1572" t="s">
        <v>12738</v>
      </c>
      <c r="C1572" t="s">
        <v>9814</v>
      </c>
      <c r="D1572" t="s">
        <v>9815</v>
      </c>
      <c r="E1572" s="2">
        <v>3</v>
      </c>
      <c r="F1572" s="2">
        <v>35</v>
      </c>
      <c r="G1572" s="3">
        <v>43288</v>
      </c>
      <c r="H1572" s="4">
        <v>0.14861111111111</v>
      </c>
      <c r="I1572" s="3">
        <v>43288</v>
      </c>
      <c r="J1572" s="4">
        <v>0.20694444444443999</v>
      </c>
      <c r="K1572" s="2">
        <v>7</v>
      </c>
      <c r="L1572" t="s">
        <v>5856</v>
      </c>
      <c r="M1572" t="s">
        <v>9495</v>
      </c>
      <c r="N1572" s="3">
        <v>43290</v>
      </c>
      <c r="O1572" s="3">
        <v>43290</v>
      </c>
      <c r="P1572" t="s">
        <v>5862</v>
      </c>
      <c r="Q1572" t="s">
        <v>6038</v>
      </c>
      <c r="R1572" t="s">
        <v>6039</v>
      </c>
      <c r="S1572" s="3"/>
      <c r="T1572" t="s">
        <v>9938</v>
      </c>
      <c r="U1572" t="s">
        <v>9816</v>
      </c>
      <c r="V1572" t="s">
        <v>6041</v>
      </c>
      <c r="W1572" t="s">
        <v>6038</v>
      </c>
      <c r="X1572" s="2">
        <v>25</v>
      </c>
      <c r="Y1572" t="s">
        <v>5858</v>
      </c>
      <c r="Z1572" t="s">
        <v>6037</v>
      </c>
      <c r="AA1572" s="2">
        <v>0</v>
      </c>
      <c r="AB1572" t="s">
        <v>5859</v>
      </c>
      <c r="AC1572" t="s">
        <v>9981</v>
      </c>
      <c r="AD1572" s="32">
        <v>43276</v>
      </c>
      <c r="AL1572" t="s">
        <v>11515</v>
      </c>
    </row>
    <row r="1573" spans="1:38">
      <c r="A1573" t="s">
        <v>9813</v>
      </c>
      <c r="B1573" t="s">
        <v>13735</v>
      </c>
      <c r="C1573" t="s">
        <v>9847</v>
      </c>
      <c r="D1573" t="s">
        <v>9848</v>
      </c>
      <c r="E1573" s="2">
        <v>70</v>
      </c>
      <c r="F1573" s="2">
        <v>70</v>
      </c>
      <c r="G1573" s="3">
        <v>43288</v>
      </c>
      <c r="H1573" s="4">
        <v>0.26083333333332998</v>
      </c>
      <c r="I1573" s="3">
        <v>43288</v>
      </c>
      <c r="J1573" s="4">
        <v>0.3775</v>
      </c>
      <c r="K1573" s="2">
        <v>25</v>
      </c>
      <c r="L1573" t="s">
        <v>5856</v>
      </c>
      <c r="M1573" t="s">
        <v>9523</v>
      </c>
      <c r="N1573" s="3">
        <v>43290</v>
      </c>
      <c r="O1573" s="3">
        <v>43290</v>
      </c>
      <c r="P1573" t="s">
        <v>5967</v>
      </c>
      <c r="Q1573" t="s">
        <v>9849</v>
      </c>
      <c r="R1573" t="s">
        <v>6036</v>
      </c>
      <c r="S1573" s="3">
        <v>43290</v>
      </c>
      <c r="T1573" t="s">
        <v>9938</v>
      </c>
      <c r="U1573" t="s">
        <v>9268</v>
      </c>
      <c r="V1573" t="s">
        <v>5860</v>
      </c>
      <c r="W1573" t="s">
        <v>5914</v>
      </c>
      <c r="X1573" s="2">
        <v>25</v>
      </c>
      <c r="Y1573" t="s">
        <v>5858</v>
      </c>
      <c r="Z1573" t="s">
        <v>6037</v>
      </c>
      <c r="AA1573" s="2">
        <v>50</v>
      </c>
      <c r="AB1573" t="s">
        <v>5863</v>
      </c>
      <c r="AC1573" t="s">
        <v>9981</v>
      </c>
      <c r="AD1573" s="32">
        <v>43280</v>
      </c>
      <c r="AJ1573" t="s">
        <v>9967</v>
      </c>
      <c r="AL1573" t="s">
        <v>14340</v>
      </c>
    </row>
    <row r="1574" spans="1:38">
      <c r="A1574" t="s">
        <v>9813</v>
      </c>
      <c r="B1574" t="s">
        <v>12740</v>
      </c>
      <c r="C1574" t="s">
        <v>9256</v>
      </c>
      <c r="D1574" t="s">
        <v>9257</v>
      </c>
      <c r="E1574" s="2">
        <v>560</v>
      </c>
      <c r="F1574" s="2">
        <v>560</v>
      </c>
      <c r="G1574" s="3">
        <v>43288</v>
      </c>
      <c r="H1574" s="4">
        <v>0.71697916666667005</v>
      </c>
      <c r="I1574" s="3">
        <v>43289</v>
      </c>
      <c r="J1574" s="4">
        <v>0.65031249999999996</v>
      </c>
      <c r="K1574" s="2">
        <v>4</v>
      </c>
      <c r="L1574" t="s">
        <v>5856</v>
      </c>
      <c r="M1574" t="s">
        <v>9855</v>
      </c>
      <c r="N1574" s="3">
        <v>43292</v>
      </c>
      <c r="O1574" s="3">
        <v>43291</v>
      </c>
      <c r="P1574" t="s">
        <v>5967</v>
      </c>
      <c r="Q1574" t="s">
        <v>9856</v>
      </c>
      <c r="R1574" t="s">
        <v>6036</v>
      </c>
      <c r="S1574" s="3">
        <v>43291</v>
      </c>
      <c r="T1574" t="s">
        <v>9938</v>
      </c>
      <c r="U1574" t="s">
        <v>9258</v>
      </c>
      <c r="V1574" t="s">
        <v>6041</v>
      </c>
      <c r="W1574" t="s">
        <v>5914</v>
      </c>
      <c r="X1574" s="2">
        <v>0</v>
      </c>
      <c r="Y1574" t="s">
        <v>5858</v>
      </c>
      <c r="Z1574" t="s">
        <v>6037</v>
      </c>
      <c r="AA1574" s="2">
        <v>400</v>
      </c>
      <c r="AB1574" t="s">
        <v>5915</v>
      </c>
      <c r="AC1574" t="s">
        <v>9981</v>
      </c>
      <c r="AD1574" s="32"/>
      <c r="AJ1574" t="s">
        <v>9967</v>
      </c>
      <c r="AL1574" t="s">
        <v>11517</v>
      </c>
    </row>
    <row r="1575" spans="1:38">
      <c r="A1575" t="s">
        <v>9813</v>
      </c>
      <c r="B1575" t="s">
        <v>12741</v>
      </c>
      <c r="C1575" t="s">
        <v>9859</v>
      </c>
      <c r="D1575" t="s">
        <v>9860</v>
      </c>
      <c r="E1575" s="2">
        <v>35</v>
      </c>
      <c r="F1575" s="2">
        <v>35</v>
      </c>
      <c r="G1575" s="3">
        <v>43289</v>
      </c>
      <c r="H1575" s="4">
        <v>0.83892361111111002</v>
      </c>
      <c r="I1575" s="3">
        <v>43289</v>
      </c>
      <c r="J1575" s="4">
        <v>0.89725694444444004</v>
      </c>
      <c r="K1575" s="2">
        <v>25</v>
      </c>
      <c r="L1575" t="s">
        <v>5856</v>
      </c>
      <c r="M1575" t="s">
        <v>9495</v>
      </c>
      <c r="N1575" s="3">
        <v>43291</v>
      </c>
      <c r="O1575" s="3">
        <v>43291</v>
      </c>
      <c r="P1575" t="s">
        <v>5870</v>
      </c>
      <c r="Q1575" t="s">
        <v>9861</v>
      </c>
      <c r="R1575" t="s">
        <v>6036</v>
      </c>
      <c r="S1575" s="3">
        <v>43291</v>
      </c>
      <c r="T1575" t="s">
        <v>9938</v>
      </c>
      <c r="U1575" t="s">
        <v>5974</v>
      </c>
      <c r="V1575" t="s">
        <v>9862</v>
      </c>
      <c r="W1575" t="s">
        <v>6038</v>
      </c>
      <c r="X1575" s="2">
        <v>25</v>
      </c>
      <c r="Y1575" t="s">
        <v>5858</v>
      </c>
      <c r="Z1575" t="s">
        <v>6037</v>
      </c>
      <c r="AA1575" s="2">
        <v>25</v>
      </c>
      <c r="AB1575" t="s">
        <v>5859</v>
      </c>
      <c r="AC1575" t="s">
        <v>9974</v>
      </c>
      <c r="AD1575" s="32">
        <v>43279</v>
      </c>
      <c r="AJ1575" t="s">
        <v>9967</v>
      </c>
      <c r="AL1575" t="s">
        <v>11518</v>
      </c>
    </row>
    <row r="1576" spans="1:38">
      <c r="A1576" t="s">
        <v>9813</v>
      </c>
      <c r="B1576" t="s">
        <v>13736</v>
      </c>
      <c r="C1576" t="s">
        <v>9295</v>
      </c>
      <c r="D1576" t="s">
        <v>9296</v>
      </c>
      <c r="E1576" s="2">
        <v>35</v>
      </c>
      <c r="F1576" s="2">
        <v>35</v>
      </c>
      <c r="G1576" s="3">
        <v>43289</v>
      </c>
      <c r="H1576" s="4">
        <v>0.99725694444444002</v>
      </c>
      <c r="I1576" s="3">
        <v>43290</v>
      </c>
      <c r="J1576" s="4">
        <v>5.5590277777780001E-2</v>
      </c>
      <c r="K1576" s="2">
        <v>25</v>
      </c>
      <c r="L1576" t="s">
        <v>5856</v>
      </c>
      <c r="M1576" t="s">
        <v>9495</v>
      </c>
      <c r="N1576" s="3">
        <v>43291</v>
      </c>
      <c r="O1576" s="3">
        <v>43292</v>
      </c>
      <c r="P1576" t="s">
        <v>7907</v>
      </c>
      <c r="Q1576" t="s">
        <v>13737</v>
      </c>
      <c r="R1576" t="s">
        <v>6036</v>
      </c>
      <c r="S1576" s="3">
        <v>43291</v>
      </c>
      <c r="T1576" t="s">
        <v>9938</v>
      </c>
      <c r="U1576" t="s">
        <v>9209</v>
      </c>
      <c r="V1576" t="s">
        <v>9297</v>
      </c>
      <c r="W1576" t="s">
        <v>6038</v>
      </c>
      <c r="X1576" s="2">
        <v>25</v>
      </c>
      <c r="Y1576" t="s">
        <v>5858</v>
      </c>
      <c r="Z1576" t="s">
        <v>6037</v>
      </c>
      <c r="AA1576" s="2">
        <v>25</v>
      </c>
      <c r="AB1576" t="s">
        <v>5863</v>
      </c>
      <c r="AC1576" t="s">
        <v>9976</v>
      </c>
      <c r="AD1576" s="32">
        <v>43279</v>
      </c>
      <c r="AJ1576" t="s">
        <v>9967</v>
      </c>
      <c r="AL1576" t="s">
        <v>14341</v>
      </c>
    </row>
    <row r="1577" spans="1:38">
      <c r="A1577" t="s">
        <v>9813</v>
      </c>
      <c r="B1577" t="s">
        <v>12747</v>
      </c>
      <c r="C1577" t="s">
        <v>9872</v>
      </c>
      <c r="D1577" t="s">
        <v>9873</v>
      </c>
      <c r="E1577" s="2">
        <v>175</v>
      </c>
      <c r="F1577" s="2">
        <v>175</v>
      </c>
      <c r="G1577" s="3">
        <v>43290</v>
      </c>
      <c r="H1577" s="4">
        <v>8.3368055555559997E-2</v>
      </c>
      <c r="I1577" s="3">
        <v>43290</v>
      </c>
      <c r="J1577" s="4">
        <v>0.37503472222222001</v>
      </c>
      <c r="K1577" s="2">
        <v>0</v>
      </c>
      <c r="L1577" t="s">
        <v>5856</v>
      </c>
      <c r="M1577" t="s">
        <v>9512</v>
      </c>
      <c r="N1577" s="3">
        <v>43292</v>
      </c>
      <c r="O1577" s="3">
        <v>43292</v>
      </c>
      <c r="P1577" t="s">
        <v>5967</v>
      </c>
      <c r="Q1577" t="s">
        <v>9876</v>
      </c>
      <c r="R1577" t="s">
        <v>6036</v>
      </c>
      <c r="S1577" s="3">
        <v>43292</v>
      </c>
      <c r="T1577" t="s">
        <v>9938</v>
      </c>
      <c r="U1577" t="s">
        <v>9175</v>
      </c>
      <c r="V1577" t="s">
        <v>9875</v>
      </c>
      <c r="W1577" t="s">
        <v>5857</v>
      </c>
      <c r="X1577" s="2">
        <v>25</v>
      </c>
      <c r="Y1577" t="s">
        <v>5858</v>
      </c>
      <c r="Z1577" t="s">
        <v>6037</v>
      </c>
      <c r="AA1577" s="2">
        <v>125</v>
      </c>
      <c r="AB1577" t="s">
        <v>5859</v>
      </c>
      <c r="AC1577" t="s">
        <v>9981</v>
      </c>
      <c r="AD1577" s="32">
        <v>43264</v>
      </c>
      <c r="AJ1577" t="s">
        <v>9967</v>
      </c>
      <c r="AL1577" t="s">
        <v>14342</v>
      </c>
    </row>
    <row r="1578" spans="1:38">
      <c r="A1578" t="s">
        <v>9813</v>
      </c>
      <c r="B1578" t="s">
        <v>13738</v>
      </c>
      <c r="C1578" t="s">
        <v>7819</v>
      </c>
      <c r="D1578" t="s">
        <v>7820</v>
      </c>
      <c r="E1578" s="2">
        <v>35</v>
      </c>
      <c r="F1578" s="2">
        <v>35</v>
      </c>
      <c r="G1578" s="3">
        <v>43290</v>
      </c>
      <c r="H1578" s="4">
        <v>0.39586805555555998</v>
      </c>
      <c r="I1578" s="3">
        <v>43290</v>
      </c>
      <c r="J1578" s="4">
        <v>0.45420138888889</v>
      </c>
      <c r="K1578" s="2">
        <v>25</v>
      </c>
      <c r="L1578" t="s">
        <v>5856</v>
      </c>
      <c r="M1578" t="s">
        <v>9495</v>
      </c>
      <c r="N1578" s="3">
        <v>43292</v>
      </c>
      <c r="O1578" s="3">
        <v>43292</v>
      </c>
      <c r="P1578" t="s">
        <v>5960</v>
      </c>
      <c r="Q1578" t="s">
        <v>13739</v>
      </c>
      <c r="R1578" t="s">
        <v>6036</v>
      </c>
      <c r="S1578" s="3">
        <v>43292</v>
      </c>
      <c r="T1578" t="s">
        <v>9938</v>
      </c>
      <c r="U1578" t="s">
        <v>7823</v>
      </c>
      <c r="V1578" t="s">
        <v>7824</v>
      </c>
      <c r="W1578" t="s">
        <v>5857</v>
      </c>
      <c r="X1578" s="2">
        <v>25</v>
      </c>
      <c r="Y1578" t="s">
        <v>5858</v>
      </c>
      <c r="Z1578" t="s">
        <v>6037</v>
      </c>
      <c r="AA1578" s="2">
        <v>25</v>
      </c>
      <c r="AB1578" t="s">
        <v>5859</v>
      </c>
      <c r="AC1578" t="s">
        <v>9976</v>
      </c>
      <c r="AD1578" s="32">
        <v>43280</v>
      </c>
      <c r="AJ1578" t="s">
        <v>9967</v>
      </c>
      <c r="AL1578" t="s">
        <v>14343</v>
      </c>
    </row>
    <row r="1579" spans="1:38">
      <c r="A1579" t="s">
        <v>9813</v>
      </c>
      <c r="B1579" t="s">
        <v>13740</v>
      </c>
      <c r="C1579" t="s">
        <v>6047</v>
      </c>
      <c r="D1579" t="s">
        <v>5872</v>
      </c>
      <c r="E1579" s="2">
        <v>35</v>
      </c>
      <c r="F1579" s="2">
        <v>35</v>
      </c>
      <c r="G1579" s="3">
        <v>43290</v>
      </c>
      <c r="H1579" s="4">
        <v>0.62642361111111</v>
      </c>
      <c r="I1579" s="3">
        <v>43290</v>
      </c>
      <c r="J1579" s="4">
        <v>0.68475694444444002</v>
      </c>
      <c r="K1579" s="2">
        <v>25</v>
      </c>
      <c r="L1579" t="s">
        <v>5856</v>
      </c>
      <c r="M1579" t="s">
        <v>9495</v>
      </c>
      <c r="N1579" s="3">
        <v>43292</v>
      </c>
      <c r="O1579" s="3">
        <v>43292</v>
      </c>
      <c r="P1579" t="s">
        <v>5873</v>
      </c>
      <c r="Q1579" t="s">
        <v>13741</v>
      </c>
      <c r="R1579" t="s">
        <v>6036</v>
      </c>
      <c r="S1579" s="3">
        <v>43292</v>
      </c>
      <c r="T1579" t="s">
        <v>9938</v>
      </c>
      <c r="U1579" t="s">
        <v>5871</v>
      </c>
      <c r="V1579" t="s">
        <v>6046</v>
      </c>
      <c r="W1579" t="s">
        <v>5857</v>
      </c>
      <c r="X1579" s="2">
        <v>25</v>
      </c>
      <c r="Y1579" t="s">
        <v>5858</v>
      </c>
      <c r="Z1579" t="s">
        <v>6037</v>
      </c>
      <c r="AA1579" s="2">
        <v>25</v>
      </c>
      <c r="AB1579" t="s">
        <v>5863</v>
      </c>
      <c r="AC1579" t="s">
        <v>9974</v>
      </c>
      <c r="AD1579" s="32">
        <v>43280</v>
      </c>
      <c r="AI1579" t="s">
        <v>9939</v>
      </c>
      <c r="AJ1579" t="s">
        <v>9967</v>
      </c>
      <c r="AL1579" t="s">
        <v>14344</v>
      </c>
    </row>
    <row r="1580" spans="1:38">
      <c r="A1580" t="s">
        <v>9813</v>
      </c>
      <c r="B1580" t="s">
        <v>13742</v>
      </c>
      <c r="C1580" t="s">
        <v>13743</v>
      </c>
      <c r="D1580" t="s">
        <v>13744</v>
      </c>
      <c r="E1580" s="2">
        <v>84</v>
      </c>
      <c r="F1580" s="2">
        <v>84</v>
      </c>
      <c r="G1580" s="3">
        <v>43290</v>
      </c>
      <c r="H1580" s="4">
        <v>0.86</v>
      </c>
      <c r="I1580" s="3">
        <v>43291</v>
      </c>
      <c r="J1580" s="4">
        <v>0</v>
      </c>
      <c r="K1580" s="2">
        <v>0</v>
      </c>
      <c r="L1580" t="s">
        <v>5856</v>
      </c>
      <c r="M1580" t="s">
        <v>9852</v>
      </c>
      <c r="N1580" s="3">
        <v>43279</v>
      </c>
      <c r="O1580" s="3">
        <v>43292</v>
      </c>
      <c r="P1580" t="s">
        <v>5862</v>
      </c>
      <c r="Q1580" t="s">
        <v>6038</v>
      </c>
      <c r="R1580" t="s">
        <v>6039</v>
      </c>
      <c r="S1580" s="3"/>
      <c r="T1580" t="s">
        <v>9938</v>
      </c>
      <c r="U1580" t="s">
        <v>13763</v>
      </c>
      <c r="V1580" t="s">
        <v>13765</v>
      </c>
      <c r="W1580" t="s">
        <v>6038</v>
      </c>
      <c r="X1580" s="2">
        <v>0</v>
      </c>
      <c r="Y1580" t="s">
        <v>5858</v>
      </c>
      <c r="Z1580" t="s">
        <v>6037</v>
      </c>
      <c r="AA1580" s="2">
        <v>60</v>
      </c>
      <c r="AB1580" t="s">
        <v>5915</v>
      </c>
      <c r="AC1580" t="s">
        <v>9981</v>
      </c>
      <c r="AD1580" s="32"/>
      <c r="AJ1580" t="s">
        <v>9961</v>
      </c>
      <c r="AL1580" t="s">
        <v>14345</v>
      </c>
    </row>
    <row r="1581" spans="1:38">
      <c r="A1581" t="s">
        <v>9813</v>
      </c>
      <c r="B1581" t="s">
        <v>13745</v>
      </c>
      <c r="C1581" t="s">
        <v>6097</v>
      </c>
      <c r="D1581" t="s">
        <v>6015</v>
      </c>
      <c r="E1581" s="2">
        <v>100</v>
      </c>
      <c r="F1581" s="2">
        <v>100</v>
      </c>
      <c r="G1581" s="3">
        <v>43295</v>
      </c>
      <c r="H1581" s="4">
        <v>0.16623842592592999</v>
      </c>
      <c r="I1581" s="3">
        <v>43295</v>
      </c>
      <c r="J1581" s="4">
        <v>0.33290509259258999</v>
      </c>
      <c r="K1581" s="2">
        <v>20</v>
      </c>
      <c r="L1581" t="s">
        <v>5856</v>
      </c>
      <c r="M1581" t="s">
        <v>9516</v>
      </c>
      <c r="N1581" s="3">
        <v>43293</v>
      </c>
      <c r="O1581" s="3">
        <v>43297</v>
      </c>
      <c r="P1581" t="s">
        <v>5864</v>
      </c>
      <c r="Q1581" t="s">
        <v>8116</v>
      </c>
      <c r="R1581" t="s">
        <v>6036</v>
      </c>
      <c r="S1581" s="3">
        <v>43293</v>
      </c>
      <c r="T1581" t="s">
        <v>9938</v>
      </c>
      <c r="U1581" t="s">
        <v>5871</v>
      </c>
      <c r="V1581" t="s">
        <v>6057</v>
      </c>
      <c r="W1581" t="s">
        <v>5857</v>
      </c>
      <c r="X1581" s="2">
        <v>25</v>
      </c>
      <c r="Y1581" t="s">
        <v>5858</v>
      </c>
      <c r="Z1581" t="s">
        <v>6037</v>
      </c>
      <c r="AA1581" s="2">
        <v>100</v>
      </c>
      <c r="AB1581" t="s">
        <v>5863</v>
      </c>
      <c r="AC1581" t="s">
        <v>9974</v>
      </c>
      <c r="AD1581" s="32">
        <v>43283</v>
      </c>
      <c r="AI1581" t="s">
        <v>9939</v>
      </c>
      <c r="AJ1581" t="s">
        <v>9967</v>
      </c>
      <c r="AL1581" t="s">
        <v>14346</v>
      </c>
    </row>
    <row r="1582" spans="1:38">
      <c r="A1582" t="s">
        <v>9813</v>
      </c>
      <c r="B1582" t="s">
        <v>13746</v>
      </c>
      <c r="C1582" t="s">
        <v>13747</v>
      </c>
      <c r="D1582" t="s">
        <v>13748</v>
      </c>
      <c r="E1582" s="2">
        <v>100</v>
      </c>
      <c r="F1582" s="2">
        <v>100</v>
      </c>
      <c r="G1582" s="3">
        <v>43295</v>
      </c>
      <c r="H1582" s="4">
        <v>0.37498842592593001</v>
      </c>
      <c r="I1582" s="3">
        <v>43295</v>
      </c>
      <c r="J1582" s="4">
        <v>0.54165509259259004</v>
      </c>
      <c r="K1582" s="2">
        <v>4</v>
      </c>
      <c r="L1582" t="s">
        <v>5856</v>
      </c>
      <c r="M1582" t="s">
        <v>9516</v>
      </c>
      <c r="N1582" s="3">
        <v>43300</v>
      </c>
      <c r="O1582" s="3">
        <v>43297</v>
      </c>
      <c r="P1582" t="s">
        <v>9218</v>
      </c>
      <c r="Q1582" t="s">
        <v>13749</v>
      </c>
      <c r="R1582" t="s">
        <v>6036</v>
      </c>
      <c r="S1582" s="3">
        <v>43300</v>
      </c>
      <c r="T1582" t="s">
        <v>9938</v>
      </c>
      <c r="U1582" t="s">
        <v>13750</v>
      </c>
      <c r="V1582" t="s">
        <v>13751</v>
      </c>
      <c r="W1582" t="s">
        <v>7883</v>
      </c>
      <c r="X1582" s="2">
        <v>25</v>
      </c>
      <c r="Y1582" t="s">
        <v>5858</v>
      </c>
      <c r="Z1582" t="s">
        <v>6037</v>
      </c>
      <c r="AA1582" s="2">
        <v>100</v>
      </c>
      <c r="AB1582" t="s">
        <v>5863</v>
      </c>
      <c r="AC1582" t="s">
        <v>9981</v>
      </c>
      <c r="AD1582" s="32">
        <v>43279</v>
      </c>
      <c r="AJ1582" t="s">
        <v>9965</v>
      </c>
      <c r="AL1582" t="s">
        <v>14347</v>
      </c>
    </row>
    <row r="1583" spans="1:38">
      <c r="A1583" t="s">
        <v>9813</v>
      </c>
      <c r="B1583" t="s">
        <v>12742</v>
      </c>
      <c r="C1583" t="s">
        <v>9368</v>
      </c>
      <c r="D1583" t="s">
        <v>9369</v>
      </c>
      <c r="E1583" s="2">
        <v>70</v>
      </c>
      <c r="F1583" s="2">
        <v>70</v>
      </c>
      <c r="G1583" s="3">
        <v>43295</v>
      </c>
      <c r="H1583" s="4">
        <v>0.56248842592592996</v>
      </c>
      <c r="I1583" s="3">
        <v>43295</v>
      </c>
      <c r="J1583" s="4">
        <v>0.67915509259258999</v>
      </c>
      <c r="K1583" s="2">
        <v>4</v>
      </c>
      <c r="L1583" t="s">
        <v>5856</v>
      </c>
      <c r="M1583" t="s">
        <v>9523</v>
      </c>
      <c r="N1583" s="3">
        <v>43280</v>
      </c>
      <c r="O1583" s="3">
        <v>43297</v>
      </c>
      <c r="P1583" t="s">
        <v>9863</v>
      </c>
      <c r="Q1583" t="s">
        <v>6038</v>
      </c>
      <c r="R1583" t="s">
        <v>6039</v>
      </c>
      <c r="S1583" s="3"/>
      <c r="T1583" t="s">
        <v>9938</v>
      </c>
      <c r="U1583" t="s">
        <v>9143</v>
      </c>
      <c r="V1583" t="s">
        <v>9370</v>
      </c>
      <c r="W1583" t="s">
        <v>5857</v>
      </c>
      <c r="X1583" s="2">
        <v>25</v>
      </c>
      <c r="Y1583" t="s">
        <v>5858</v>
      </c>
      <c r="Z1583" t="s">
        <v>6037</v>
      </c>
      <c r="AA1583" s="2">
        <v>50</v>
      </c>
      <c r="AB1583" t="s">
        <v>5863</v>
      </c>
      <c r="AC1583" t="s">
        <v>9976</v>
      </c>
      <c r="AD1583" s="32">
        <v>43279</v>
      </c>
      <c r="AJ1583" t="s">
        <v>9967</v>
      </c>
      <c r="AL1583" t="s">
        <v>11519</v>
      </c>
    </row>
    <row r="1584" spans="1:38">
      <c r="A1584" t="s">
        <v>9813</v>
      </c>
      <c r="B1584" t="s">
        <v>13752</v>
      </c>
      <c r="C1584" t="s">
        <v>13753</v>
      </c>
      <c r="D1584" t="s">
        <v>13754</v>
      </c>
      <c r="E1584" s="2">
        <v>28</v>
      </c>
      <c r="F1584" s="2">
        <v>28</v>
      </c>
      <c r="G1584" s="3">
        <v>43295</v>
      </c>
      <c r="H1584" s="4">
        <v>0.69998842592593002</v>
      </c>
      <c r="I1584" s="3">
        <v>43295</v>
      </c>
      <c r="J1584" s="4">
        <v>0.74665509259259</v>
      </c>
      <c r="K1584" s="2">
        <v>25</v>
      </c>
      <c r="L1584" t="s">
        <v>5856</v>
      </c>
      <c r="M1584" t="s">
        <v>9834</v>
      </c>
      <c r="N1584" s="3">
        <v>43293</v>
      </c>
      <c r="O1584" s="3">
        <v>43297</v>
      </c>
      <c r="P1584" t="s">
        <v>5967</v>
      </c>
      <c r="Q1584" t="s">
        <v>13755</v>
      </c>
      <c r="R1584" t="s">
        <v>6036</v>
      </c>
      <c r="S1584" s="3">
        <v>43293</v>
      </c>
      <c r="T1584" t="s">
        <v>9938</v>
      </c>
      <c r="U1584" t="s">
        <v>13756</v>
      </c>
      <c r="V1584" t="s">
        <v>6041</v>
      </c>
      <c r="W1584" t="s">
        <v>5914</v>
      </c>
      <c r="X1584" s="2">
        <v>25</v>
      </c>
      <c r="Y1584" t="s">
        <v>5858</v>
      </c>
      <c r="Z1584" t="s">
        <v>6037</v>
      </c>
      <c r="AA1584" s="2">
        <v>20</v>
      </c>
      <c r="AB1584" t="s">
        <v>5863</v>
      </c>
      <c r="AC1584" t="s">
        <v>9981</v>
      </c>
      <c r="AD1584" s="32">
        <v>43280</v>
      </c>
      <c r="AJ1584" t="s">
        <v>9967</v>
      </c>
      <c r="AL1584" t="s">
        <v>14348</v>
      </c>
    </row>
    <row r="1585" spans="1:38">
      <c r="A1585" t="s">
        <v>9813</v>
      </c>
      <c r="B1585" t="s">
        <v>12743</v>
      </c>
      <c r="C1585" t="s">
        <v>9129</v>
      </c>
      <c r="D1585" t="s">
        <v>9130</v>
      </c>
      <c r="E1585" s="2">
        <v>336</v>
      </c>
      <c r="F1585" s="2">
        <v>336</v>
      </c>
      <c r="G1585" s="3">
        <v>43295</v>
      </c>
      <c r="H1585" s="4">
        <v>0.85082175925925996</v>
      </c>
      <c r="I1585" s="3">
        <v>43296</v>
      </c>
      <c r="J1585" s="4">
        <v>0.41082175925926001</v>
      </c>
      <c r="K1585" s="2">
        <v>0</v>
      </c>
      <c r="L1585" t="s">
        <v>5856</v>
      </c>
      <c r="M1585" t="s">
        <v>9864</v>
      </c>
      <c r="N1585" s="3">
        <v>43306</v>
      </c>
      <c r="O1585" s="3">
        <v>43303</v>
      </c>
      <c r="P1585" t="s">
        <v>9131</v>
      </c>
      <c r="Q1585" t="s">
        <v>9865</v>
      </c>
      <c r="R1585" t="s">
        <v>6036</v>
      </c>
      <c r="S1585" s="3">
        <v>43306</v>
      </c>
      <c r="T1585" t="s">
        <v>9938</v>
      </c>
      <c r="U1585" t="s">
        <v>9132</v>
      </c>
      <c r="V1585" t="s">
        <v>9133</v>
      </c>
      <c r="W1585" t="s">
        <v>5914</v>
      </c>
      <c r="X1585" s="2">
        <v>0</v>
      </c>
      <c r="Y1585" t="s">
        <v>5858</v>
      </c>
      <c r="Z1585" t="s">
        <v>6037</v>
      </c>
      <c r="AA1585" s="2">
        <v>240</v>
      </c>
      <c r="AB1585" t="s">
        <v>5915</v>
      </c>
      <c r="AC1585" t="s">
        <v>9981</v>
      </c>
      <c r="AD1585" s="32"/>
      <c r="AJ1585" t="s">
        <v>9967</v>
      </c>
      <c r="AL1585" t="s">
        <v>11520</v>
      </c>
    </row>
    <row r="1586" spans="1:38">
      <c r="A1586" t="s">
        <v>9813</v>
      </c>
      <c r="B1586" t="s">
        <v>12746</v>
      </c>
      <c r="C1586" t="s">
        <v>9872</v>
      </c>
      <c r="D1586" t="s">
        <v>9873</v>
      </c>
      <c r="E1586" s="2">
        <v>210</v>
      </c>
      <c r="F1586" s="2">
        <v>210</v>
      </c>
      <c r="G1586" s="3">
        <v>43296</v>
      </c>
      <c r="H1586" s="4">
        <v>0.43859953703704002</v>
      </c>
      <c r="I1586" s="3">
        <v>43296</v>
      </c>
      <c r="J1586" s="4">
        <v>0.78859953703704</v>
      </c>
      <c r="K1586" s="2">
        <v>0</v>
      </c>
      <c r="L1586" t="s">
        <v>5856</v>
      </c>
      <c r="M1586" t="s">
        <v>9551</v>
      </c>
      <c r="N1586" s="3">
        <v>43292</v>
      </c>
      <c r="O1586" s="3">
        <v>43298</v>
      </c>
      <c r="P1586" t="s">
        <v>5967</v>
      </c>
      <c r="Q1586" t="s">
        <v>9874</v>
      </c>
      <c r="R1586" t="s">
        <v>6036</v>
      </c>
      <c r="S1586" s="3">
        <v>43292</v>
      </c>
      <c r="T1586" t="s">
        <v>9938</v>
      </c>
      <c r="U1586" t="s">
        <v>9175</v>
      </c>
      <c r="V1586" t="s">
        <v>9875</v>
      </c>
      <c r="W1586" t="s">
        <v>5857</v>
      </c>
      <c r="X1586" s="2">
        <v>25</v>
      </c>
      <c r="Y1586" t="s">
        <v>5858</v>
      </c>
      <c r="Z1586" t="s">
        <v>6037</v>
      </c>
      <c r="AA1586" s="2">
        <v>150</v>
      </c>
      <c r="AB1586" t="s">
        <v>5859</v>
      </c>
      <c r="AC1586" t="s">
        <v>9981</v>
      </c>
      <c r="AD1586" s="32">
        <v>43271</v>
      </c>
      <c r="AJ1586" t="s">
        <v>9967</v>
      </c>
      <c r="AL1586" t="s">
        <v>14349</v>
      </c>
    </row>
    <row r="1587" spans="1:38">
      <c r="A1587" t="s">
        <v>9813</v>
      </c>
      <c r="B1587" t="s">
        <v>12748</v>
      </c>
      <c r="C1587" t="s">
        <v>9129</v>
      </c>
      <c r="D1587" t="s">
        <v>9130</v>
      </c>
      <c r="E1587" s="2">
        <v>100</v>
      </c>
      <c r="F1587" s="2">
        <v>100</v>
      </c>
      <c r="G1587" s="3">
        <v>43297</v>
      </c>
      <c r="H1587" s="4">
        <v>0.13859953703704</v>
      </c>
      <c r="I1587" s="3">
        <v>43297</v>
      </c>
      <c r="J1587" s="4">
        <v>0.3052662037037</v>
      </c>
      <c r="K1587" s="2">
        <v>20</v>
      </c>
      <c r="L1587" t="s">
        <v>5856</v>
      </c>
      <c r="M1587" t="s">
        <v>9516</v>
      </c>
      <c r="N1587" s="3">
        <v>43304</v>
      </c>
      <c r="O1587" s="3">
        <v>43304</v>
      </c>
      <c r="P1587" t="s">
        <v>9131</v>
      </c>
      <c r="Q1587" t="s">
        <v>9877</v>
      </c>
      <c r="R1587" t="s">
        <v>6036</v>
      </c>
      <c r="S1587" s="3">
        <v>43304</v>
      </c>
      <c r="T1587" t="s">
        <v>9938</v>
      </c>
      <c r="U1587" t="s">
        <v>9132</v>
      </c>
      <c r="V1587" t="s">
        <v>9133</v>
      </c>
      <c r="W1587" t="s">
        <v>5914</v>
      </c>
      <c r="X1587" s="2">
        <v>0</v>
      </c>
      <c r="Y1587" t="s">
        <v>5858</v>
      </c>
      <c r="Z1587" t="s">
        <v>6037</v>
      </c>
      <c r="AA1587" s="2">
        <v>100</v>
      </c>
      <c r="AB1587" t="s">
        <v>5915</v>
      </c>
      <c r="AC1587" t="s">
        <v>9981</v>
      </c>
      <c r="AD1587" s="32"/>
      <c r="AJ1587" t="s">
        <v>9967</v>
      </c>
      <c r="AL1587" t="s">
        <v>11523</v>
      </c>
    </row>
    <row r="1588" spans="1:38">
      <c r="A1588" t="s">
        <v>9813</v>
      </c>
      <c r="B1588" t="s">
        <v>12749</v>
      </c>
      <c r="C1588" t="s">
        <v>9878</v>
      </c>
      <c r="D1588" t="s">
        <v>9879</v>
      </c>
      <c r="E1588" s="2">
        <v>84</v>
      </c>
      <c r="F1588" s="2">
        <v>84</v>
      </c>
      <c r="G1588" s="3">
        <v>43297</v>
      </c>
      <c r="H1588" s="4">
        <v>0.38859953703703998</v>
      </c>
      <c r="I1588" s="3">
        <v>43297</v>
      </c>
      <c r="J1588" s="4">
        <v>0.52859953703703999</v>
      </c>
      <c r="K1588" s="2">
        <v>20</v>
      </c>
      <c r="L1588" t="s">
        <v>5856</v>
      </c>
      <c r="M1588" t="s">
        <v>9852</v>
      </c>
      <c r="N1588" s="3">
        <v>43304</v>
      </c>
      <c r="O1588" s="3">
        <v>43304</v>
      </c>
      <c r="P1588" t="s">
        <v>9880</v>
      </c>
      <c r="Q1588" t="s">
        <v>9881</v>
      </c>
      <c r="R1588" t="s">
        <v>6036</v>
      </c>
      <c r="S1588" s="3">
        <v>43304</v>
      </c>
      <c r="T1588" t="s">
        <v>9938</v>
      </c>
      <c r="U1588" t="s">
        <v>9132</v>
      </c>
      <c r="V1588" t="s">
        <v>9882</v>
      </c>
      <c r="W1588" t="s">
        <v>6038</v>
      </c>
      <c r="X1588" s="2">
        <v>25</v>
      </c>
      <c r="Y1588" t="s">
        <v>5858</v>
      </c>
      <c r="Z1588" t="s">
        <v>6037</v>
      </c>
      <c r="AA1588" s="2">
        <v>60</v>
      </c>
      <c r="AB1588" t="s">
        <v>5863</v>
      </c>
      <c r="AC1588" t="s">
        <v>9981</v>
      </c>
      <c r="AD1588" s="32">
        <v>43276</v>
      </c>
      <c r="AJ1588" t="s">
        <v>9967</v>
      </c>
      <c r="AL1588" t="s">
        <v>11524</v>
      </c>
    </row>
    <row r="1589" spans="1:38">
      <c r="A1589" t="s">
        <v>9813</v>
      </c>
      <c r="B1589" t="s">
        <v>12750</v>
      </c>
      <c r="C1589" t="s">
        <v>9883</v>
      </c>
      <c r="D1589" t="s">
        <v>9884</v>
      </c>
      <c r="E1589" s="2">
        <v>70</v>
      </c>
      <c r="F1589" s="2">
        <v>70</v>
      </c>
      <c r="G1589" s="3">
        <v>43297</v>
      </c>
      <c r="H1589" s="4">
        <v>0.54943287037037003</v>
      </c>
      <c r="I1589" s="3">
        <v>43297</v>
      </c>
      <c r="J1589" s="4">
        <v>0.66609953703703995</v>
      </c>
      <c r="K1589" s="2">
        <v>0</v>
      </c>
      <c r="L1589" t="s">
        <v>5856</v>
      </c>
      <c r="M1589" t="s">
        <v>9523</v>
      </c>
      <c r="N1589" s="3">
        <v>43298</v>
      </c>
      <c r="O1589" s="3">
        <v>43299</v>
      </c>
      <c r="P1589" t="s">
        <v>6580</v>
      </c>
      <c r="Q1589" t="s">
        <v>9885</v>
      </c>
      <c r="R1589" t="s">
        <v>6036</v>
      </c>
      <c r="S1589" s="3">
        <v>43298</v>
      </c>
      <c r="T1589" t="s">
        <v>9938</v>
      </c>
      <c r="U1589" t="s">
        <v>7823</v>
      </c>
      <c r="V1589" t="s">
        <v>9886</v>
      </c>
      <c r="W1589" t="s">
        <v>6038</v>
      </c>
      <c r="X1589" s="2">
        <v>25</v>
      </c>
      <c r="Y1589" t="s">
        <v>5858</v>
      </c>
      <c r="Z1589" t="s">
        <v>6037</v>
      </c>
      <c r="AA1589" s="2">
        <v>50</v>
      </c>
      <c r="AB1589" t="s">
        <v>5863</v>
      </c>
      <c r="AC1589" t="s">
        <v>9976</v>
      </c>
      <c r="AD1589" s="32">
        <v>43277</v>
      </c>
      <c r="AJ1589" t="s">
        <v>9967</v>
      </c>
      <c r="AL1589" t="s">
        <v>11525</v>
      </c>
    </row>
    <row r="1590" spans="1:38">
      <c r="A1590" t="s">
        <v>9813</v>
      </c>
      <c r="B1590" t="s">
        <v>12751</v>
      </c>
      <c r="C1590" t="s">
        <v>9822</v>
      </c>
      <c r="D1590" t="s">
        <v>9823</v>
      </c>
      <c r="E1590" s="2">
        <v>84</v>
      </c>
      <c r="F1590" s="2">
        <v>84</v>
      </c>
      <c r="G1590" s="3">
        <v>43297</v>
      </c>
      <c r="H1590" s="4">
        <v>0.68693287037036999</v>
      </c>
      <c r="I1590" s="3">
        <v>43297</v>
      </c>
      <c r="J1590" s="4">
        <v>0.82693287037037</v>
      </c>
      <c r="K1590" s="2">
        <v>20</v>
      </c>
      <c r="L1590" t="s">
        <v>5856</v>
      </c>
      <c r="M1590" t="s">
        <v>9852</v>
      </c>
      <c r="N1590" s="3">
        <v>43304</v>
      </c>
      <c r="O1590" s="3">
        <v>43304</v>
      </c>
      <c r="P1590" t="s">
        <v>9311</v>
      </c>
      <c r="Q1590" t="s">
        <v>9887</v>
      </c>
      <c r="R1590" t="s">
        <v>6036</v>
      </c>
      <c r="S1590" s="3">
        <v>43304</v>
      </c>
      <c r="T1590" t="s">
        <v>9938</v>
      </c>
      <c r="U1590" t="s">
        <v>9132</v>
      </c>
      <c r="V1590" t="s">
        <v>9825</v>
      </c>
      <c r="W1590" t="s">
        <v>6038</v>
      </c>
      <c r="X1590" s="2">
        <v>25</v>
      </c>
      <c r="Y1590" t="s">
        <v>5858</v>
      </c>
      <c r="Z1590" t="s">
        <v>6037</v>
      </c>
      <c r="AA1590" s="2">
        <v>60</v>
      </c>
      <c r="AB1590" t="s">
        <v>5863</v>
      </c>
      <c r="AC1590" t="s">
        <v>9981</v>
      </c>
      <c r="AD1590" s="32">
        <v>43276</v>
      </c>
      <c r="AJ1590" t="s">
        <v>9967</v>
      </c>
      <c r="AL1590" t="s">
        <v>11526</v>
      </c>
    </row>
    <row r="1591" spans="1:38">
      <c r="A1591" t="s">
        <v>9813</v>
      </c>
      <c r="B1591" t="s">
        <v>12752</v>
      </c>
      <c r="C1591" t="s">
        <v>7759</v>
      </c>
      <c r="D1591" t="s">
        <v>7760</v>
      </c>
      <c r="E1591" s="2">
        <v>280</v>
      </c>
      <c r="F1591" s="2">
        <v>280</v>
      </c>
      <c r="G1591" s="3">
        <v>43297</v>
      </c>
      <c r="H1591" s="4">
        <v>0.85471064814815001</v>
      </c>
      <c r="I1591" s="3">
        <v>43298</v>
      </c>
      <c r="J1591" s="4">
        <v>0.32137731481481002</v>
      </c>
      <c r="K1591" s="2">
        <v>0</v>
      </c>
      <c r="L1591" t="s">
        <v>5856</v>
      </c>
      <c r="M1591" t="s">
        <v>9500</v>
      </c>
      <c r="N1591" s="3">
        <v>43300</v>
      </c>
      <c r="O1591" s="3">
        <v>43300</v>
      </c>
      <c r="P1591" t="s">
        <v>5967</v>
      </c>
      <c r="Q1591" t="s">
        <v>9888</v>
      </c>
      <c r="R1591" t="s">
        <v>6036</v>
      </c>
      <c r="S1591" s="3">
        <v>43300</v>
      </c>
      <c r="T1591" t="s">
        <v>9938</v>
      </c>
      <c r="U1591" t="s">
        <v>7762</v>
      </c>
      <c r="V1591" t="s">
        <v>7763</v>
      </c>
      <c r="W1591" t="s">
        <v>5914</v>
      </c>
      <c r="X1591" s="2">
        <v>25</v>
      </c>
      <c r="Y1591" t="s">
        <v>5858</v>
      </c>
      <c r="Z1591" t="s">
        <v>6037</v>
      </c>
      <c r="AA1591" s="2">
        <v>200</v>
      </c>
      <c r="AB1591" t="s">
        <v>5863</v>
      </c>
      <c r="AC1591" t="s">
        <v>9981</v>
      </c>
      <c r="AD1591" s="32">
        <v>43279</v>
      </c>
      <c r="AJ1591" t="s">
        <v>9963</v>
      </c>
      <c r="AL1591" t="s">
        <v>11527</v>
      </c>
    </row>
    <row r="1592" spans="1:38">
      <c r="A1592" t="s">
        <v>9813</v>
      </c>
      <c r="B1592" t="s">
        <v>12753</v>
      </c>
      <c r="C1592" t="s">
        <v>9889</v>
      </c>
      <c r="D1592" t="s">
        <v>9890</v>
      </c>
      <c r="E1592" s="2">
        <v>150</v>
      </c>
      <c r="F1592" s="2">
        <v>150</v>
      </c>
      <c r="G1592" s="3">
        <v>43298</v>
      </c>
      <c r="H1592" s="4">
        <v>0.40471064814815</v>
      </c>
      <c r="I1592" s="3">
        <v>43298</v>
      </c>
      <c r="J1592" s="4">
        <v>0.65471064814815005</v>
      </c>
      <c r="K1592" s="2">
        <v>20</v>
      </c>
      <c r="L1592" t="s">
        <v>5856</v>
      </c>
      <c r="M1592" t="s">
        <v>9793</v>
      </c>
      <c r="N1592" s="3">
        <v>43300</v>
      </c>
      <c r="O1592" s="3">
        <v>43300</v>
      </c>
      <c r="P1592" t="s">
        <v>9453</v>
      </c>
      <c r="Q1592" t="s">
        <v>9891</v>
      </c>
      <c r="R1592" t="s">
        <v>6036</v>
      </c>
      <c r="S1592" s="3">
        <v>43300</v>
      </c>
      <c r="T1592" t="s">
        <v>9938</v>
      </c>
      <c r="U1592" t="s">
        <v>7909</v>
      </c>
      <c r="V1592" t="s">
        <v>9892</v>
      </c>
      <c r="W1592" t="s">
        <v>6038</v>
      </c>
      <c r="X1592" s="2">
        <v>25</v>
      </c>
      <c r="Y1592" t="s">
        <v>5858</v>
      </c>
      <c r="Z1592" t="s">
        <v>6037</v>
      </c>
      <c r="AA1592" s="2">
        <v>150</v>
      </c>
      <c r="AB1592" t="s">
        <v>5863</v>
      </c>
      <c r="AC1592" t="s">
        <v>9981</v>
      </c>
      <c r="AD1592" s="32">
        <v>43262</v>
      </c>
      <c r="AJ1592" t="s">
        <v>9967</v>
      </c>
      <c r="AL1592" t="s">
        <v>11528</v>
      </c>
    </row>
    <row r="1593" spans="1:38">
      <c r="A1593" t="s">
        <v>9813</v>
      </c>
      <c r="B1593" t="s">
        <v>12754</v>
      </c>
      <c r="C1593" t="s">
        <v>9893</v>
      </c>
      <c r="D1593" t="s">
        <v>9894</v>
      </c>
      <c r="E1593" s="2">
        <v>300</v>
      </c>
      <c r="F1593" s="2">
        <v>300</v>
      </c>
      <c r="G1593" s="3">
        <v>43298</v>
      </c>
      <c r="H1593" s="4">
        <v>0.67554398148147998</v>
      </c>
      <c r="I1593" s="3">
        <v>43299</v>
      </c>
      <c r="J1593" s="4">
        <v>0.17554398148148001</v>
      </c>
      <c r="K1593" s="2">
        <v>0</v>
      </c>
      <c r="L1593" t="s">
        <v>5856</v>
      </c>
      <c r="M1593" t="s">
        <v>9778</v>
      </c>
      <c r="N1593" s="3">
        <v>43339</v>
      </c>
      <c r="O1593" s="3">
        <v>43301</v>
      </c>
      <c r="P1593" t="s">
        <v>5881</v>
      </c>
      <c r="Q1593" t="s">
        <v>9895</v>
      </c>
      <c r="R1593" t="s">
        <v>6036</v>
      </c>
      <c r="S1593" s="3">
        <v>43339</v>
      </c>
      <c r="T1593" t="s">
        <v>9938</v>
      </c>
      <c r="U1593" t="s">
        <v>5874</v>
      </c>
      <c r="V1593" t="s">
        <v>9896</v>
      </c>
      <c r="W1593" t="s">
        <v>5857</v>
      </c>
      <c r="X1593" s="2">
        <v>25</v>
      </c>
      <c r="Y1593" t="s">
        <v>5858</v>
      </c>
      <c r="Z1593" t="s">
        <v>6037</v>
      </c>
      <c r="AA1593" s="2">
        <v>300</v>
      </c>
      <c r="AB1593" t="s">
        <v>5863</v>
      </c>
      <c r="AC1593" t="s">
        <v>9978</v>
      </c>
      <c r="AD1593" s="32">
        <v>43251</v>
      </c>
      <c r="AJ1593" t="s">
        <v>9958</v>
      </c>
      <c r="AL1593" t="s">
        <v>11529</v>
      </c>
    </row>
    <row r="1594" spans="1:38">
      <c r="A1594" t="s">
        <v>9813</v>
      </c>
      <c r="B1594" t="s">
        <v>12755</v>
      </c>
      <c r="C1594" t="s">
        <v>9897</v>
      </c>
      <c r="D1594" t="s">
        <v>9898</v>
      </c>
      <c r="E1594" s="2">
        <v>100</v>
      </c>
      <c r="F1594" s="2">
        <v>100</v>
      </c>
      <c r="G1594" s="3">
        <v>43299</v>
      </c>
      <c r="H1594" s="4">
        <v>0.19637731481480999</v>
      </c>
      <c r="I1594" s="3">
        <v>43299</v>
      </c>
      <c r="J1594" s="4">
        <v>0.36304398148147998</v>
      </c>
      <c r="K1594" s="2">
        <v>20</v>
      </c>
      <c r="L1594" t="s">
        <v>5856</v>
      </c>
      <c r="M1594" t="s">
        <v>9516</v>
      </c>
      <c r="N1594" s="3">
        <v>43300</v>
      </c>
      <c r="O1594" s="3">
        <v>43301</v>
      </c>
      <c r="P1594" t="s">
        <v>5967</v>
      </c>
      <c r="Q1594" t="s">
        <v>9899</v>
      </c>
      <c r="R1594" t="s">
        <v>6036</v>
      </c>
      <c r="S1594" s="3">
        <v>43300</v>
      </c>
      <c r="T1594" t="s">
        <v>9938</v>
      </c>
      <c r="U1594" t="s">
        <v>7982</v>
      </c>
      <c r="V1594" t="s">
        <v>5916</v>
      </c>
      <c r="W1594" t="s">
        <v>5857</v>
      </c>
      <c r="X1594" s="2">
        <v>25</v>
      </c>
      <c r="Y1594" t="s">
        <v>5858</v>
      </c>
      <c r="Z1594" t="s">
        <v>6037</v>
      </c>
      <c r="AA1594" s="2">
        <v>100</v>
      </c>
      <c r="AB1594" t="s">
        <v>5863</v>
      </c>
      <c r="AC1594" t="s">
        <v>9981</v>
      </c>
      <c r="AD1594" s="32">
        <v>43250</v>
      </c>
      <c r="AJ1594" t="s">
        <v>9962</v>
      </c>
      <c r="AL1594" t="s">
        <v>11530</v>
      </c>
    </row>
    <row r="1595" spans="1:38">
      <c r="A1595" t="s">
        <v>9813</v>
      </c>
      <c r="B1595" t="s">
        <v>13757</v>
      </c>
      <c r="C1595" t="s">
        <v>9129</v>
      </c>
      <c r="D1595" t="s">
        <v>9130</v>
      </c>
      <c r="E1595" s="2">
        <v>196</v>
      </c>
      <c r="F1595" s="2">
        <v>196</v>
      </c>
      <c r="G1595" s="3">
        <v>43299</v>
      </c>
      <c r="H1595" s="4">
        <v>0.67333333333333001</v>
      </c>
      <c r="I1595" s="3">
        <v>43300</v>
      </c>
      <c r="J1595" s="4">
        <v>0</v>
      </c>
      <c r="K1595" s="2">
        <v>0</v>
      </c>
      <c r="L1595" t="s">
        <v>5856</v>
      </c>
      <c r="M1595" t="s">
        <v>13758</v>
      </c>
      <c r="N1595" s="3">
        <v>43307</v>
      </c>
      <c r="O1595" s="3">
        <v>43306</v>
      </c>
      <c r="P1595" t="s">
        <v>9131</v>
      </c>
      <c r="Q1595" t="s">
        <v>9151</v>
      </c>
      <c r="R1595" t="s">
        <v>6042</v>
      </c>
      <c r="S1595" s="3">
        <v>43307</v>
      </c>
      <c r="T1595" t="s">
        <v>9938</v>
      </c>
      <c r="U1595" t="s">
        <v>9132</v>
      </c>
      <c r="V1595" t="s">
        <v>9133</v>
      </c>
      <c r="W1595" t="s">
        <v>5914</v>
      </c>
      <c r="X1595" s="2">
        <v>25</v>
      </c>
      <c r="Y1595" t="s">
        <v>5858</v>
      </c>
      <c r="Z1595" t="s">
        <v>6037</v>
      </c>
      <c r="AA1595" s="2">
        <v>140</v>
      </c>
      <c r="AB1595" t="s">
        <v>5863</v>
      </c>
      <c r="AC1595" t="s">
        <v>9981</v>
      </c>
      <c r="AD1595" s="32">
        <v>43279</v>
      </c>
      <c r="AJ1595" t="s">
        <v>9967</v>
      </c>
      <c r="AL1595" t="s">
        <v>14350</v>
      </c>
    </row>
    <row r="1596" spans="1:38">
      <c r="A1596" t="s">
        <v>9813</v>
      </c>
      <c r="B1596" t="s">
        <v>12756</v>
      </c>
      <c r="C1596" t="s">
        <v>9277</v>
      </c>
      <c r="D1596" t="s">
        <v>9278</v>
      </c>
      <c r="E1596" s="2">
        <v>210</v>
      </c>
      <c r="F1596" s="2">
        <v>210</v>
      </c>
      <c r="G1596" s="3">
        <v>43303</v>
      </c>
      <c r="H1596" s="4">
        <v>0.65</v>
      </c>
      <c r="I1596" s="3">
        <v>43304</v>
      </c>
      <c r="J1596" s="4">
        <v>0</v>
      </c>
      <c r="K1596" s="2">
        <v>0</v>
      </c>
      <c r="L1596" t="s">
        <v>5856</v>
      </c>
      <c r="M1596" t="s">
        <v>9551</v>
      </c>
      <c r="N1596" s="3">
        <v>43306</v>
      </c>
      <c r="O1596" s="3">
        <v>43305</v>
      </c>
      <c r="P1596" t="s">
        <v>5864</v>
      </c>
      <c r="Q1596" t="s">
        <v>9900</v>
      </c>
      <c r="R1596" t="s">
        <v>6036</v>
      </c>
      <c r="S1596" s="3">
        <v>43306</v>
      </c>
      <c r="T1596" t="s">
        <v>9938</v>
      </c>
      <c r="U1596" t="s">
        <v>8016</v>
      </c>
      <c r="V1596" t="s">
        <v>9281</v>
      </c>
      <c r="W1596" t="s">
        <v>5857</v>
      </c>
      <c r="X1596" s="2">
        <v>25</v>
      </c>
      <c r="Y1596" t="s">
        <v>5858</v>
      </c>
      <c r="Z1596" t="s">
        <v>6037</v>
      </c>
      <c r="AA1596" s="2">
        <v>150</v>
      </c>
      <c r="AB1596" t="s">
        <v>5863</v>
      </c>
      <c r="AC1596" t="s">
        <v>9974</v>
      </c>
      <c r="AD1596" s="32">
        <v>43278</v>
      </c>
      <c r="AI1596" t="s">
        <v>9943</v>
      </c>
      <c r="AJ1596" t="s">
        <v>9967</v>
      </c>
      <c r="AL1596" t="s">
        <v>11531</v>
      </c>
    </row>
    <row r="1597" spans="1:38">
      <c r="A1597" t="s">
        <v>9813</v>
      </c>
      <c r="B1597" t="s">
        <v>12757</v>
      </c>
      <c r="C1597" t="s">
        <v>9901</v>
      </c>
      <c r="D1597" t="s">
        <v>9902</v>
      </c>
      <c r="E1597" s="2">
        <v>25</v>
      </c>
      <c r="F1597" s="2">
        <v>25</v>
      </c>
      <c r="G1597" s="3">
        <v>43318</v>
      </c>
      <c r="H1597" s="4">
        <v>0.95833333333333004</v>
      </c>
      <c r="I1597" s="3">
        <v>43319</v>
      </c>
      <c r="J1597" s="4">
        <v>0</v>
      </c>
      <c r="K1597" s="2">
        <v>0</v>
      </c>
      <c r="L1597" t="s">
        <v>5856</v>
      </c>
      <c r="M1597" t="s">
        <v>6994</v>
      </c>
      <c r="N1597" s="3">
        <v>43321</v>
      </c>
      <c r="O1597" s="3">
        <v>43320</v>
      </c>
      <c r="P1597" t="s">
        <v>7755</v>
      </c>
      <c r="Q1597" t="s">
        <v>9903</v>
      </c>
      <c r="R1597" t="s">
        <v>6036</v>
      </c>
      <c r="S1597" s="3">
        <v>43321</v>
      </c>
      <c r="T1597" t="s">
        <v>9938</v>
      </c>
      <c r="U1597" t="s">
        <v>7909</v>
      </c>
      <c r="V1597" t="s">
        <v>9904</v>
      </c>
      <c r="W1597" t="s">
        <v>6038</v>
      </c>
      <c r="X1597" s="2">
        <v>25</v>
      </c>
      <c r="Y1597" t="s">
        <v>5858</v>
      </c>
      <c r="Z1597" t="s">
        <v>6037</v>
      </c>
      <c r="AA1597" s="2">
        <v>25</v>
      </c>
      <c r="AB1597" t="s">
        <v>5863</v>
      </c>
      <c r="AC1597" t="s">
        <v>9981</v>
      </c>
      <c r="AD1597" s="32">
        <v>43279</v>
      </c>
      <c r="AJ1597" t="s">
        <v>9967</v>
      </c>
      <c r="AL1597" t="s">
        <v>14351</v>
      </c>
    </row>
    <row r="1598" spans="1:38">
      <c r="A1598" t="s">
        <v>9813</v>
      </c>
      <c r="B1598" t="s">
        <v>12758</v>
      </c>
      <c r="C1598" t="s">
        <v>9905</v>
      </c>
      <c r="D1598" t="s">
        <v>9906</v>
      </c>
      <c r="E1598" s="2">
        <v>100</v>
      </c>
      <c r="F1598" s="2">
        <v>100</v>
      </c>
      <c r="G1598" s="3">
        <v>43329</v>
      </c>
      <c r="H1598" s="4">
        <v>0.83333333333333004</v>
      </c>
      <c r="I1598" s="3">
        <v>43330</v>
      </c>
      <c r="J1598" s="4">
        <v>0</v>
      </c>
      <c r="K1598" s="2">
        <v>0</v>
      </c>
      <c r="L1598" t="s">
        <v>5856</v>
      </c>
      <c r="M1598" t="s">
        <v>9516</v>
      </c>
      <c r="N1598" s="3">
        <v>43332</v>
      </c>
      <c r="O1598" s="3">
        <v>43331</v>
      </c>
      <c r="P1598" t="s">
        <v>9907</v>
      </c>
      <c r="Q1598" t="s">
        <v>9908</v>
      </c>
      <c r="R1598" t="s">
        <v>6036</v>
      </c>
      <c r="S1598" s="3">
        <v>43332</v>
      </c>
      <c r="T1598" t="s">
        <v>9938</v>
      </c>
      <c r="U1598" t="s">
        <v>7786</v>
      </c>
      <c r="V1598" t="s">
        <v>9909</v>
      </c>
      <c r="W1598" t="s">
        <v>5914</v>
      </c>
      <c r="X1598" s="2">
        <v>25</v>
      </c>
      <c r="Y1598" t="s">
        <v>5858</v>
      </c>
      <c r="Z1598" t="s">
        <v>6037</v>
      </c>
      <c r="AA1598" s="2">
        <v>100</v>
      </c>
      <c r="AB1598" t="s">
        <v>5863</v>
      </c>
      <c r="AC1598" t="s">
        <v>9981</v>
      </c>
      <c r="AD1598" s="32"/>
      <c r="AJ1598" t="s">
        <v>9965</v>
      </c>
      <c r="AL1598" t="s">
        <v>14352</v>
      </c>
    </row>
    <row r="1599" spans="1:38">
      <c r="A1599" t="s">
        <v>9813</v>
      </c>
      <c r="B1599" t="s">
        <v>13759</v>
      </c>
      <c r="C1599" t="s">
        <v>9814</v>
      </c>
      <c r="D1599" t="s">
        <v>9815</v>
      </c>
      <c r="E1599" s="2">
        <v>140</v>
      </c>
      <c r="F1599" s="2">
        <v>140</v>
      </c>
      <c r="G1599" s="3">
        <v>43332</v>
      </c>
      <c r="H1599" s="4">
        <v>2.0833333333330002E-2</v>
      </c>
      <c r="I1599" s="3">
        <v>43332</v>
      </c>
      <c r="J1599" s="4">
        <v>0.25416666666666998</v>
      </c>
      <c r="K1599" s="2">
        <v>0</v>
      </c>
      <c r="L1599" t="s">
        <v>5856</v>
      </c>
      <c r="M1599" t="s">
        <v>9509</v>
      </c>
      <c r="N1599" s="3"/>
      <c r="O1599" s="3">
        <v>43334</v>
      </c>
      <c r="P1599" t="s">
        <v>5862</v>
      </c>
      <c r="Q1599" t="s">
        <v>13760</v>
      </c>
      <c r="R1599" t="s">
        <v>6036</v>
      </c>
      <c r="S1599" s="3">
        <v>43335</v>
      </c>
      <c r="T1599" t="s">
        <v>9938</v>
      </c>
      <c r="U1599" t="s">
        <v>9816</v>
      </c>
      <c r="V1599" t="s">
        <v>6041</v>
      </c>
      <c r="W1599" t="s">
        <v>6038</v>
      </c>
      <c r="X1599" s="2">
        <v>25</v>
      </c>
      <c r="Y1599" t="s">
        <v>5858</v>
      </c>
      <c r="Z1599" t="s">
        <v>6037</v>
      </c>
      <c r="AA1599" s="2">
        <v>100</v>
      </c>
      <c r="AB1599" t="s">
        <v>5859</v>
      </c>
      <c r="AC1599" t="s">
        <v>9981</v>
      </c>
      <c r="AD1599" s="32"/>
      <c r="AL1599" t="s">
        <v>14353</v>
      </c>
    </row>
    <row r="1600" spans="1:38">
      <c r="A1600" t="s">
        <v>9813</v>
      </c>
      <c r="B1600" t="s">
        <v>12759</v>
      </c>
      <c r="C1600" t="s">
        <v>9910</v>
      </c>
      <c r="D1600" t="s">
        <v>9911</v>
      </c>
      <c r="E1600" s="2">
        <v>25</v>
      </c>
      <c r="F1600" s="2">
        <v>25</v>
      </c>
      <c r="G1600" s="3">
        <v>43333</v>
      </c>
      <c r="H1600" s="4">
        <v>4.1666666666670002E-2</v>
      </c>
      <c r="I1600" s="3">
        <v>43333</v>
      </c>
      <c r="J1600" s="4">
        <v>8.3333333333329998E-2</v>
      </c>
      <c r="K1600" s="2">
        <v>0</v>
      </c>
      <c r="L1600" t="s">
        <v>5856</v>
      </c>
      <c r="M1600" t="s">
        <v>6994</v>
      </c>
      <c r="N1600" s="3">
        <v>43335</v>
      </c>
      <c r="O1600" s="3">
        <v>43335</v>
      </c>
      <c r="P1600" t="s">
        <v>9912</v>
      </c>
      <c r="Q1600" t="s">
        <v>9913</v>
      </c>
      <c r="R1600" t="s">
        <v>6036</v>
      </c>
      <c r="S1600" s="3">
        <v>43335</v>
      </c>
      <c r="T1600" t="s">
        <v>9938</v>
      </c>
      <c r="U1600" t="s">
        <v>7830</v>
      </c>
      <c r="V1600" t="s">
        <v>9914</v>
      </c>
      <c r="W1600" t="s">
        <v>5857</v>
      </c>
      <c r="X1600" s="2">
        <v>25</v>
      </c>
      <c r="Y1600" t="s">
        <v>5858</v>
      </c>
      <c r="Z1600" t="s">
        <v>6037</v>
      </c>
      <c r="AA1600" s="2">
        <v>25</v>
      </c>
      <c r="AB1600" t="s">
        <v>5863</v>
      </c>
      <c r="AD1600" s="32"/>
      <c r="AI1600" t="s">
        <v>9939</v>
      </c>
      <c r="AJ1600" t="s">
        <v>9967</v>
      </c>
      <c r="AL1600" t="s">
        <v>11535</v>
      </c>
    </row>
    <row r="1601" spans="1:38">
      <c r="A1601" t="s">
        <v>9813</v>
      </c>
      <c r="B1601" t="s">
        <v>13761</v>
      </c>
      <c r="C1601" t="s">
        <v>7929</v>
      </c>
      <c r="D1601" t="s">
        <v>7930</v>
      </c>
      <c r="E1601" s="2">
        <v>28</v>
      </c>
      <c r="F1601" s="2">
        <v>28</v>
      </c>
      <c r="G1601" s="3">
        <v>43344</v>
      </c>
      <c r="H1601" s="4">
        <v>0.95333333333333004</v>
      </c>
      <c r="I1601" s="3">
        <v>43345</v>
      </c>
      <c r="J1601" s="4">
        <v>0</v>
      </c>
      <c r="K1601" s="2">
        <v>0</v>
      </c>
      <c r="L1601" t="s">
        <v>5856</v>
      </c>
      <c r="M1601" t="s">
        <v>9834</v>
      </c>
      <c r="N1601" s="3">
        <v>43347</v>
      </c>
      <c r="O1601" s="3">
        <v>43346</v>
      </c>
      <c r="P1601" t="s">
        <v>5862</v>
      </c>
      <c r="Q1601" t="s">
        <v>13762</v>
      </c>
      <c r="R1601" t="s">
        <v>6036</v>
      </c>
      <c r="S1601" s="3">
        <v>43347</v>
      </c>
      <c r="T1601" t="s">
        <v>9938</v>
      </c>
      <c r="U1601" t="s">
        <v>7932</v>
      </c>
      <c r="V1601" t="s">
        <v>7933</v>
      </c>
      <c r="W1601" t="s">
        <v>5914</v>
      </c>
      <c r="X1601" s="2">
        <v>25</v>
      </c>
      <c r="Y1601" t="s">
        <v>5858</v>
      </c>
      <c r="Z1601" t="s">
        <v>6037</v>
      </c>
      <c r="AA1601" s="2">
        <v>20</v>
      </c>
      <c r="AB1601" t="s">
        <v>5863</v>
      </c>
      <c r="AC1601" t="s">
        <v>9981</v>
      </c>
      <c r="AD1601" s="32"/>
      <c r="AJ1601" t="s">
        <v>9962</v>
      </c>
      <c r="AL1601" t="s">
        <v>14354</v>
      </c>
    </row>
    <row r="1602" spans="1:38">
      <c r="A1602" t="s">
        <v>9813</v>
      </c>
      <c r="B1602" t="s">
        <v>12760</v>
      </c>
      <c r="C1602" t="s">
        <v>9915</v>
      </c>
      <c r="D1602" t="s">
        <v>9916</v>
      </c>
      <c r="E1602" s="2">
        <v>224</v>
      </c>
      <c r="F1602" s="2">
        <v>224</v>
      </c>
      <c r="G1602" s="3">
        <v>43351</v>
      </c>
      <c r="H1602" s="4">
        <v>0.62666666666667004</v>
      </c>
      <c r="I1602" s="3">
        <v>43352</v>
      </c>
      <c r="J1602" s="4">
        <v>0</v>
      </c>
      <c r="K1602" s="2">
        <v>20</v>
      </c>
      <c r="L1602" t="s">
        <v>5856</v>
      </c>
      <c r="M1602" t="s">
        <v>9917</v>
      </c>
      <c r="N1602" s="3">
        <v>43354</v>
      </c>
      <c r="O1602" s="3">
        <v>43353</v>
      </c>
      <c r="P1602" t="s">
        <v>5880</v>
      </c>
      <c r="Q1602" t="s">
        <v>9918</v>
      </c>
      <c r="R1602" t="s">
        <v>6036</v>
      </c>
      <c r="S1602" s="3">
        <v>43354</v>
      </c>
      <c r="T1602" t="s">
        <v>9938</v>
      </c>
      <c r="U1602" t="s">
        <v>5900</v>
      </c>
      <c r="V1602" t="s">
        <v>9919</v>
      </c>
      <c r="W1602" t="s">
        <v>5914</v>
      </c>
      <c r="X1602" s="2">
        <v>25</v>
      </c>
      <c r="Y1602" t="s">
        <v>5858</v>
      </c>
      <c r="Z1602" t="s">
        <v>6037</v>
      </c>
      <c r="AA1602" s="2">
        <v>160</v>
      </c>
      <c r="AB1602" t="s">
        <v>5863</v>
      </c>
      <c r="AD1602" s="32"/>
      <c r="AI1602" t="s">
        <v>9939</v>
      </c>
      <c r="AJ1602" t="s">
        <v>9967</v>
      </c>
      <c r="AL1602" t="s">
        <v>11536</v>
      </c>
    </row>
  </sheetData>
  <sortState ref="A2:AG1926">
    <sortCondition ref="A2:A1926"/>
    <sortCondition ref="G2:G1926"/>
    <sortCondition ref="H2:H1926"/>
  </sortState>
  <phoneticPr fontId="0" type="noConversion"/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LQ5483"/>
  <sheetViews>
    <sheetView showGridLines="0" zoomScaleNormal="100" workbookViewId="0">
      <pane xSplit="4" ySplit="2" topLeftCell="E345" activePane="bottomRight" state="frozenSplit"/>
      <selection pane="topRight" activeCell="E1" sqref="E1"/>
      <selection pane="bottomLeft" activeCell="A3" sqref="A3"/>
      <selection pane="bottomRight" activeCell="AI356" sqref="AI356"/>
    </sheetView>
  </sheetViews>
  <sheetFormatPr defaultRowHeight="12.75"/>
  <cols>
    <col min="1" max="1" width="6.7109375" style="8" customWidth="1"/>
    <col min="2" max="2" width="1.7109375" style="8" customWidth="1"/>
    <col min="3" max="3" width="3.85546875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2007 5782:5782 6153:7153 8207:8207 10123:10123 11863:11863 12863:12863 13862:13862 15362:15362" ht="16.5" customHeight="1">
      <c r="A1" s="25" t="s">
        <v>12765</v>
      </c>
      <c r="B1" s="10">
        <v>43282</v>
      </c>
      <c r="C1" s="8" t="s">
        <v>1403</v>
      </c>
      <c r="D1" s="14" t="s">
        <v>12764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2007 5782:5782 6153:7153 8207:8207 10123:10123 11863:11863 12863:12863 13862:13862 15362:15362" ht="15.75">
      <c r="A2" s="25" t="s">
        <v>12766</v>
      </c>
      <c r="B2" s="10"/>
      <c r="C2" s="8" t="s">
        <v>1403</v>
      </c>
      <c r="D2" s="15" t="s">
        <v>12764</v>
      </c>
      <c r="E2" s="39">
        <v>43282</v>
      </c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5"/>
      <c r="BA2" s="36">
        <v>43283</v>
      </c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8"/>
      <c r="CW2" s="33">
        <v>43284</v>
      </c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5"/>
      <c r="ES2" s="36">
        <v>43285</v>
      </c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8"/>
      <c r="GO2" s="33">
        <v>43286</v>
      </c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5"/>
      <c r="IK2" s="36">
        <v>43287</v>
      </c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8"/>
      <c r="KG2" s="33">
        <v>43288</v>
      </c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5"/>
      <c r="MC2" s="36">
        <v>43289</v>
      </c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8"/>
      <c r="NY2" s="33">
        <v>43290</v>
      </c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5"/>
      <c r="PU2" s="36">
        <v>43291</v>
      </c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8"/>
      <c r="RQ2" s="33">
        <v>43292</v>
      </c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5"/>
      <c r="TM2" s="36">
        <v>43293</v>
      </c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8"/>
      <c r="VI2" s="33">
        <v>43294</v>
      </c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5"/>
      <c r="XE2" s="36">
        <v>43295</v>
      </c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8"/>
      <c r="ZA2" s="33">
        <v>43296</v>
      </c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  <c r="AAA2" s="34"/>
      <c r="AAB2" s="34"/>
      <c r="AAC2" s="34"/>
      <c r="AAD2" s="34"/>
      <c r="AAE2" s="34"/>
      <c r="AAF2" s="34"/>
      <c r="AAG2" s="34"/>
      <c r="AAH2" s="34"/>
      <c r="AAI2" s="34"/>
      <c r="AAJ2" s="34"/>
      <c r="AAK2" s="34"/>
      <c r="AAL2" s="34"/>
      <c r="AAM2" s="34"/>
      <c r="AAN2" s="34"/>
      <c r="AAO2" s="34"/>
      <c r="AAP2" s="34"/>
      <c r="AAQ2" s="34"/>
      <c r="AAR2" s="34"/>
      <c r="AAS2" s="34"/>
      <c r="AAT2" s="34"/>
      <c r="AAU2" s="34"/>
      <c r="AAV2" s="35"/>
      <c r="AAW2" s="36">
        <v>43297</v>
      </c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8"/>
      <c r="ACS2" s="33">
        <v>43298</v>
      </c>
      <c r="ACT2" s="34"/>
      <c r="ACU2" s="34"/>
      <c r="ACV2" s="34"/>
      <c r="ACW2" s="34"/>
      <c r="ACX2" s="34"/>
      <c r="ACY2" s="34"/>
      <c r="ACZ2" s="34"/>
      <c r="ADA2" s="34"/>
      <c r="ADB2" s="34"/>
      <c r="ADC2" s="34"/>
      <c r="ADD2" s="34"/>
      <c r="ADE2" s="34"/>
      <c r="ADF2" s="34"/>
      <c r="ADG2" s="34"/>
      <c r="ADH2" s="34"/>
      <c r="ADI2" s="34"/>
      <c r="ADJ2" s="34"/>
      <c r="ADK2" s="34"/>
      <c r="ADL2" s="34"/>
      <c r="ADM2" s="34"/>
      <c r="ADN2" s="34"/>
      <c r="ADO2" s="34"/>
      <c r="ADP2" s="34"/>
      <c r="ADQ2" s="34"/>
      <c r="ADR2" s="34"/>
      <c r="ADS2" s="34"/>
      <c r="ADT2" s="34"/>
      <c r="ADU2" s="34"/>
      <c r="ADV2" s="34"/>
      <c r="ADW2" s="34"/>
      <c r="ADX2" s="34"/>
      <c r="ADY2" s="34"/>
      <c r="ADZ2" s="34"/>
      <c r="AEA2" s="34"/>
      <c r="AEB2" s="34"/>
      <c r="AEC2" s="34"/>
      <c r="AED2" s="34"/>
      <c r="AEE2" s="34"/>
      <c r="AEF2" s="34"/>
      <c r="AEG2" s="34"/>
      <c r="AEH2" s="34"/>
      <c r="AEI2" s="34"/>
      <c r="AEJ2" s="34"/>
      <c r="AEK2" s="34"/>
      <c r="AEL2" s="34"/>
      <c r="AEM2" s="34"/>
      <c r="AEN2" s="35"/>
      <c r="AEO2" s="36">
        <v>43299</v>
      </c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8"/>
      <c r="AGK2" s="33">
        <v>43300</v>
      </c>
      <c r="AGL2" s="34"/>
      <c r="AGM2" s="34"/>
      <c r="AGN2" s="34"/>
      <c r="AGO2" s="34"/>
      <c r="AGP2" s="34"/>
      <c r="AGQ2" s="34"/>
      <c r="AGR2" s="34"/>
      <c r="AGS2" s="34"/>
      <c r="AGT2" s="34"/>
      <c r="AGU2" s="34"/>
      <c r="AGV2" s="34"/>
      <c r="AGW2" s="34"/>
      <c r="AGX2" s="34"/>
      <c r="AGY2" s="34"/>
      <c r="AGZ2" s="34"/>
      <c r="AHA2" s="34"/>
      <c r="AHB2" s="34"/>
      <c r="AHC2" s="34"/>
      <c r="AHD2" s="34"/>
      <c r="AHE2" s="34"/>
      <c r="AHF2" s="34"/>
      <c r="AHG2" s="34"/>
      <c r="AHH2" s="34"/>
      <c r="AHI2" s="34"/>
      <c r="AHJ2" s="34"/>
      <c r="AHK2" s="34"/>
      <c r="AHL2" s="34"/>
      <c r="AHM2" s="34"/>
      <c r="AHN2" s="34"/>
      <c r="AHO2" s="34"/>
      <c r="AHP2" s="34"/>
      <c r="AHQ2" s="34"/>
      <c r="AHR2" s="34"/>
      <c r="AHS2" s="34"/>
      <c r="AHT2" s="34"/>
      <c r="AHU2" s="34"/>
      <c r="AHV2" s="34"/>
      <c r="AHW2" s="34"/>
      <c r="AHX2" s="34"/>
      <c r="AHY2" s="34"/>
      <c r="AHZ2" s="34"/>
      <c r="AIA2" s="34"/>
      <c r="AIB2" s="34"/>
      <c r="AIC2" s="34"/>
      <c r="AID2" s="34"/>
      <c r="AIE2" s="34"/>
      <c r="AIF2" s="35"/>
      <c r="AIG2" s="36">
        <v>43301</v>
      </c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8"/>
      <c r="AKC2" s="33">
        <v>43302</v>
      </c>
      <c r="AKD2" s="34"/>
      <c r="AKE2" s="34"/>
      <c r="AKF2" s="34"/>
      <c r="AKG2" s="34"/>
      <c r="AKH2" s="34"/>
      <c r="AKI2" s="34"/>
      <c r="AKJ2" s="34"/>
      <c r="AKK2" s="34"/>
      <c r="AKL2" s="34"/>
      <c r="AKM2" s="34"/>
      <c r="AKN2" s="34"/>
      <c r="AKO2" s="34"/>
      <c r="AKP2" s="34"/>
      <c r="AKQ2" s="34"/>
      <c r="AKR2" s="34"/>
      <c r="AKS2" s="34"/>
      <c r="AKT2" s="34"/>
      <c r="AKU2" s="34"/>
      <c r="AKV2" s="34"/>
      <c r="AKW2" s="34"/>
      <c r="AKX2" s="34"/>
      <c r="AKY2" s="34"/>
      <c r="AKZ2" s="34"/>
      <c r="ALA2" s="34"/>
      <c r="ALB2" s="34"/>
      <c r="ALC2" s="34"/>
      <c r="ALD2" s="34"/>
      <c r="ALE2" s="34"/>
      <c r="ALF2" s="34"/>
      <c r="ALG2" s="34"/>
      <c r="ALH2" s="34"/>
      <c r="ALI2" s="34"/>
      <c r="ALJ2" s="34"/>
      <c r="ALK2" s="34"/>
      <c r="ALL2" s="34"/>
      <c r="ALM2" s="34"/>
      <c r="ALN2" s="34"/>
      <c r="ALO2" s="34"/>
      <c r="ALP2" s="34"/>
      <c r="ALQ2" s="34"/>
      <c r="ALR2" s="34"/>
      <c r="ALS2" s="34"/>
      <c r="ALT2" s="34"/>
      <c r="ALU2" s="34"/>
      <c r="ALV2" s="34"/>
      <c r="ALW2" s="34"/>
      <c r="ALX2" s="35"/>
      <c r="ALY2" s="36">
        <v>43303</v>
      </c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8"/>
      <c r="ANU2" s="33">
        <v>43304</v>
      </c>
      <c r="ANV2" s="34"/>
      <c r="ANW2" s="34"/>
      <c r="ANX2" s="34"/>
      <c r="ANY2" s="34"/>
      <c r="ANZ2" s="34"/>
      <c r="AOA2" s="34"/>
      <c r="AOB2" s="34"/>
      <c r="AOC2" s="34"/>
      <c r="AOD2" s="34"/>
      <c r="AOE2" s="34"/>
      <c r="AOF2" s="34"/>
      <c r="AOG2" s="34"/>
      <c r="AOH2" s="34"/>
      <c r="AOI2" s="34"/>
      <c r="AOJ2" s="34"/>
      <c r="AOK2" s="34"/>
      <c r="AOL2" s="34"/>
      <c r="AOM2" s="34"/>
      <c r="AON2" s="34"/>
      <c r="AOO2" s="34"/>
      <c r="AOP2" s="34"/>
      <c r="AOQ2" s="34"/>
      <c r="AOR2" s="34"/>
      <c r="AOS2" s="34"/>
      <c r="AOT2" s="34"/>
      <c r="AOU2" s="34"/>
      <c r="AOV2" s="34"/>
      <c r="AOW2" s="34"/>
      <c r="AOX2" s="34"/>
      <c r="AOY2" s="34"/>
      <c r="AOZ2" s="34"/>
      <c r="APA2" s="34"/>
      <c r="APB2" s="34"/>
      <c r="APC2" s="34"/>
      <c r="APD2" s="34"/>
      <c r="APE2" s="34"/>
      <c r="APF2" s="34"/>
      <c r="APG2" s="34"/>
      <c r="APH2" s="34"/>
      <c r="API2" s="34"/>
      <c r="APJ2" s="34"/>
      <c r="APK2" s="34"/>
      <c r="APL2" s="34"/>
      <c r="APM2" s="34"/>
      <c r="APN2" s="34"/>
      <c r="APO2" s="34"/>
      <c r="APP2" s="35"/>
      <c r="APQ2" s="36">
        <v>43305</v>
      </c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8"/>
      <c r="ARM2" s="33">
        <v>43306</v>
      </c>
      <c r="ARN2" s="34"/>
      <c r="ARO2" s="34"/>
      <c r="ARP2" s="34"/>
      <c r="ARQ2" s="34"/>
      <c r="ARR2" s="34"/>
      <c r="ARS2" s="34"/>
      <c r="ART2" s="34"/>
      <c r="ARU2" s="34"/>
      <c r="ARV2" s="34"/>
      <c r="ARW2" s="34"/>
      <c r="ARX2" s="34"/>
      <c r="ARY2" s="34"/>
      <c r="ARZ2" s="34"/>
      <c r="ASA2" s="34"/>
      <c r="ASB2" s="34"/>
      <c r="ASC2" s="34"/>
      <c r="ASD2" s="34"/>
      <c r="ASE2" s="34"/>
      <c r="ASF2" s="34"/>
      <c r="ASG2" s="34"/>
      <c r="ASH2" s="34"/>
      <c r="ASI2" s="34"/>
      <c r="ASJ2" s="34"/>
      <c r="ASK2" s="34"/>
      <c r="ASL2" s="34"/>
      <c r="ASM2" s="34"/>
      <c r="ASN2" s="34"/>
      <c r="ASO2" s="34"/>
      <c r="ASP2" s="34"/>
      <c r="ASQ2" s="34"/>
      <c r="ASR2" s="34"/>
      <c r="ASS2" s="34"/>
      <c r="AST2" s="34"/>
      <c r="ASU2" s="34"/>
      <c r="ASV2" s="34"/>
      <c r="ASW2" s="34"/>
      <c r="ASX2" s="34"/>
      <c r="ASY2" s="34"/>
      <c r="ASZ2" s="34"/>
      <c r="ATA2" s="34"/>
      <c r="ATB2" s="34"/>
      <c r="ATC2" s="34"/>
      <c r="ATD2" s="34"/>
      <c r="ATE2" s="34"/>
      <c r="ATF2" s="34"/>
      <c r="ATG2" s="34"/>
      <c r="ATH2" s="35"/>
      <c r="ATI2" s="36">
        <v>43307</v>
      </c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8"/>
      <c r="AVE2" s="33">
        <v>43308</v>
      </c>
      <c r="AVF2" s="34"/>
      <c r="AVG2" s="34"/>
      <c r="AVH2" s="34"/>
      <c r="AVI2" s="34"/>
      <c r="AVJ2" s="34"/>
      <c r="AVK2" s="34"/>
      <c r="AVL2" s="34"/>
      <c r="AVM2" s="34"/>
      <c r="AVN2" s="34"/>
      <c r="AVO2" s="34"/>
      <c r="AVP2" s="34"/>
      <c r="AVQ2" s="34"/>
      <c r="AVR2" s="34"/>
      <c r="AVS2" s="34"/>
      <c r="AVT2" s="34"/>
      <c r="AVU2" s="34"/>
      <c r="AVV2" s="34"/>
      <c r="AVW2" s="34"/>
      <c r="AVX2" s="34"/>
      <c r="AVY2" s="34"/>
      <c r="AVZ2" s="34"/>
      <c r="AWA2" s="34"/>
      <c r="AWB2" s="34"/>
      <c r="AWC2" s="34"/>
      <c r="AWD2" s="34"/>
      <c r="AWE2" s="34"/>
      <c r="AWF2" s="34"/>
      <c r="AWG2" s="34"/>
      <c r="AWH2" s="34"/>
      <c r="AWI2" s="34"/>
      <c r="AWJ2" s="34"/>
      <c r="AWK2" s="34"/>
      <c r="AWL2" s="34"/>
      <c r="AWM2" s="34"/>
      <c r="AWN2" s="34"/>
      <c r="AWO2" s="34"/>
      <c r="AWP2" s="34"/>
      <c r="AWQ2" s="34"/>
      <c r="AWR2" s="34"/>
      <c r="AWS2" s="34"/>
      <c r="AWT2" s="34"/>
      <c r="AWU2" s="34"/>
      <c r="AWV2" s="34"/>
      <c r="AWW2" s="34"/>
      <c r="AWX2" s="34"/>
      <c r="AWY2" s="34"/>
      <c r="AWZ2" s="35"/>
      <c r="AXA2" s="36">
        <v>43309</v>
      </c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8"/>
      <c r="AYW2" s="33">
        <v>43310</v>
      </c>
      <c r="AYX2" s="34"/>
      <c r="AYY2" s="34"/>
      <c r="AYZ2" s="34"/>
      <c r="AZA2" s="34"/>
      <c r="AZB2" s="34"/>
      <c r="AZC2" s="34"/>
      <c r="AZD2" s="34"/>
      <c r="AZE2" s="34"/>
      <c r="AZF2" s="34"/>
      <c r="AZG2" s="34"/>
      <c r="AZH2" s="34"/>
      <c r="AZI2" s="34"/>
      <c r="AZJ2" s="34"/>
      <c r="AZK2" s="34"/>
      <c r="AZL2" s="34"/>
      <c r="AZM2" s="34"/>
      <c r="AZN2" s="34"/>
      <c r="AZO2" s="34"/>
      <c r="AZP2" s="34"/>
      <c r="AZQ2" s="34"/>
      <c r="AZR2" s="34"/>
      <c r="AZS2" s="34"/>
      <c r="AZT2" s="34"/>
      <c r="AZU2" s="34"/>
      <c r="AZV2" s="34"/>
      <c r="AZW2" s="34"/>
      <c r="AZX2" s="34"/>
      <c r="AZY2" s="34"/>
      <c r="AZZ2" s="34"/>
      <c r="BAA2" s="34"/>
      <c r="BAB2" s="34"/>
      <c r="BAC2" s="34"/>
      <c r="BAD2" s="34"/>
      <c r="BAE2" s="34"/>
      <c r="BAF2" s="34"/>
      <c r="BAG2" s="34"/>
      <c r="BAH2" s="34"/>
      <c r="BAI2" s="34"/>
      <c r="BAJ2" s="34"/>
      <c r="BAK2" s="34"/>
      <c r="BAL2" s="34"/>
      <c r="BAM2" s="34"/>
      <c r="BAN2" s="34"/>
      <c r="BAO2" s="34"/>
      <c r="BAP2" s="34"/>
      <c r="BAQ2" s="34"/>
      <c r="BAR2" s="35"/>
    </row>
    <row r="3" spans="1:2007 5782:5782 6153:7153 8207:8207 10123:10123 11863:11863 12863:12863 13862:13862 15362:15362">
      <c r="A3" s="8" t="s">
        <v>1289</v>
      </c>
      <c r="B3" s="29" t="s">
        <v>13769</v>
      </c>
      <c r="C3" s="8">
        <v>8.7799999999999994</v>
      </c>
      <c r="D3" s="15">
        <v>32.31</v>
      </c>
      <c r="AW3" s="8" t="s">
        <v>13769</v>
      </c>
    </row>
    <row r="4" spans="1:2007 5782:5782 6153:7153 8207:8207 10123:10123 11863:11863 12863:12863 13862:13862 15362:15362">
      <c r="A4" s="8" t="s">
        <v>1289</v>
      </c>
      <c r="B4" s="10" t="s">
        <v>10450</v>
      </c>
      <c r="C4" s="8">
        <v>122.58</v>
      </c>
      <c r="D4" s="15">
        <v>32.31</v>
      </c>
      <c r="FG4" s="8" t="s">
        <v>10450</v>
      </c>
    </row>
    <row r="5" spans="1:2007 5782:5782 6153:7153 8207:8207 10123:10123 11863:11863 12863:12863 13862:13862 15362:15362">
      <c r="A5" s="8" t="s">
        <v>1289</v>
      </c>
      <c r="B5" s="10" t="s">
        <v>10451</v>
      </c>
      <c r="C5" s="8">
        <v>155.9</v>
      </c>
      <c r="D5" s="15">
        <v>14.5</v>
      </c>
      <c r="FV5" s="8" t="s">
        <v>10451</v>
      </c>
    </row>
    <row r="6" spans="1:2007 5782:5782 6153:7153 8207:8207 10123:10123 11863:11863 12863:12863 13862:13862 15362:15362">
      <c r="A6" s="8" t="s">
        <v>1289</v>
      </c>
      <c r="B6" s="10" t="s">
        <v>10452</v>
      </c>
      <c r="C6" s="8">
        <v>171.4</v>
      </c>
      <c r="D6" s="15">
        <v>27.47</v>
      </c>
      <c r="GY6" s="8" t="s">
        <v>10452</v>
      </c>
    </row>
    <row r="7" spans="1:2007 5782:5782 6153:7153 8207:8207 10123:10123 11863:11863 12863:12863 13862:13862 15362:15362">
      <c r="A7" s="8" t="s">
        <v>1289</v>
      </c>
      <c r="B7" s="10" t="s">
        <v>13770</v>
      </c>
      <c r="C7" s="8">
        <v>346.64</v>
      </c>
      <c r="D7" s="15">
        <v>4.8499999999999996</v>
      </c>
      <c r="MU7" s="8" t="s">
        <v>13770</v>
      </c>
      <c r="BYE7" s="8" t="s">
        <v>4665</v>
      </c>
    </row>
    <row r="8" spans="1:2007 5782:5782 6153:7153 8207:8207 10123:10123 11863:11863 12863:12863 13862:13862 15362:15362">
      <c r="A8" s="8" t="s">
        <v>1289</v>
      </c>
      <c r="B8" s="10" t="s">
        <v>13771</v>
      </c>
      <c r="C8" s="8">
        <v>352.49</v>
      </c>
      <c r="D8" s="15">
        <v>27.47</v>
      </c>
      <c r="NX8" s="19" t="s">
        <v>13771</v>
      </c>
      <c r="HNJ8" s="8" t="s">
        <v>4666</v>
      </c>
    </row>
    <row r="9" spans="1:2007 5782:5782 6153:7153 8207:8207 10123:10123 11863:11863 12863:12863 13862:13862 15362:15362">
      <c r="A9" s="8" t="s">
        <v>1289</v>
      </c>
      <c r="B9" s="10" t="s">
        <v>12762</v>
      </c>
      <c r="C9" s="8">
        <v>384</v>
      </c>
      <c r="D9" s="15">
        <v>16.16</v>
      </c>
      <c r="OR9" s="8" t="s">
        <v>12762</v>
      </c>
      <c r="IBQ9" s="8" t="s">
        <v>4667</v>
      </c>
    </row>
    <row r="10" spans="1:2007 5782:5782 6153:7153 8207:8207 10123:10123 11863:11863 12863:12863 13862:13862 15362:15362">
      <c r="A10" s="8" t="s">
        <v>1289</v>
      </c>
      <c r="B10" s="10" t="s">
        <v>12763</v>
      </c>
      <c r="C10" s="8">
        <v>401.16</v>
      </c>
      <c r="D10" s="15">
        <v>24.24</v>
      </c>
      <c r="PQ10" s="8" t="s">
        <v>12763</v>
      </c>
      <c r="JOC10" s="8" t="s">
        <v>4668</v>
      </c>
    </row>
    <row r="11" spans="1:2007 5782:5782 6153:7153 8207:8207 10123:10123 11863:11863 12863:12863 13862:13862 15362:15362">
      <c r="A11" s="8" t="s">
        <v>1289</v>
      </c>
      <c r="B11" s="10" t="s">
        <v>13772</v>
      </c>
      <c r="C11" s="8">
        <v>426.39</v>
      </c>
      <c r="D11" s="15">
        <v>4.8499999999999996</v>
      </c>
      <c r="PW11" s="8" t="s">
        <v>13772</v>
      </c>
      <c r="LCQ11" s="8" t="s">
        <v>4669</v>
      </c>
    </row>
    <row r="12" spans="1:2007 5782:5782 6153:7153 8207:8207 10123:10123 11863:11863 12863:12863 13862:13862 15362:15362">
      <c r="A12" s="8" t="s">
        <v>1289</v>
      </c>
      <c r="B12" s="10" t="s">
        <v>13773</v>
      </c>
      <c r="C12" s="8">
        <v>625</v>
      </c>
      <c r="D12" s="15">
        <v>32.31</v>
      </c>
      <c r="YO12" s="8" t="s">
        <v>13773</v>
      </c>
      <c r="NYI12" s="8" t="s">
        <v>4670</v>
      </c>
    </row>
    <row r="13" spans="1:2007 5782:5782 6153:7153 8207:8207 10123:10123 11863:11863 12863:12863 13862:13862 15362:15362">
      <c r="A13" s="8" t="s">
        <v>1289</v>
      </c>
      <c r="B13" s="10" t="s">
        <v>11537</v>
      </c>
      <c r="C13" s="8">
        <v>658.31</v>
      </c>
      <c r="D13" s="15">
        <v>32.31</v>
      </c>
      <c r="ZW13" s="8" t="s">
        <v>11537</v>
      </c>
      <c r="BAJ13" s="8" t="s">
        <v>3452</v>
      </c>
      <c r="QNG13" s="8" t="s">
        <v>4671</v>
      </c>
    </row>
    <row r="14" spans="1:2007 5782:5782 6153:7153 8207:8207 10123:10123 11863:11863 12863:12863 13862:13862 15362:15362">
      <c r="A14" s="8" t="s">
        <v>1289</v>
      </c>
      <c r="B14" s="10" t="s">
        <v>10453</v>
      </c>
      <c r="C14" s="8">
        <v>695.76</v>
      </c>
      <c r="D14" s="15">
        <v>31.37</v>
      </c>
      <c r="ABG14" s="8" t="s">
        <v>10453</v>
      </c>
      <c r="RZS14" s="8" t="s">
        <v>4672</v>
      </c>
    </row>
    <row r="15" spans="1:2007 5782:5782 6153:7153 8207:8207 10123:10123 11863:11863 12863:12863 13862:13862 15362:15362">
      <c r="A15" s="8" t="s">
        <v>1289</v>
      </c>
      <c r="B15" s="10" t="s">
        <v>10454</v>
      </c>
      <c r="C15" s="8">
        <v>728.14</v>
      </c>
      <c r="D15" s="15">
        <v>31.37</v>
      </c>
      <c r="ACN15" s="8" t="s">
        <v>10454</v>
      </c>
      <c r="TMD15" s="8" t="s">
        <v>4673</v>
      </c>
    </row>
    <row r="16" spans="1:2007 5782:5782 6153:7153 8207:8207 10123:10123 11863:11863 12863:12863 13862:13862 15362:15362">
      <c r="A16" s="8" t="s">
        <v>1289</v>
      </c>
      <c r="B16" s="10" t="s">
        <v>13774</v>
      </c>
      <c r="C16" s="8">
        <v>735.48</v>
      </c>
      <c r="D16" s="15">
        <v>27.47</v>
      </c>
      <c r="ACQ16" s="8" t="s">
        <v>13774</v>
      </c>
      <c r="BAV16" s="8" t="s">
        <v>5192</v>
      </c>
      <c r="VRV16" s="8" t="s">
        <v>4674</v>
      </c>
    </row>
    <row r="17" spans="1:808 1160:2024 2099:2748 3755:3803 15877:15877">
      <c r="A17" s="8" t="s">
        <v>1289</v>
      </c>
      <c r="B17" s="10" t="s">
        <v>10455</v>
      </c>
      <c r="C17" s="8">
        <v>784.8</v>
      </c>
      <c r="D17" s="15">
        <v>15.69</v>
      </c>
      <c r="AEB17" s="8" t="s">
        <v>10455</v>
      </c>
      <c r="BAD17" s="8" t="s">
        <v>5193</v>
      </c>
      <c r="BDV17" s="8" t="s">
        <v>5193</v>
      </c>
      <c r="WLQ17" s="8" t="s">
        <v>4675</v>
      </c>
    </row>
    <row r="18" spans="1:808 1160:2024 2099:2748 3755:3803 15877:15877">
      <c r="A18" s="8" t="s">
        <v>1289</v>
      </c>
      <c r="B18" s="10" t="s">
        <v>13775</v>
      </c>
      <c r="C18" s="8">
        <v>1119.69</v>
      </c>
      <c r="D18" s="15">
        <v>32.31</v>
      </c>
      <c r="ARP18" s="8" t="s">
        <v>13775</v>
      </c>
      <c r="BAV18" s="8" t="s">
        <v>5194</v>
      </c>
      <c r="BEN18" s="8" t="s">
        <v>5194</v>
      </c>
    </row>
    <row r="19" spans="1:808 1160:2024 2099:2748 3755:3803 15877:15877">
      <c r="A19" s="8" t="s">
        <v>1289</v>
      </c>
      <c r="B19" s="10" t="s">
        <v>10456</v>
      </c>
      <c r="C19" s="8">
        <v>1292.8599999999999</v>
      </c>
      <c r="D19" s="15">
        <v>3.14</v>
      </c>
      <c r="AXD19" s="8" t="s">
        <v>10456</v>
      </c>
    </row>
    <row r="20" spans="1:808 1160:2024 2099:2748 3755:3803 15877:15877">
      <c r="A20" s="8" t="s">
        <v>1289</v>
      </c>
      <c r="B20" s="10" t="s">
        <v>10457</v>
      </c>
      <c r="C20" s="8">
        <v>1436.86</v>
      </c>
      <c r="D20" s="15">
        <v>3.14</v>
      </c>
      <c r="BCR20" s="8" t="s">
        <v>10457</v>
      </c>
      <c r="BEN20" s="8" t="s">
        <v>9990</v>
      </c>
    </row>
    <row r="21" spans="1:808 1160:2024 2099:2748 3755:3803 15877:15877">
      <c r="A21" s="8" t="s">
        <v>1289</v>
      </c>
      <c r="B21" s="10" t="s">
        <v>10458</v>
      </c>
      <c r="C21" s="8">
        <v>1476.02</v>
      </c>
      <c r="D21" s="15">
        <v>7.84</v>
      </c>
      <c r="BEJ21" s="8" t="s">
        <v>10458</v>
      </c>
      <c r="BIF21" s="8" t="s">
        <v>10457</v>
      </c>
      <c r="BKB21" s="8" t="s">
        <v>9991</v>
      </c>
    </row>
    <row r="22" spans="1:808 1160:2024 2099:2748 3755:3803 15877:15877">
      <c r="A22" s="8" t="s">
        <v>1289</v>
      </c>
      <c r="B22" s="10" t="s">
        <v>10459</v>
      </c>
      <c r="C22" s="8">
        <v>1484.86</v>
      </c>
      <c r="D22" s="15">
        <v>3.14</v>
      </c>
      <c r="BEN22" s="8" t="s">
        <v>10459</v>
      </c>
      <c r="BJX22" s="8" t="s">
        <v>10458</v>
      </c>
      <c r="BLT22" s="8" t="s">
        <v>9992</v>
      </c>
    </row>
    <row r="23" spans="1:808 1160:2024 2099:2748 3755:3803 15877:15877">
      <c r="A23" s="8" t="s">
        <v>1289</v>
      </c>
      <c r="B23" s="10" t="s">
        <v>13776</v>
      </c>
      <c r="C23" s="8">
        <v>1561.06</v>
      </c>
      <c r="D23" s="15">
        <v>32.31</v>
      </c>
      <c r="BIO23" s="8" t="s">
        <v>13776</v>
      </c>
      <c r="BKB23" s="8" t="s">
        <v>10459</v>
      </c>
      <c r="BLX23" s="8" t="s">
        <v>9993</v>
      </c>
    </row>
    <row r="24" spans="1:808 1160:2024 2099:2748 3755:3803 15877:15877">
      <c r="A24" s="8" t="s">
        <v>1289</v>
      </c>
      <c r="B24" s="10" t="s">
        <v>13777</v>
      </c>
      <c r="C24" s="8">
        <v>1594.37</v>
      </c>
      <c r="D24" s="15">
        <v>32.31</v>
      </c>
      <c r="BJW24" s="8" t="s">
        <v>13777</v>
      </c>
      <c r="BQQ24" s="8" t="s">
        <v>10460</v>
      </c>
      <c r="BSM24" s="8" t="s">
        <v>9994</v>
      </c>
    </row>
    <row r="25" spans="1:808 1160:2024 2099:2748 3755:3803 15877:15877">
      <c r="A25" s="8" t="s">
        <v>1289</v>
      </c>
      <c r="B25" s="10" t="s">
        <v>10460</v>
      </c>
      <c r="C25" s="8">
        <v>1627.69</v>
      </c>
      <c r="D25" s="15">
        <v>31.37</v>
      </c>
      <c r="AYZ25" s="8" t="s">
        <v>4255</v>
      </c>
      <c r="BAV25" s="8" t="s">
        <v>2630</v>
      </c>
      <c r="BCR25" s="8" t="s">
        <v>2256</v>
      </c>
      <c r="BLC25" s="8" t="s">
        <v>10460</v>
      </c>
      <c r="BRH25" s="8" t="s">
        <v>10461</v>
      </c>
      <c r="BTD25" s="8" t="s">
        <v>9995</v>
      </c>
    </row>
    <row r="26" spans="1:808 1160:2024 2099:2748 3755:3803 15877:15877">
      <c r="A26" s="8" t="s">
        <v>1289</v>
      </c>
      <c r="B26" s="10" t="s">
        <v>10461</v>
      </c>
      <c r="C26" s="8">
        <v>1660.06</v>
      </c>
      <c r="D26" s="15">
        <v>15.8</v>
      </c>
      <c r="AYZ26" s="8" t="s">
        <v>4676</v>
      </c>
      <c r="AZA26" s="8" t="s">
        <v>4676</v>
      </c>
      <c r="BCR26" s="8" t="s">
        <v>4256</v>
      </c>
      <c r="BEN26" s="8" t="s">
        <v>2257</v>
      </c>
      <c r="BLT26" s="8" t="s">
        <v>10461</v>
      </c>
      <c r="BRL26" s="8" t="s">
        <v>10462</v>
      </c>
      <c r="BTH26" s="8" t="s">
        <v>9996</v>
      </c>
    </row>
    <row r="27" spans="1:808 1160:2024 2099:2748 3755:3803 15877:15877">
      <c r="A27" s="8" t="s">
        <v>1289</v>
      </c>
      <c r="B27" s="10" t="s">
        <v>10462</v>
      </c>
      <c r="C27" s="8">
        <v>1676.86</v>
      </c>
      <c r="D27" s="15">
        <v>3.14</v>
      </c>
      <c r="AYZ27" s="8" t="s">
        <v>3008</v>
      </c>
      <c r="BAV27" s="8" t="s">
        <v>3008</v>
      </c>
      <c r="BEN27" s="8" t="s">
        <v>2631</v>
      </c>
      <c r="BGJ27" s="8" t="s">
        <v>4257</v>
      </c>
      <c r="BLX27" s="8" t="s">
        <v>10462</v>
      </c>
      <c r="BLY27" s="8" t="s">
        <v>4677</v>
      </c>
      <c r="BVD27" s="8" t="s">
        <v>10463</v>
      </c>
      <c r="BWZ27" s="8" t="s">
        <v>9997</v>
      </c>
    </row>
    <row r="28" spans="1:808 1160:2024 2099:2748 3755:3803 15877:15877">
      <c r="A28" s="8" t="s">
        <v>1289</v>
      </c>
      <c r="B28" s="10" t="s">
        <v>13778</v>
      </c>
      <c r="C28" s="8">
        <v>1695.69</v>
      </c>
      <c r="D28" s="15">
        <v>32.31</v>
      </c>
      <c r="BAV28" s="8" t="s">
        <v>3009</v>
      </c>
      <c r="BCR28" s="8" t="s">
        <v>3009</v>
      </c>
      <c r="BEN28" s="8" t="s">
        <v>2632</v>
      </c>
      <c r="BGJ28" s="8" t="s">
        <v>2258</v>
      </c>
      <c r="BIF28" s="8" t="s">
        <v>5385</v>
      </c>
      <c r="BKA28" s="8" t="s">
        <v>4677</v>
      </c>
      <c r="BKB28" s="8" t="s">
        <v>4677</v>
      </c>
      <c r="BKC28" s="8" t="s">
        <v>4677</v>
      </c>
      <c r="BLX28" s="8" t="s">
        <v>4258</v>
      </c>
      <c r="BNT28" s="8" t="s">
        <v>13778</v>
      </c>
      <c r="BRL28" s="8" t="s">
        <v>4678</v>
      </c>
      <c r="BRM28" s="8" t="s">
        <v>4678</v>
      </c>
      <c r="CEJ28" s="8" t="s">
        <v>10464</v>
      </c>
      <c r="CGF28" s="8" t="s">
        <v>9998</v>
      </c>
    </row>
    <row r="29" spans="1:808 1160:2024 2099:2748 3755:3803 15877:15877">
      <c r="A29" s="8" t="s">
        <v>1289</v>
      </c>
      <c r="B29" s="10" t="s">
        <v>10463</v>
      </c>
      <c r="C29" s="8">
        <v>1772.77</v>
      </c>
      <c r="D29" s="15">
        <v>3.23</v>
      </c>
      <c r="BAV29" s="8" t="s">
        <v>3010</v>
      </c>
      <c r="BCR29" s="8" t="s">
        <v>3010</v>
      </c>
      <c r="BKB29" s="8" t="s">
        <v>2633</v>
      </c>
      <c r="BLX29" s="8" t="s">
        <v>2259</v>
      </c>
      <c r="BNT29" s="8" t="s">
        <v>5386</v>
      </c>
      <c r="BPO29" s="8" t="s">
        <v>4678</v>
      </c>
      <c r="BPP29" s="8" t="s">
        <v>10463</v>
      </c>
      <c r="BPQ29" s="8" t="s">
        <v>4678</v>
      </c>
      <c r="BRI29" s="8" t="s">
        <v>60</v>
      </c>
      <c r="BWZ29" s="8" t="s">
        <v>4679</v>
      </c>
      <c r="BXA29" s="8" t="s">
        <v>4679</v>
      </c>
      <c r="CCN29" s="8" t="s">
        <v>4259</v>
      </c>
      <c r="CLW29" s="8" t="s">
        <v>10465</v>
      </c>
      <c r="CNS29" s="8" t="s">
        <v>9999</v>
      </c>
    </row>
    <row r="30" spans="1:808 1160:2024 2099:2748 3755:3803 15877:15877">
      <c r="A30" s="8" t="s">
        <v>1289</v>
      </c>
      <c r="B30" s="10" t="s">
        <v>10464</v>
      </c>
      <c r="C30" s="8">
        <v>2012.77</v>
      </c>
      <c r="D30" s="15">
        <v>3.23</v>
      </c>
      <c r="BGJ30" s="8" t="s">
        <v>3011</v>
      </c>
      <c r="BIF30" s="8" t="s">
        <v>3011</v>
      </c>
      <c r="BRK30" s="8" t="s">
        <v>61</v>
      </c>
      <c r="BRL30" s="8" t="s">
        <v>2634</v>
      </c>
      <c r="BTH30" s="8" t="s">
        <v>5372</v>
      </c>
      <c r="BVC30" s="8" t="s">
        <v>4679</v>
      </c>
      <c r="BVD30" s="8" t="s">
        <v>4679</v>
      </c>
      <c r="BVE30" s="8" t="s">
        <v>4679</v>
      </c>
      <c r="BYV30" s="8" t="s">
        <v>10464</v>
      </c>
      <c r="CCN30" s="8" t="s">
        <v>4260</v>
      </c>
      <c r="CGB30" s="8" t="s">
        <v>5276</v>
      </c>
      <c r="CGC30" s="8" t="s">
        <v>5276</v>
      </c>
      <c r="ENK30" s="8" t="s">
        <v>10466</v>
      </c>
      <c r="EPG30" s="8" t="s">
        <v>10000</v>
      </c>
    </row>
    <row r="31" spans="1:808 1160:2024 2099:2748 3755:3803 15877:15877">
      <c r="A31" s="8" t="s">
        <v>1289</v>
      </c>
      <c r="B31" s="10" t="s">
        <v>10465</v>
      </c>
      <c r="C31" s="8">
        <v>2179.5700000000002</v>
      </c>
      <c r="D31" s="15">
        <v>31.37</v>
      </c>
      <c r="AYZ31" s="8" t="s">
        <v>3008</v>
      </c>
      <c r="BKB31" s="8" t="s">
        <v>3012</v>
      </c>
      <c r="BLX31" s="8" t="s">
        <v>3012</v>
      </c>
      <c r="BTX31" s="8" t="s">
        <v>62</v>
      </c>
      <c r="CBS31" s="8" t="s">
        <v>5387</v>
      </c>
      <c r="CDN31" s="8" t="s">
        <v>5353</v>
      </c>
      <c r="CDO31" s="8" t="s">
        <v>5353</v>
      </c>
      <c r="CDP31" s="8" t="s">
        <v>5353</v>
      </c>
      <c r="CEJ31" s="8" t="s">
        <v>4261</v>
      </c>
      <c r="CGF31" s="8" t="s">
        <v>4680</v>
      </c>
      <c r="CGG31" s="8" t="s">
        <v>4680</v>
      </c>
      <c r="CGI31" s="8" t="s">
        <v>10465</v>
      </c>
      <c r="CNP31" s="8" t="s">
        <v>2635</v>
      </c>
      <c r="CPL31" s="8" t="s">
        <v>2260</v>
      </c>
    </row>
    <row r="32" spans="1:808 1160:2024 2099:2748 3755:3803 15877:15877">
      <c r="A32" s="8" t="s">
        <v>1289</v>
      </c>
      <c r="B32" s="10" t="s">
        <v>13779</v>
      </c>
      <c r="C32" s="8">
        <v>2415.69</v>
      </c>
      <c r="D32" s="15">
        <v>32.31</v>
      </c>
      <c r="AYZ32" s="8" t="s">
        <v>712</v>
      </c>
      <c r="BAV32" s="8" t="s">
        <v>3009</v>
      </c>
      <c r="BKB32" s="8" t="s">
        <v>59</v>
      </c>
      <c r="BNT32" s="8" t="s">
        <v>3013</v>
      </c>
      <c r="BPP32" s="8" t="s">
        <v>3013</v>
      </c>
      <c r="BTH32" s="8" t="s">
        <v>63</v>
      </c>
      <c r="CCJ32" s="8" t="s">
        <v>5388</v>
      </c>
      <c r="CCK32" s="8" t="s">
        <v>5388</v>
      </c>
      <c r="CEE32" s="8" t="s">
        <v>5276</v>
      </c>
      <c r="CEF32" s="8" t="s">
        <v>5276</v>
      </c>
      <c r="CEG32" s="8" t="s">
        <v>5276</v>
      </c>
      <c r="CGF32" s="8" t="s">
        <v>4262</v>
      </c>
      <c r="CNP32" s="8" t="s">
        <v>2636</v>
      </c>
      <c r="CPL32" s="8" t="s">
        <v>13779</v>
      </c>
      <c r="DAQ32" s="8" t="s">
        <v>4681</v>
      </c>
      <c r="DAR32" s="8" t="s">
        <v>4681</v>
      </c>
    </row>
    <row r="33" spans="1:649 1349:2036 2067:3032 3080:4092 4136:4424 7288:7307">
      <c r="A33" s="8" t="s">
        <v>1289</v>
      </c>
      <c r="B33" s="10" t="s">
        <v>13780</v>
      </c>
      <c r="C33" s="8">
        <v>2463.69</v>
      </c>
      <c r="D33" s="15">
        <v>32.31</v>
      </c>
      <c r="AYZ33" s="8" t="s">
        <v>59</v>
      </c>
      <c r="BAV33" s="8" t="s">
        <v>3010</v>
      </c>
      <c r="BIF33" s="8" t="s">
        <v>713</v>
      </c>
      <c r="BKB33" s="8" t="s">
        <v>713</v>
      </c>
      <c r="BRI33" s="8" t="s">
        <v>60</v>
      </c>
      <c r="BTH33" s="8" t="s">
        <v>3014</v>
      </c>
      <c r="BVD33" s="8" t="s">
        <v>3014</v>
      </c>
      <c r="BWR33" s="8" t="s">
        <v>64</v>
      </c>
      <c r="CCN33" s="8" t="s">
        <v>5389</v>
      </c>
      <c r="CEI33" s="8" t="s">
        <v>4680</v>
      </c>
      <c r="CEJ33" s="8" t="s">
        <v>4680</v>
      </c>
      <c r="CEK33" s="8" t="s">
        <v>4680</v>
      </c>
      <c r="CPL33" s="8" t="s">
        <v>2637</v>
      </c>
      <c r="CRH33" s="8" t="s">
        <v>13780</v>
      </c>
      <c r="CWV33" s="8" t="s">
        <v>4263</v>
      </c>
      <c r="FCE33" s="8" t="s">
        <v>4682</v>
      </c>
      <c r="FCF33" s="8" t="s">
        <v>4682</v>
      </c>
    </row>
    <row r="34" spans="1:649 1349:2036 2067:3032 3080:4092 4136:4424 7288:7307">
      <c r="A34" s="8" t="s">
        <v>1289</v>
      </c>
      <c r="B34" s="10" t="s">
        <v>13781</v>
      </c>
      <c r="C34" s="8">
        <v>2703.69</v>
      </c>
      <c r="D34" s="15">
        <v>32.31</v>
      </c>
      <c r="BAL34" s="8" t="s">
        <v>3880</v>
      </c>
      <c r="BCH34" s="8" t="s">
        <v>3511</v>
      </c>
      <c r="BCO34" s="8" t="s">
        <v>60</v>
      </c>
      <c r="BCR34" s="8" t="s">
        <v>714</v>
      </c>
      <c r="BEN34" s="8" t="s">
        <v>60</v>
      </c>
      <c r="BFZ34" s="8" t="s">
        <v>3453</v>
      </c>
      <c r="BKB34" s="8" t="s">
        <v>60</v>
      </c>
      <c r="BPM34" s="8" t="s">
        <v>714</v>
      </c>
      <c r="BRI34" s="8" t="s">
        <v>714</v>
      </c>
      <c r="BRK34" s="8" t="s">
        <v>61</v>
      </c>
      <c r="BWZ34" s="8" t="s">
        <v>65</v>
      </c>
      <c r="CJX34" s="8" t="s">
        <v>3015</v>
      </c>
      <c r="CLT34" s="8" t="s">
        <v>3015</v>
      </c>
      <c r="CRH34" s="8" t="s">
        <v>2638</v>
      </c>
      <c r="CTD34" s="8" t="s">
        <v>2261</v>
      </c>
      <c r="CWY34" s="8" t="s">
        <v>5390</v>
      </c>
      <c r="CYT34" s="8" t="s">
        <v>4681</v>
      </c>
      <c r="CYU34" s="8" t="s">
        <v>4681</v>
      </c>
      <c r="CYV34" s="8" t="s">
        <v>4681</v>
      </c>
      <c r="DAN34" s="8" t="s">
        <v>13781</v>
      </c>
      <c r="DCJ34" s="8" t="s">
        <v>4264</v>
      </c>
    </row>
    <row r="35" spans="1:649 1349:2036 2067:3032 3080:4092 4136:4424 7288:7307">
      <c r="A35" s="8" t="s">
        <v>1289</v>
      </c>
      <c r="B35" s="10" t="s">
        <v>13782</v>
      </c>
      <c r="C35" s="8">
        <v>3039.69</v>
      </c>
      <c r="D35" s="15">
        <v>32.31</v>
      </c>
      <c r="AYZ35" s="8" t="s">
        <v>4255</v>
      </c>
      <c r="BAV35" s="8" t="s">
        <v>3881</v>
      </c>
      <c r="BCR35" s="8" t="s">
        <v>3512</v>
      </c>
      <c r="BGJ35" s="8" t="s">
        <v>3011</v>
      </c>
      <c r="BLU35" s="8" t="s">
        <v>61</v>
      </c>
      <c r="BPO35" s="8" t="s">
        <v>715</v>
      </c>
      <c r="BRI35" s="8" t="s">
        <v>715</v>
      </c>
      <c r="BRK35" s="8" t="s">
        <v>715</v>
      </c>
      <c r="BRZ35" s="8" t="s">
        <v>61</v>
      </c>
      <c r="BTX35" s="8" t="s">
        <v>62</v>
      </c>
      <c r="CBD35" s="8" t="s">
        <v>66</v>
      </c>
      <c r="CJX35" s="8" t="s">
        <v>3016</v>
      </c>
      <c r="CLT35" s="8" t="s">
        <v>3016</v>
      </c>
      <c r="DEF35" s="8" t="s">
        <v>4265</v>
      </c>
      <c r="DHX35" s="8" t="s">
        <v>2639</v>
      </c>
      <c r="DJT35" s="8" t="s">
        <v>2262</v>
      </c>
      <c r="DNL35" s="8" t="s">
        <v>13782</v>
      </c>
      <c r="EYM35" s="8" t="s">
        <v>5391</v>
      </c>
      <c r="FAH35" s="8" t="s">
        <v>4682</v>
      </c>
      <c r="FAI35" s="8" t="s">
        <v>4682</v>
      </c>
      <c r="FAJ35" s="8" t="s">
        <v>4682</v>
      </c>
    </row>
    <row r="36" spans="1:649 1349:2036 2067:3032 3080:4092 4136:4424 7288:7307">
      <c r="A36" s="8" t="s">
        <v>1289</v>
      </c>
      <c r="B36" s="10" t="s">
        <v>13783</v>
      </c>
      <c r="C36" s="8">
        <v>3231.69</v>
      </c>
      <c r="D36" s="15">
        <v>32.31</v>
      </c>
      <c r="BCR36" s="8" t="s">
        <v>4676</v>
      </c>
      <c r="BCS36" s="8" t="s">
        <v>4676</v>
      </c>
      <c r="BEN36" s="8" t="s">
        <v>4676</v>
      </c>
      <c r="BEO36" s="8" t="s">
        <v>4676</v>
      </c>
      <c r="BGJ36" s="8" t="s">
        <v>3513</v>
      </c>
      <c r="BKB36" s="8" t="s">
        <v>3012</v>
      </c>
      <c r="BLW36" s="8" t="s">
        <v>62</v>
      </c>
      <c r="BMN36" s="8" t="s">
        <v>62</v>
      </c>
      <c r="BNS36" s="8" t="s">
        <v>716</v>
      </c>
      <c r="BRK36" s="8" t="s">
        <v>62</v>
      </c>
      <c r="BSB36" s="8" t="s">
        <v>716</v>
      </c>
      <c r="BTH36" s="8" t="s">
        <v>63</v>
      </c>
      <c r="BTX36" s="8" t="s">
        <v>716</v>
      </c>
      <c r="CCI36" s="8" t="s">
        <v>67</v>
      </c>
      <c r="CLT36" s="8" t="s">
        <v>3017</v>
      </c>
      <c r="CNP36" s="8" t="s">
        <v>3017</v>
      </c>
      <c r="DLP36" s="8" t="s">
        <v>4266</v>
      </c>
      <c r="DNL36" s="8" t="s">
        <v>2640</v>
      </c>
      <c r="DPH36" s="8" t="s">
        <v>2263</v>
      </c>
      <c r="DUV36" s="8" t="s">
        <v>13783</v>
      </c>
    </row>
    <row r="37" spans="1:649 1349:2036 2067:3032 3080:4092 4136:4424 7288:7307">
      <c r="A37" s="8" t="s">
        <v>1289</v>
      </c>
      <c r="B37" s="10" t="s">
        <v>10466</v>
      </c>
      <c r="C37" s="8">
        <v>3571.57</v>
      </c>
      <c r="D37" s="15">
        <v>31.37</v>
      </c>
      <c r="BGJ37" s="8" t="s">
        <v>4257</v>
      </c>
      <c r="BIF37" s="8" t="s">
        <v>3882</v>
      </c>
      <c r="BKB37" s="8" t="s">
        <v>3514</v>
      </c>
      <c r="BNT37" s="8" t="s">
        <v>3013</v>
      </c>
      <c r="BOJ37" s="8" t="s">
        <v>63</v>
      </c>
      <c r="BPP37" s="8" t="s">
        <v>4677</v>
      </c>
      <c r="BPQ37" s="8" t="s">
        <v>4677</v>
      </c>
      <c r="BRL37" s="8" t="s">
        <v>4677</v>
      </c>
      <c r="BRM37" s="8" t="s">
        <v>4677</v>
      </c>
      <c r="BTH37" s="8" t="s">
        <v>717</v>
      </c>
      <c r="BTX37" s="8" t="s">
        <v>63</v>
      </c>
      <c r="BVT37" s="8" t="s">
        <v>717</v>
      </c>
      <c r="BWK37" s="8" t="s">
        <v>63</v>
      </c>
      <c r="BWR37" s="8" t="s">
        <v>64</v>
      </c>
      <c r="CJX37" s="8" t="s">
        <v>68</v>
      </c>
      <c r="CNP37" s="8" t="s">
        <v>3018</v>
      </c>
      <c r="CPL37" s="8" t="s">
        <v>3018</v>
      </c>
      <c r="DPH37" s="8" t="s">
        <v>2641</v>
      </c>
      <c r="DRD37" s="8" t="s">
        <v>2264</v>
      </c>
      <c r="DYN37" s="8" t="s">
        <v>4267</v>
      </c>
      <c r="EHW37" s="8" t="s">
        <v>10466</v>
      </c>
    </row>
    <row r="38" spans="1:649 1349:2036 2067:3032 3080:4092 4136:4424 7288:7307">
      <c r="A38" s="8" t="s">
        <v>1289</v>
      </c>
      <c r="B38" s="10" t="s">
        <v>13784</v>
      </c>
      <c r="C38" s="8">
        <v>4095.69</v>
      </c>
      <c r="D38" s="15">
        <v>32.31</v>
      </c>
      <c r="BCR38" s="8" t="s">
        <v>6147</v>
      </c>
      <c r="BLX38" s="8" t="s">
        <v>4258</v>
      </c>
      <c r="BNT38" s="8" t="s">
        <v>3883</v>
      </c>
      <c r="BPH38" s="8" t="s">
        <v>64</v>
      </c>
      <c r="BPP38" s="8" t="s">
        <v>3484</v>
      </c>
      <c r="BTH38" s="8" t="s">
        <v>3014</v>
      </c>
      <c r="BUV38" s="8" t="s">
        <v>718</v>
      </c>
      <c r="BVD38" s="8" t="s">
        <v>4678</v>
      </c>
      <c r="BVE38" s="8" t="s">
        <v>4678</v>
      </c>
      <c r="BWR38" s="8" t="s">
        <v>718</v>
      </c>
      <c r="BWZ38" s="8" t="s">
        <v>4678</v>
      </c>
      <c r="BXA38" s="8" t="s">
        <v>4678</v>
      </c>
      <c r="CWV38" s="8" t="s">
        <v>69</v>
      </c>
      <c r="DEF38" s="8" t="s">
        <v>3019</v>
      </c>
      <c r="DGB38" s="8" t="s">
        <v>3019</v>
      </c>
      <c r="EAJ38" s="8" t="s">
        <v>4268</v>
      </c>
      <c r="EJP38" s="8" t="s">
        <v>2642</v>
      </c>
      <c r="ELL38" s="8" t="s">
        <v>2265</v>
      </c>
      <c r="FCB38" s="8" t="s">
        <v>13784</v>
      </c>
    </row>
    <row r="39" spans="1:649 1349:2036 2067:3032 3080:4092 4136:4424 7288:7307">
      <c r="A39" s="8" t="s">
        <v>1289</v>
      </c>
      <c r="B39" s="10" t="s">
        <v>13785</v>
      </c>
      <c r="C39" s="8">
        <v>4143.6899999999996</v>
      </c>
      <c r="D39" s="15">
        <v>32.31</v>
      </c>
      <c r="BLX39" s="8" t="s">
        <v>4259</v>
      </c>
      <c r="BRD39" s="8" t="s">
        <v>65</v>
      </c>
      <c r="BTH39" s="8" t="s">
        <v>6148</v>
      </c>
      <c r="BVD39" s="8" t="s">
        <v>719</v>
      </c>
      <c r="BWR39" s="8" t="s">
        <v>719</v>
      </c>
      <c r="BWZ39" s="8" t="s">
        <v>719</v>
      </c>
      <c r="CAR39" s="8" t="s">
        <v>4679</v>
      </c>
      <c r="CAS39" s="8" t="s">
        <v>4679</v>
      </c>
      <c r="CBD39" s="8" t="s">
        <v>66</v>
      </c>
      <c r="CCN39" s="8" t="s">
        <v>4679</v>
      </c>
      <c r="CCO39" s="8" t="s">
        <v>4679</v>
      </c>
      <c r="CEJ39" s="8" t="s">
        <v>3884</v>
      </c>
      <c r="CGF39" s="8" t="s">
        <v>3515</v>
      </c>
      <c r="CJX39" s="8" t="s">
        <v>3015</v>
      </c>
      <c r="DJT39" s="8" t="s">
        <v>3020</v>
      </c>
      <c r="DLP39" s="8" t="s">
        <v>3020</v>
      </c>
      <c r="ELL39" s="8" t="s">
        <v>2643</v>
      </c>
      <c r="ELO39" s="8" t="s">
        <v>70</v>
      </c>
      <c r="ENH39" s="8" t="s">
        <v>2266</v>
      </c>
      <c r="FDX39" s="8" t="s">
        <v>13785</v>
      </c>
      <c r="FJL39" s="8" t="s">
        <v>4619</v>
      </c>
    </row>
    <row r="40" spans="1:649 1349:2036 2067:3032 3080:4092 4136:4424 7288:7307">
      <c r="A40" s="8" t="s">
        <v>1289</v>
      </c>
      <c r="B40" s="10" t="s">
        <v>13786</v>
      </c>
      <c r="C40" s="8">
        <v>4308</v>
      </c>
      <c r="D40" s="15">
        <v>32.31</v>
      </c>
      <c r="BLX40" s="8" t="s">
        <v>4260</v>
      </c>
      <c r="BRL40" s="8" t="s">
        <v>66</v>
      </c>
      <c r="BTH40" s="8" t="s">
        <v>6149</v>
      </c>
      <c r="BTT40" s="8" t="s">
        <v>66</v>
      </c>
      <c r="BWZ40" s="8" t="s">
        <v>66</v>
      </c>
      <c r="BZH40" s="8" t="s">
        <v>720</v>
      </c>
      <c r="CBD40" s="8" t="s">
        <v>720</v>
      </c>
      <c r="CCI40" s="8" t="s">
        <v>67</v>
      </c>
      <c r="CCN40" s="8" t="s">
        <v>4260</v>
      </c>
      <c r="CEJ40" s="8" t="s">
        <v>3885</v>
      </c>
      <c r="CGF40" s="8" t="s">
        <v>3516</v>
      </c>
      <c r="CJX40" s="8" t="s">
        <v>4680</v>
      </c>
      <c r="CJY40" s="8" t="s">
        <v>4680</v>
      </c>
      <c r="CLT40" s="8" t="s">
        <v>4680</v>
      </c>
      <c r="CLU40" s="8" t="s">
        <v>4680</v>
      </c>
      <c r="DLP40" s="8" t="s">
        <v>3021</v>
      </c>
      <c r="DNL40" s="8" t="s">
        <v>3021</v>
      </c>
      <c r="ESV40" s="8" t="s">
        <v>2644</v>
      </c>
      <c r="EUR40" s="8" t="s">
        <v>2267</v>
      </c>
      <c r="FKF40" s="8" t="s">
        <v>13786</v>
      </c>
      <c r="FND40" s="8" t="s">
        <v>4620</v>
      </c>
    </row>
    <row r="41" spans="1:649 1349:2036 2067:3032 3080:4092 4136:4424 7288:7307">
      <c r="A41" s="8" t="s">
        <v>1289</v>
      </c>
      <c r="B41" s="10" t="s">
        <v>13787</v>
      </c>
      <c r="C41" s="8">
        <v>4322.68</v>
      </c>
      <c r="D41" s="15">
        <v>32.31</v>
      </c>
      <c r="BNT41" s="8" t="s">
        <v>4261</v>
      </c>
      <c r="BVD41" s="8" t="s">
        <v>6150</v>
      </c>
      <c r="BVP41" s="8" t="s">
        <v>67</v>
      </c>
      <c r="BYQ41" s="8" t="s">
        <v>67</v>
      </c>
      <c r="BZH41" s="8" t="s">
        <v>721</v>
      </c>
      <c r="CAM41" s="8" t="s">
        <v>721</v>
      </c>
      <c r="CBD41" s="8" t="s">
        <v>67</v>
      </c>
      <c r="CCI41" s="8" t="s">
        <v>721</v>
      </c>
      <c r="CEJ41" s="8" t="s">
        <v>4261</v>
      </c>
      <c r="CGF41" s="8" t="s">
        <v>3886</v>
      </c>
      <c r="CIB41" s="8" t="s">
        <v>3517</v>
      </c>
      <c r="CJX41" s="8" t="s">
        <v>68</v>
      </c>
      <c r="CLT41" s="8" t="s">
        <v>3017</v>
      </c>
      <c r="DEI41" s="8" t="s">
        <v>4681</v>
      </c>
      <c r="DEJ41" s="8" t="s">
        <v>4681</v>
      </c>
      <c r="DGE41" s="8" t="s">
        <v>4681</v>
      </c>
      <c r="DGF41" s="8" t="s">
        <v>4681</v>
      </c>
      <c r="DSZ41" s="8" t="s">
        <v>3022</v>
      </c>
      <c r="DUV41" s="8" t="s">
        <v>3022</v>
      </c>
      <c r="FKU41" s="8" t="s">
        <v>13787</v>
      </c>
    </row>
    <row r="42" spans="1:649 1349:2036 2067:3032 3080:4092 4136:4424 7288:7307">
      <c r="A42" s="8" t="s">
        <v>1290</v>
      </c>
      <c r="B42" s="10" t="s">
        <v>10467</v>
      </c>
      <c r="C42" s="8">
        <v>49</v>
      </c>
      <c r="D42" s="15">
        <v>2.75</v>
      </c>
      <c r="BH42" s="8" t="s">
        <v>10467</v>
      </c>
      <c r="BPP42" s="8" t="s">
        <v>4262</v>
      </c>
      <c r="BUY42" s="8" t="s">
        <v>722</v>
      </c>
      <c r="BVD42" s="8" t="s">
        <v>68</v>
      </c>
      <c r="BWU42" s="8" t="s">
        <v>68</v>
      </c>
      <c r="BWZ42" s="8" t="s">
        <v>6151</v>
      </c>
      <c r="CCI42" s="8" t="s">
        <v>68</v>
      </c>
      <c r="CGF42" s="8" t="s">
        <v>4262</v>
      </c>
      <c r="CIB42" s="8" t="s">
        <v>3887</v>
      </c>
      <c r="CJX42" s="8" t="s">
        <v>3485</v>
      </c>
      <c r="CNP42" s="8" t="s">
        <v>3018</v>
      </c>
      <c r="CWV42" s="8" t="s">
        <v>69</v>
      </c>
      <c r="EFX42" s="8" t="s">
        <v>3023</v>
      </c>
      <c r="EHT42" s="8" t="s">
        <v>3023</v>
      </c>
      <c r="FFW42" s="8" t="s">
        <v>4682</v>
      </c>
      <c r="FFX42" s="8" t="s">
        <v>4682</v>
      </c>
      <c r="FHS42" s="8" t="s">
        <v>4682</v>
      </c>
      <c r="FHT42" s="8" t="s">
        <v>4682</v>
      </c>
    </row>
    <row r="43" spans="1:649 1349:2036 2067:3032 3080:4092 4136:4424 7288:7307">
      <c r="A43" s="8" t="s">
        <v>1290</v>
      </c>
      <c r="B43" s="10" t="s">
        <v>10468</v>
      </c>
      <c r="C43" s="8">
        <v>52.75</v>
      </c>
      <c r="D43" s="15">
        <v>3.23</v>
      </c>
      <c r="BL43" s="8" t="s">
        <v>10468</v>
      </c>
      <c r="BWZ43" s="8" t="s">
        <v>723</v>
      </c>
      <c r="CEJ43" s="8" t="s">
        <v>69</v>
      </c>
      <c r="CGF43" s="8" t="s">
        <v>4263</v>
      </c>
      <c r="CJX43" s="8" t="s">
        <v>69</v>
      </c>
      <c r="CNP43" s="8" t="s">
        <v>6152</v>
      </c>
      <c r="CUZ43" s="8" t="s">
        <v>723</v>
      </c>
      <c r="CWV43" s="8" t="s">
        <v>4263</v>
      </c>
      <c r="CYR43" s="8" t="s">
        <v>3888</v>
      </c>
      <c r="DAN43" s="8" t="s">
        <v>3518</v>
      </c>
      <c r="DEF43" s="8" t="s">
        <v>3019</v>
      </c>
      <c r="EHT43" s="8" t="s">
        <v>3024</v>
      </c>
      <c r="EJP43" s="8" t="s">
        <v>3024</v>
      </c>
      <c r="ELO43" s="8" t="s">
        <v>70</v>
      </c>
    </row>
    <row r="44" spans="1:649 1349:2036 2067:3032 3080:4092 4136:4424 7288:7307">
      <c r="A44" s="8" t="s">
        <v>1290</v>
      </c>
      <c r="B44" s="10" t="s">
        <v>10469</v>
      </c>
      <c r="C44" s="8">
        <v>56.98</v>
      </c>
      <c r="D44" s="15">
        <v>30.62</v>
      </c>
      <c r="CR44" s="8" t="s">
        <v>10469</v>
      </c>
      <c r="BIF44" s="8" t="s">
        <v>724</v>
      </c>
      <c r="BII44" s="8" t="s">
        <v>70</v>
      </c>
      <c r="CLT44" s="8" t="s">
        <v>4264</v>
      </c>
      <c r="CRH44" s="8" t="s">
        <v>70</v>
      </c>
      <c r="CTD44" s="8" t="s">
        <v>6153</v>
      </c>
      <c r="CWV44" s="8" t="s">
        <v>70</v>
      </c>
      <c r="DCJ44" s="8" t="s">
        <v>4264</v>
      </c>
      <c r="DEF44" s="8" t="s">
        <v>3889</v>
      </c>
      <c r="DGB44" s="8" t="s">
        <v>3519</v>
      </c>
      <c r="DJT44" s="8" t="s">
        <v>3020</v>
      </c>
      <c r="EJS44" s="8" t="s">
        <v>724</v>
      </c>
      <c r="ELO44" s="8" t="s">
        <v>724</v>
      </c>
    </row>
    <row r="45" spans="1:649 1349:2036 2067:3032 3080:4092 4136:4424 7288:7307">
      <c r="A45" s="8" t="s">
        <v>1290</v>
      </c>
      <c r="B45" s="10" t="s">
        <v>13788</v>
      </c>
      <c r="C45" s="8">
        <v>212.74</v>
      </c>
      <c r="D45" s="15">
        <v>16.16</v>
      </c>
      <c r="IC45" s="8" t="s">
        <v>13788</v>
      </c>
      <c r="AYZ45" s="8" t="s">
        <v>60</v>
      </c>
      <c r="BAV45" s="8" t="s">
        <v>60</v>
      </c>
      <c r="BPQ45" s="8" t="s">
        <v>71</v>
      </c>
      <c r="BQO45" s="8" t="s">
        <v>71</v>
      </c>
      <c r="BRM45" s="8" t="s">
        <v>1257</v>
      </c>
      <c r="CNP45" s="8" t="s">
        <v>4265</v>
      </c>
      <c r="CUZ45" s="8" t="s">
        <v>6154</v>
      </c>
      <c r="DEF45" s="8" t="s">
        <v>4265</v>
      </c>
      <c r="DGB45" s="8" t="s">
        <v>3890</v>
      </c>
      <c r="DHX45" s="8" t="s">
        <v>3520</v>
      </c>
      <c r="DLP45" s="8" t="s">
        <v>3021</v>
      </c>
      <c r="EGA45" s="8" t="s">
        <v>71</v>
      </c>
      <c r="ELO45" s="8" t="s">
        <v>71</v>
      </c>
      <c r="JTH45" s="8" t="s">
        <v>71</v>
      </c>
      <c r="JUA45" s="8" t="s">
        <v>1257</v>
      </c>
    </row>
    <row r="46" spans="1:649 1349:2036 2067:3032 3080:4092 4136:4424 7288:7307">
      <c r="A46" s="8" t="s">
        <v>1290</v>
      </c>
      <c r="B46" s="10" t="s">
        <v>13789</v>
      </c>
      <c r="C46" s="8">
        <v>370.31</v>
      </c>
      <c r="D46" s="15">
        <v>16.16</v>
      </c>
      <c r="OD46" s="8" t="s">
        <v>13789</v>
      </c>
      <c r="AYW46" s="8" t="s">
        <v>1404</v>
      </c>
      <c r="BCO46" s="8" t="s">
        <v>61</v>
      </c>
      <c r="BEK46" s="8" t="s">
        <v>61</v>
      </c>
      <c r="BGG46" s="8" t="s">
        <v>61</v>
      </c>
      <c r="BIC46" s="8" t="s">
        <v>61</v>
      </c>
      <c r="CUZ46" s="8" t="s">
        <v>4266</v>
      </c>
      <c r="DCJ46" s="8" t="s">
        <v>6155</v>
      </c>
      <c r="DLP46" s="8" t="s">
        <v>4266</v>
      </c>
      <c r="DNL46" s="8" t="s">
        <v>3891</v>
      </c>
      <c r="DPH46" s="8" t="s">
        <v>3521</v>
      </c>
      <c r="DSZ46" s="8" t="s">
        <v>3022</v>
      </c>
    </row>
    <row r="47" spans="1:649 1349:2036 2067:3032 3080:4092 4136:4424 7288:7307">
      <c r="A47" s="8" t="s">
        <v>1290</v>
      </c>
      <c r="B47" s="10" t="s">
        <v>10470</v>
      </c>
      <c r="C47" s="8">
        <v>396.55</v>
      </c>
      <c r="D47" s="15">
        <v>25.29</v>
      </c>
      <c r="PN47" s="8" t="s">
        <v>10470</v>
      </c>
      <c r="AYY47" s="8" t="s">
        <v>1405</v>
      </c>
      <c r="BCQ47" s="8" t="s">
        <v>62</v>
      </c>
      <c r="BEM47" s="8" t="s">
        <v>62</v>
      </c>
      <c r="BGI47" s="8" t="s">
        <v>62</v>
      </c>
      <c r="BIE47" s="8" t="s">
        <v>62</v>
      </c>
      <c r="DHX47" s="8" t="s">
        <v>4267</v>
      </c>
      <c r="DPH47" s="8" t="s">
        <v>6156</v>
      </c>
      <c r="DYN47" s="8" t="s">
        <v>4267</v>
      </c>
      <c r="EAJ47" s="8" t="s">
        <v>3892</v>
      </c>
      <c r="ECF47" s="8" t="s">
        <v>3522</v>
      </c>
      <c r="EFX47" s="8" t="s">
        <v>3023</v>
      </c>
    </row>
    <row r="48" spans="1:649 1349:2036 2067:3032 3080:4092 4136:4424 7288:7307">
      <c r="A48" s="8" t="s">
        <v>1290</v>
      </c>
      <c r="B48" s="10" t="s">
        <v>13790</v>
      </c>
      <c r="C48" s="8">
        <v>625</v>
      </c>
      <c r="D48" s="15">
        <v>16.16</v>
      </c>
      <c r="XY48" s="8" t="s">
        <v>13790</v>
      </c>
      <c r="AYZ48" s="8" t="s">
        <v>1840</v>
      </c>
      <c r="BAV48" s="8" t="s">
        <v>1406</v>
      </c>
      <c r="BEN48" s="8" t="s">
        <v>64</v>
      </c>
      <c r="BGJ48" s="8" t="s">
        <v>64</v>
      </c>
      <c r="BIF48" s="8" t="s">
        <v>64</v>
      </c>
      <c r="BKB48" s="8" t="s">
        <v>64</v>
      </c>
      <c r="DJT48" s="8" t="s">
        <v>4268</v>
      </c>
      <c r="DRD48" s="8" t="s">
        <v>6157</v>
      </c>
      <c r="EAJ48" s="8" t="s">
        <v>4268</v>
      </c>
      <c r="ECF48" s="8" t="s">
        <v>3893</v>
      </c>
      <c r="EEB48" s="8" t="s">
        <v>3523</v>
      </c>
      <c r="EHT48" s="8" t="s">
        <v>3024</v>
      </c>
    </row>
    <row r="49" spans="1:1012 1028:2041 2072:2456 3179:3515">
      <c r="A49" s="8" t="s">
        <v>1290</v>
      </c>
      <c r="B49" s="10" t="s">
        <v>11066</v>
      </c>
      <c r="C49" s="8">
        <v>642.16</v>
      </c>
      <c r="D49" s="15">
        <v>16.16</v>
      </c>
      <c r="AR49" s="9"/>
      <c r="AS49" s="9"/>
      <c r="AT49" s="9"/>
      <c r="AU49" s="9"/>
      <c r="AV49" s="9"/>
      <c r="AW49" s="9"/>
      <c r="AX49" s="9"/>
      <c r="AY49" s="9"/>
      <c r="AZ49" s="20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18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YP49" s="8" t="s">
        <v>11066</v>
      </c>
      <c r="AZP49" s="8" t="s">
        <v>1841</v>
      </c>
      <c r="BBL49" s="8" t="s">
        <v>1407</v>
      </c>
      <c r="BFD49" s="8" t="s">
        <v>63</v>
      </c>
      <c r="BGZ49" s="8" t="s">
        <v>63</v>
      </c>
      <c r="BIV49" s="8" t="s">
        <v>63</v>
      </c>
      <c r="BKR49" s="8" t="s">
        <v>63</v>
      </c>
    </row>
    <row r="50" spans="1:1012 1028:2041 2072:2456 3179:3515">
      <c r="A50" s="8" t="s">
        <v>1290</v>
      </c>
      <c r="B50" s="10" t="s">
        <v>10471</v>
      </c>
      <c r="C50" s="8">
        <v>659.31</v>
      </c>
      <c r="D50" s="15">
        <v>16.16</v>
      </c>
      <c r="AR50" s="9"/>
      <c r="AS50" s="9"/>
      <c r="AT50" s="9"/>
      <c r="AU50" s="9"/>
      <c r="AV50" s="9"/>
      <c r="AW50" s="9"/>
      <c r="AX50" s="9"/>
      <c r="AY50" s="9"/>
      <c r="AZ50" s="20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18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ZG50" s="8" t="s">
        <v>10471</v>
      </c>
      <c r="BAV50" s="8" t="s">
        <v>60</v>
      </c>
      <c r="BCJ50" s="8" t="s">
        <v>1842</v>
      </c>
      <c r="BCR50" s="8" t="s">
        <v>60</v>
      </c>
      <c r="BEF50" s="8" t="s">
        <v>1408</v>
      </c>
      <c r="BHX50" s="8" t="s">
        <v>65</v>
      </c>
      <c r="BJT50" s="8" t="s">
        <v>65</v>
      </c>
      <c r="BLP50" s="8" t="s">
        <v>65</v>
      </c>
      <c r="BNL50" s="8" t="s">
        <v>65</v>
      </c>
    </row>
    <row r="51" spans="1:1012 1028:2041 2072:2456 3179:3515">
      <c r="A51" s="8" t="s">
        <v>1290</v>
      </c>
      <c r="B51" s="10" t="s">
        <v>13791</v>
      </c>
      <c r="C51" s="8">
        <v>685.55</v>
      </c>
      <c r="D51" s="15">
        <v>23.02</v>
      </c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18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AAO51" s="8" t="s">
        <v>13791</v>
      </c>
      <c r="AYZ51" s="8" t="s">
        <v>5195</v>
      </c>
      <c r="BCR51" s="8" t="s">
        <v>5195</v>
      </c>
      <c r="BEN51" s="8" t="s">
        <v>1409</v>
      </c>
      <c r="BIC51" s="8" t="s">
        <v>61</v>
      </c>
      <c r="BIF51" s="8" t="s">
        <v>66</v>
      </c>
      <c r="BJY51" s="8" t="s">
        <v>61</v>
      </c>
      <c r="BKB51" s="8" t="s">
        <v>66</v>
      </c>
      <c r="BLX51" s="8" t="s">
        <v>66</v>
      </c>
      <c r="BNT51" s="8" t="s">
        <v>66</v>
      </c>
    </row>
    <row r="52" spans="1:1012 1028:2041 2072:2456 3179:3515" s="9" customFormat="1">
      <c r="A52" s="9" t="s">
        <v>1290</v>
      </c>
      <c r="B52" s="16" t="s">
        <v>13792</v>
      </c>
      <c r="C52" s="9">
        <v>709.13</v>
      </c>
      <c r="D52" s="15">
        <v>32.31</v>
      </c>
      <c r="T52" s="18"/>
      <c r="AJ52" s="18"/>
      <c r="AZ52" s="20"/>
      <c r="BP52" s="18"/>
      <c r="CF52" s="18"/>
      <c r="CV52" s="20"/>
      <c r="DL52" s="18"/>
      <c r="EB52" s="18"/>
      <c r="ER52" s="20"/>
      <c r="FH52" s="18"/>
      <c r="FX52" s="18"/>
      <c r="GN52" s="20"/>
      <c r="HD52" s="18"/>
      <c r="HT52" s="18"/>
      <c r="IJ52" s="20"/>
      <c r="IZ52" s="18"/>
      <c r="JP52" s="18"/>
      <c r="KF52" s="20"/>
      <c r="KV52" s="18"/>
      <c r="LL52" s="18"/>
      <c r="MB52" s="20"/>
      <c r="MR52" s="18"/>
      <c r="NH52" s="18"/>
      <c r="NX52" s="20"/>
      <c r="ON52" s="18"/>
      <c r="PD52" s="18"/>
      <c r="PT52" s="20"/>
      <c r="QJ52" s="18"/>
      <c r="QZ52" s="18"/>
      <c r="RP52" s="20"/>
      <c r="SF52" s="18"/>
      <c r="SV52" s="18"/>
      <c r="TL52" s="20"/>
      <c r="UB52" s="18"/>
      <c r="UR52" s="18"/>
      <c r="VH52" s="20"/>
      <c r="VX52" s="18"/>
      <c r="WN52" s="18"/>
      <c r="XD52" s="20"/>
      <c r="XT52" s="18"/>
      <c r="YJ52" s="18"/>
      <c r="YZ52" s="20"/>
      <c r="ZP52" s="18"/>
      <c r="AAF52" s="18"/>
      <c r="AAV52" s="20"/>
      <c r="ABL52" s="18"/>
      <c r="ABU52" s="9" t="s">
        <v>13792</v>
      </c>
      <c r="ACB52" s="18"/>
      <c r="ACR52" s="20"/>
      <c r="ADH52" s="18"/>
      <c r="ADX52" s="18"/>
      <c r="AEN52" s="20"/>
      <c r="AFD52" s="18"/>
      <c r="AFT52" s="18"/>
      <c r="AGJ52" s="20"/>
      <c r="AGZ52" s="18"/>
      <c r="AHP52" s="18"/>
      <c r="AIF52" s="20"/>
      <c r="AIV52" s="18"/>
      <c r="AJL52" s="18"/>
      <c r="AKB52" s="20"/>
      <c r="AKR52" s="18"/>
      <c r="ALH52" s="18"/>
      <c r="ALX52" s="20"/>
      <c r="AMN52" s="18"/>
      <c r="AND52" s="18"/>
      <c r="ANT52" s="20"/>
      <c r="AOJ52" s="18"/>
      <c r="AOZ52" s="18"/>
      <c r="APP52" s="20"/>
      <c r="AQF52" s="18"/>
      <c r="AQV52" s="18"/>
      <c r="ARL52" s="20"/>
      <c r="ASB52" s="18"/>
      <c r="ASR52" s="18"/>
      <c r="ATH52" s="20"/>
      <c r="ATX52" s="18"/>
      <c r="AUN52" s="18"/>
      <c r="AVD52" s="20"/>
      <c r="AVT52" s="18"/>
      <c r="AWJ52" s="18"/>
      <c r="AWZ52" s="20"/>
      <c r="AXP52" s="18"/>
      <c r="AYF52" s="18"/>
      <c r="AYV52" s="20"/>
      <c r="AZL52" s="18"/>
      <c r="BAA52" s="9" t="s">
        <v>5196</v>
      </c>
      <c r="BAB52" s="18"/>
      <c r="BAR52" s="20"/>
      <c r="BDS52" s="9" t="s">
        <v>5196</v>
      </c>
      <c r="BEN52" s="9" t="s">
        <v>1843</v>
      </c>
      <c r="BGJ52" s="9" t="s">
        <v>1410</v>
      </c>
      <c r="BIE52" s="9" t="s">
        <v>62</v>
      </c>
      <c r="BKA52" s="9" t="s">
        <v>62</v>
      </c>
      <c r="BKB52" s="9" t="s">
        <v>1306</v>
      </c>
      <c r="BLX52" s="9" t="s">
        <v>1306</v>
      </c>
      <c r="BNT52" s="9" t="s">
        <v>1306</v>
      </c>
      <c r="BPP52" s="9" t="s">
        <v>1306</v>
      </c>
    </row>
    <row r="53" spans="1:1012 1028:2041 2072:2456 3179:3515" s="9" customFormat="1">
      <c r="A53" s="9" t="s">
        <v>1290</v>
      </c>
      <c r="B53" s="16" t="s">
        <v>13793</v>
      </c>
      <c r="C53" s="9">
        <v>742.44</v>
      </c>
      <c r="D53" s="15">
        <v>32.31</v>
      </c>
      <c r="T53" s="18"/>
      <c r="AJ53" s="18"/>
      <c r="AZ53" s="20"/>
      <c r="BP53" s="18"/>
      <c r="CF53" s="18"/>
      <c r="CV53" s="20"/>
      <c r="DL53" s="18"/>
      <c r="EB53" s="18"/>
      <c r="ER53" s="20"/>
      <c r="FH53" s="18"/>
      <c r="FX53" s="18"/>
      <c r="GN53" s="20"/>
      <c r="HD53" s="18"/>
      <c r="HT53" s="18"/>
      <c r="IJ53" s="20"/>
      <c r="IZ53" s="18"/>
      <c r="JP53" s="18"/>
      <c r="KF53" s="20"/>
      <c r="KV53" s="18"/>
      <c r="LL53" s="18"/>
      <c r="MB53" s="20"/>
      <c r="MR53" s="18"/>
      <c r="NH53" s="18"/>
      <c r="NX53" s="20"/>
      <c r="ON53" s="18"/>
      <c r="PD53" s="18"/>
      <c r="PT53" s="20"/>
      <c r="QJ53" s="18"/>
      <c r="QZ53" s="18"/>
      <c r="RP53" s="20"/>
      <c r="SF53" s="18"/>
      <c r="SV53" s="18"/>
      <c r="TL53" s="20"/>
      <c r="UB53" s="18"/>
      <c r="UR53" s="18"/>
      <c r="VH53" s="20"/>
      <c r="VX53" s="18"/>
      <c r="WN53" s="18"/>
      <c r="XD53" s="20"/>
      <c r="XT53" s="18"/>
      <c r="YJ53" s="18"/>
      <c r="YZ53" s="20"/>
      <c r="ZP53" s="18"/>
      <c r="AAF53" s="18"/>
      <c r="AAV53" s="20"/>
      <c r="ABL53" s="18"/>
      <c r="ACB53" s="18"/>
      <c r="ACR53" s="20"/>
      <c r="ADC53" s="9" t="s">
        <v>13793</v>
      </c>
      <c r="ADH53" s="18"/>
      <c r="ADX53" s="18"/>
      <c r="AEN53" s="20"/>
      <c r="AFD53" s="18"/>
      <c r="AFT53" s="18"/>
      <c r="AGJ53" s="20"/>
      <c r="AGZ53" s="18"/>
      <c r="AHP53" s="18"/>
      <c r="AIF53" s="20"/>
      <c r="AIV53" s="18"/>
      <c r="AJL53" s="18"/>
      <c r="AKB53" s="20"/>
      <c r="AKR53" s="18"/>
      <c r="ALH53" s="18"/>
      <c r="ALX53" s="20"/>
      <c r="AMN53" s="18"/>
      <c r="AND53" s="18"/>
      <c r="ANT53" s="20"/>
      <c r="AOJ53" s="18"/>
      <c r="AOZ53" s="18"/>
      <c r="APP53" s="20"/>
      <c r="AQF53" s="18"/>
      <c r="AQV53" s="18"/>
      <c r="ARL53" s="20"/>
      <c r="ASB53" s="18"/>
      <c r="ASR53" s="18"/>
      <c r="ATH53" s="20"/>
      <c r="ATX53" s="18"/>
      <c r="AUN53" s="18"/>
      <c r="AVD53" s="20"/>
      <c r="AVT53" s="18"/>
      <c r="AWJ53" s="18"/>
      <c r="AWZ53" s="20"/>
      <c r="AXP53" s="18"/>
      <c r="AYF53" s="18"/>
      <c r="AYV53" s="20"/>
      <c r="AZL53" s="18"/>
      <c r="BAB53" s="18"/>
      <c r="BAR53" s="20"/>
      <c r="BAV53" s="9" t="s">
        <v>5197</v>
      </c>
      <c r="BEN53" s="9" t="s">
        <v>5197</v>
      </c>
      <c r="BGV53" s="9" t="s">
        <v>1844</v>
      </c>
      <c r="BIR53" s="9" t="s">
        <v>1411</v>
      </c>
      <c r="BKB53" s="9" t="s">
        <v>64</v>
      </c>
      <c r="BKR53" s="9" t="s">
        <v>63</v>
      </c>
      <c r="BMJ53" s="9" t="s">
        <v>67</v>
      </c>
      <c r="BMN53" s="9" t="s">
        <v>63</v>
      </c>
      <c r="BOF53" s="9" t="s">
        <v>67</v>
      </c>
      <c r="BQB53" s="9" t="s">
        <v>67</v>
      </c>
      <c r="BRX53" s="9" t="s">
        <v>67</v>
      </c>
    </row>
    <row r="54" spans="1:1012 1028:2041 2072:2456 3179:3515">
      <c r="A54" s="8" t="s">
        <v>1290</v>
      </c>
      <c r="B54" s="10" t="s">
        <v>10472</v>
      </c>
      <c r="C54" s="8">
        <v>775.75</v>
      </c>
      <c r="D54" s="15">
        <v>8.7200000000000006</v>
      </c>
      <c r="AR54" s="9"/>
      <c r="AS54" s="9"/>
      <c r="AT54" s="9"/>
      <c r="AU54" s="9"/>
      <c r="AV54" s="9"/>
      <c r="AW54" s="9"/>
      <c r="AX54" s="9"/>
      <c r="AY54" s="9"/>
      <c r="AZ54" s="20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18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18"/>
      <c r="CG54" s="9"/>
      <c r="CH54" s="9"/>
      <c r="CI54" s="9"/>
      <c r="ADL54" s="8" t="s">
        <v>10472</v>
      </c>
      <c r="BAV54" s="8" t="s">
        <v>5198</v>
      </c>
      <c r="BEN54" s="8" t="s">
        <v>5198</v>
      </c>
      <c r="BIA54" s="8" t="s">
        <v>1845</v>
      </c>
      <c r="BJW54" s="8" t="s">
        <v>1412</v>
      </c>
      <c r="BKB54" s="8" t="s">
        <v>64</v>
      </c>
      <c r="BKR54" s="8" t="s">
        <v>63</v>
      </c>
      <c r="BLX54" s="8" t="s">
        <v>64</v>
      </c>
      <c r="BNO54" s="8" t="s">
        <v>68</v>
      </c>
      <c r="BPK54" s="8" t="s">
        <v>68</v>
      </c>
      <c r="BRG54" s="8" t="s">
        <v>68</v>
      </c>
      <c r="BTC54" s="8" t="s">
        <v>68</v>
      </c>
    </row>
    <row r="55" spans="1:1012 1028:2041 2072:2456 3179:3515">
      <c r="A55" s="8" t="s">
        <v>1290</v>
      </c>
      <c r="B55" s="10" t="s">
        <v>10478</v>
      </c>
      <c r="C55" s="8">
        <v>785.48</v>
      </c>
      <c r="D55" s="15">
        <v>7.84</v>
      </c>
      <c r="AR55" s="9"/>
      <c r="AS55" s="9"/>
      <c r="AT55" s="9"/>
      <c r="AU55" s="9"/>
      <c r="AV55" s="9"/>
      <c r="AW55" s="9"/>
      <c r="AX55" s="9"/>
      <c r="AY55" s="9"/>
      <c r="AZ55" s="20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18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ADU55" s="8" t="s">
        <v>10478</v>
      </c>
      <c r="BAV55" s="8" t="s">
        <v>5199</v>
      </c>
      <c r="BEN55" s="8" t="s">
        <v>5199</v>
      </c>
      <c r="BIF55" s="8" t="s">
        <v>1846</v>
      </c>
      <c r="BKB55" s="8" t="s">
        <v>1413</v>
      </c>
      <c r="BNL55" s="8" t="s">
        <v>65</v>
      </c>
      <c r="BNT55" s="8" t="s">
        <v>1307</v>
      </c>
      <c r="BPH55" s="8" t="s">
        <v>65</v>
      </c>
      <c r="BPP55" s="8" t="s">
        <v>1307</v>
      </c>
      <c r="BRL55" s="8" t="s">
        <v>1307</v>
      </c>
      <c r="BTH55" s="8" t="s">
        <v>1307</v>
      </c>
    </row>
    <row r="56" spans="1:1012 1028:2041 2072:2456 3179:3515">
      <c r="A56" s="8" t="s">
        <v>1290</v>
      </c>
      <c r="B56" s="10" t="s">
        <v>13794</v>
      </c>
      <c r="C56" s="8">
        <v>794.32</v>
      </c>
      <c r="D56" s="15">
        <v>16.16</v>
      </c>
      <c r="AEL56" s="8" t="s">
        <v>13794</v>
      </c>
      <c r="BCR56" s="8" t="s">
        <v>5200</v>
      </c>
      <c r="BGJ56" s="8" t="s">
        <v>5200</v>
      </c>
      <c r="BNT56" s="8" t="s">
        <v>66</v>
      </c>
      <c r="BPP56" s="8" t="s">
        <v>1847</v>
      </c>
      <c r="BRL56" s="8" t="s">
        <v>1414</v>
      </c>
      <c r="BVD56" s="8" t="s">
        <v>69</v>
      </c>
      <c r="BWZ56" s="8" t="s">
        <v>69</v>
      </c>
      <c r="BYV56" s="8" t="s">
        <v>69</v>
      </c>
      <c r="CAR56" s="8" t="s">
        <v>69</v>
      </c>
    </row>
    <row r="57" spans="1:1012 1028:2041 2072:2456 3179:3515">
      <c r="A57" s="8" t="s">
        <v>1290</v>
      </c>
      <c r="B57" s="10" t="s">
        <v>10481</v>
      </c>
      <c r="C57" s="8">
        <v>811.48</v>
      </c>
      <c r="D57" s="15">
        <v>7.84</v>
      </c>
      <c r="AEU57" s="8" t="s">
        <v>10481</v>
      </c>
      <c r="BPP57" s="8" t="s">
        <v>1306</v>
      </c>
      <c r="BRL57" s="8" t="s">
        <v>1306</v>
      </c>
      <c r="BZM57" s="8" t="s">
        <v>1848</v>
      </c>
      <c r="CBI57" s="8" t="s">
        <v>1415</v>
      </c>
      <c r="CFA57" s="8" t="s">
        <v>58</v>
      </c>
      <c r="CGW57" s="8" t="s">
        <v>58</v>
      </c>
      <c r="CIS57" s="8" t="s">
        <v>58</v>
      </c>
      <c r="CKO57" s="8" t="s">
        <v>58</v>
      </c>
    </row>
    <row r="58" spans="1:1012 1028:2041 2072:2456 3179:3515">
      <c r="A58" s="8" t="s">
        <v>1290</v>
      </c>
      <c r="B58" s="10" t="s">
        <v>10473</v>
      </c>
      <c r="C58" s="8">
        <v>825.2</v>
      </c>
      <c r="D58" s="15">
        <v>15.57</v>
      </c>
      <c r="AFQ58" s="8" t="s">
        <v>10473</v>
      </c>
      <c r="BRX58" s="8" t="s">
        <v>67</v>
      </c>
      <c r="BTT58" s="8" t="s">
        <v>67</v>
      </c>
      <c r="CCN58" s="8" t="s">
        <v>1849</v>
      </c>
      <c r="CEJ58" s="8" t="s">
        <v>1416</v>
      </c>
      <c r="CIB58" s="8" t="s">
        <v>70</v>
      </c>
      <c r="CJX58" s="8" t="s">
        <v>70</v>
      </c>
      <c r="CLT58" s="8" t="s">
        <v>70</v>
      </c>
      <c r="CNP58" s="8" t="s">
        <v>70</v>
      </c>
    </row>
    <row r="59" spans="1:1012 1028:2041 2072:2456 3179:3515">
      <c r="A59" s="8" t="s">
        <v>1290</v>
      </c>
      <c r="B59" s="10" t="s">
        <v>10474</v>
      </c>
      <c r="C59" s="8">
        <v>841.77</v>
      </c>
      <c r="D59" s="15">
        <v>3.14</v>
      </c>
      <c r="AFU59" s="8" t="s">
        <v>10474</v>
      </c>
      <c r="BTC59" s="8" t="s">
        <v>68</v>
      </c>
      <c r="BUY59" s="8" t="s">
        <v>68</v>
      </c>
      <c r="DRG59" s="8" t="s">
        <v>1850</v>
      </c>
      <c r="DTC59" s="8" t="s">
        <v>1417</v>
      </c>
      <c r="DWU59" s="8" t="s">
        <v>71</v>
      </c>
      <c r="DYQ59" s="8" t="s">
        <v>71</v>
      </c>
      <c r="EAM59" s="8" t="s">
        <v>71</v>
      </c>
      <c r="ECI59" s="8" t="s">
        <v>71</v>
      </c>
    </row>
    <row r="60" spans="1:1012 1028:2041 2072:2456 3179:3515">
      <c r="A60" s="8" t="s">
        <v>1290</v>
      </c>
      <c r="B60" s="10" t="s">
        <v>10475</v>
      </c>
      <c r="C60" s="8">
        <v>845.91</v>
      </c>
      <c r="D60" s="15">
        <v>9.41</v>
      </c>
      <c r="AGE60" s="8" t="s">
        <v>10475</v>
      </c>
      <c r="BTH60" s="8" t="s">
        <v>1307</v>
      </c>
      <c r="BVD60" s="8" t="s">
        <v>1307</v>
      </c>
    </row>
    <row r="61" spans="1:1012 1028:2041 2072:2456 3179:3515">
      <c r="A61" s="8" t="s">
        <v>1290</v>
      </c>
      <c r="B61" s="10" t="s">
        <v>10476</v>
      </c>
      <c r="C61" s="8">
        <v>856.32</v>
      </c>
      <c r="D61" s="15">
        <v>3.14</v>
      </c>
      <c r="AGI61" s="8" t="s">
        <v>10476</v>
      </c>
      <c r="CAR61" s="8" t="s">
        <v>69</v>
      </c>
      <c r="CCN61" s="8" t="s">
        <v>69</v>
      </c>
    </row>
    <row r="62" spans="1:1012 1028:2041 2072:2456 3179:3515">
      <c r="A62" s="8" t="s">
        <v>1290</v>
      </c>
      <c r="B62" s="10" t="s">
        <v>10477</v>
      </c>
      <c r="C62" s="8">
        <v>860.46</v>
      </c>
      <c r="D62" s="15">
        <v>15.69</v>
      </c>
      <c r="AGZ62" s="17" t="s">
        <v>10477</v>
      </c>
      <c r="CKO62" s="8" t="s">
        <v>58</v>
      </c>
      <c r="CMK62" s="8" t="s">
        <v>58</v>
      </c>
    </row>
    <row r="63" spans="1:1012 1028:2041 2072:2456 3179:3515">
      <c r="A63" s="8" t="s">
        <v>1290</v>
      </c>
      <c r="B63" s="10" t="s">
        <v>10479</v>
      </c>
      <c r="C63" s="8">
        <v>877.14</v>
      </c>
      <c r="D63" s="15">
        <v>15.69</v>
      </c>
      <c r="AHQ63" s="8" t="s">
        <v>10479</v>
      </c>
      <c r="CNP63" s="8" t="s">
        <v>70</v>
      </c>
      <c r="CPL63" s="8" t="s">
        <v>70</v>
      </c>
    </row>
    <row r="64" spans="1:1012 1028:2041 2072:2456 3179:3515">
      <c r="A64" s="8" t="s">
        <v>1290</v>
      </c>
      <c r="B64" s="10" t="s">
        <v>10480</v>
      </c>
      <c r="C64" s="8">
        <v>893.83</v>
      </c>
      <c r="D64" s="15">
        <v>3.14</v>
      </c>
      <c r="AHU64" s="8" t="s">
        <v>10480</v>
      </c>
      <c r="ECI64" s="8" t="s">
        <v>71</v>
      </c>
      <c r="EEE64" s="8" t="s">
        <v>71</v>
      </c>
    </row>
    <row r="65" spans="1:1021 1080:1976 2125:2173">
      <c r="A65" s="8" t="s">
        <v>1290</v>
      </c>
      <c r="B65" s="10" t="s">
        <v>10482</v>
      </c>
      <c r="C65" s="8">
        <v>944.31</v>
      </c>
      <c r="D65" s="15">
        <v>15.69</v>
      </c>
      <c r="AKF65" s="8" t="s">
        <v>10482</v>
      </c>
      <c r="AYZ65" s="8" t="s">
        <v>10001</v>
      </c>
    </row>
    <row r="66" spans="1:1021 1080:1976 2125:2173">
      <c r="A66" s="8" t="s">
        <v>1290</v>
      </c>
      <c r="B66" s="10" t="s">
        <v>10483</v>
      </c>
      <c r="C66" s="8">
        <v>991.78</v>
      </c>
      <c r="D66" s="15">
        <v>3.14</v>
      </c>
      <c r="ALO66" s="8" t="s">
        <v>10483</v>
      </c>
      <c r="BBM66" s="8" t="s">
        <v>10488</v>
      </c>
      <c r="BDI66" s="8" t="s">
        <v>10002</v>
      </c>
    </row>
    <row r="67" spans="1:1021 1080:1976 2125:2173">
      <c r="A67" s="8" t="s">
        <v>1290</v>
      </c>
      <c r="B67" s="10" t="s">
        <v>10484</v>
      </c>
      <c r="C67" s="8">
        <v>995.92</v>
      </c>
      <c r="D67" s="15">
        <v>17.29</v>
      </c>
      <c r="AMG67" s="8" t="s">
        <v>10484</v>
      </c>
      <c r="BCT67" s="8" t="s">
        <v>10489</v>
      </c>
      <c r="BEP67" s="8" t="s">
        <v>10003</v>
      </c>
    </row>
    <row r="68" spans="1:1021 1080:1976 2125:2173">
      <c r="A68" s="8" t="s">
        <v>1290</v>
      </c>
      <c r="B68" s="10" t="s">
        <v>13795</v>
      </c>
      <c r="C68" s="8">
        <v>1063.55</v>
      </c>
      <c r="D68" s="15">
        <v>8.08</v>
      </c>
      <c r="AON68" s="8" t="s">
        <v>13795</v>
      </c>
      <c r="BEE68" s="8" t="s">
        <v>10490</v>
      </c>
      <c r="BGA68" s="8" t="s">
        <v>10004</v>
      </c>
    </row>
    <row r="69" spans="1:1021 1080:1976 2125:2173">
      <c r="A69" s="8" t="s">
        <v>1290</v>
      </c>
      <c r="B69" s="10" t="s">
        <v>10485</v>
      </c>
      <c r="C69" s="8">
        <v>1072.6300000000001</v>
      </c>
      <c r="D69" s="15">
        <v>31.37</v>
      </c>
      <c r="APT69" s="8" t="s">
        <v>10485</v>
      </c>
      <c r="BEN69" s="8" t="s">
        <v>10491</v>
      </c>
      <c r="BGJ69" s="8" t="s">
        <v>10005</v>
      </c>
    </row>
    <row r="70" spans="1:1021 1080:1976 2125:2173">
      <c r="A70" s="8" t="s">
        <v>1290</v>
      </c>
      <c r="B70" s="10" t="s">
        <v>10486</v>
      </c>
      <c r="C70" s="8">
        <v>1130.6099999999999</v>
      </c>
      <c r="D70" s="15">
        <v>15.69</v>
      </c>
      <c r="ARJ70" s="8" t="s">
        <v>10486</v>
      </c>
      <c r="BHR70" s="8" t="s">
        <v>10492</v>
      </c>
      <c r="BJN70" s="8" t="s">
        <v>10006</v>
      </c>
    </row>
    <row r="71" spans="1:1021 1080:1976 2125:2173">
      <c r="A71" s="8" t="s">
        <v>1290</v>
      </c>
      <c r="B71" s="10" t="s">
        <v>10487</v>
      </c>
      <c r="C71" s="8">
        <v>1147.29</v>
      </c>
      <c r="D71" s="15">
        <v>4.71</v>
      </c>
      <c r="ARP71" s="8" t="s">
        <v>10487</v>
      </c>
      <c r="BIH71" s="8" t="s">
        <v>10493</v>
      </c>
      <c r="BKD71" s="8" t="s">
        <v>10007</v>
      </c>
    </row>
    <row r="72" spans="1:1021 1080:1976 2125:2173">
      <c r="A72" s="8" t="s">
        <v>1290</v>
      </c>
      <c r="B72" s="10" t="s">
        <v>10488</v>
      </c>
      <c r="C72" s="8">
        <v>1249.29</v>
      </c>
      <c r="D72" s="15">
        <v>15.69</v>
      </c>
      <c r="AVY72" s="8" t="s">
        <v>10488</v>
      </c>
      <c r="BKB72" s="8" t="s">
        <v>10494</v>
      </c>
      <c r="BLX72" s="8" t="s">
        <v>10008</v>
      </c>
    </row>
    <row r="73" spans="1:1021 1080:1976 2125:2173">
      <c r="A73" s="8" t="s">
        <v>1290</v>
      </c>
      <c r="B73" s="10" t="s">
        <v>10489</v>
      </c>
      <c r="C73" s="8">
        <v>1282.67</v>
      </c>
      <c r="D73" s="15">
        <v>15.69</v>
      </c>
      <c r="AXF73" s="8" t="s">
        <v>10489</v>
      </c>
      <c r="BQO73" s="8" t="s">
        <v>10495</v>
      </c>
      <c r="BSK73" s="8" t="s">
        <v>10009</v>
      </c>
    </row>
    <row r="74" spans="1:1021 1080:1976 2125:2173">
      <c r="A74" s="8" t="s">
        <v>1290</v>
      </c>
      <c r="B74" s="10" t="s">
        <v>10490</v>
      </c>
      <c r="C74" s="8">
        <v>1319.47</v>
      </c>
      <c r="D74" s="15">
        <v>15.69</v>
      </c>
      <c r="AYQ74" s="8" t="s">
        <v>10490</v>
      </c>
      <c r="BQX74" s="8" t="s">
        <v>10496</v>
      </c>
      <c r="BST74" s="8" t="s">
        <v>10010</v>
      </c>
    </row>
    <row r="75" spans="1:1021 1080:1976 2125:2173">
      <c r="A75" s="8" t="s">
        <v>1290</v>
      </c>
      <c r="B75" s="10" t="s">
        <v>10491</v>
      </c>
      <c r="C75" s="8">
        <v>1336.16</v>
      </c>
      <c r="D75" s="15">
        <v>7.84</v>
      </c>
      <c r="AYZ75" s="8" t="s">
        <v>10491</v>
      </c>
      <c r="BRN75" s="8" t="s">
        <v>10497</v>
      </c>
      <c r="BTJ75" s="8" t="s">
        <v>10011</v>
      </c>
    </row>
    <row r="76" spans="1:1021 1080:1976 2125:2173">
      <c r="A76" s="8" t="s">
        <v>1290</v>
      </c>
      <c r="B76" s="10" t="s">
        <v>13796</v>
      </c>
      <c r="C76" s="8">
        <v>1389.97</v>
      </c>
      <c r="D76" s="15">
        <v>12.93</v>
      </c>
      <c r="BBG76" s="8" t="s">
        <v>13796</v>
      </c>
      <c r="BCR76" s="8" t="s">
        <v>4269</v>
      </c>
      <c r="BTH76" s="8" t="s">
        <v>10498</v>
      </c>
      <c r="BVD76" s="8" t="s">
        <v>10012</v>
      </c>
    </row>
    <row r="77" spans="1:1021 1080:1976 2125:2173">
      <c r="A77" s="8" t="s">
        <v>1290</v>
      </c>
      <c r="B77" s="10" t="s">
        <v>13797</v>
      </c>
      <c r="C77" s="8">
        <v>1403.89</v>
      </c>
      <c r="D77" s="15">
        <v>5.09</v>
      </c>
      <c r="AYW77" s="8" t="s">
        <v>4687</v>
      </c>
      <c r="BBM77" s="8" t="s">
        <v>13797</v>
      </c>
      <c r="BCR77" s="8" t="s">
        <v>4270</v>
      </c>
      <c r="BUM77" s="8" t="s">
        <v>10499</v>
      </c>
      <c r="BWI77" s="8" t="s">
        <v>10013</v>
      </c>
    </row>
    <row r="78" spans="1:1021 1080:1976 2125:2173">
      <c r="A78" s="8" t="s">
        <v>1290</v>
      </c>
      <c r="B78" s="10" t="s">
        <v>10492</v>
      </c>
      <c r="C78" s="8">
        <v>1409.98</v>
      </c>
      <c r="D78" s="15">
        <v>15.69</v>
      </c>
      <c r="AYZ78" s="8" t="s">
        <v>4688</v>
      </c>
      <c r="AZA78" s="8" t="s">
        <v>4688</v>
      </c>
      <c r="BCD78" s="8" t="s">
        <v>10492</v>
      </c>
      <c r="BDS78" s="8" t="s">
        <v>4621</v>
      </c>
      <c r="BUY78" s="8" t="s">
        <v>10500</v>
      </c>
      <c r="BWU78" s="8" t="s">
        <v>10014</v>
      </c>
    </row>
    <row r="79" spans="1:1021 1080:1976 2125:2173">
      <c r="A79" s="8" t="s">
        <v>1290</v>
      </c>
      <c r="B79" s="10" t="s">
        <v>10493</v>
      </c>
      <c r="C79" s="8">
        <v>1426.67</v>
      </c>
      <c r="D79" s="15">
        <v>15.69</v>
      </c>
      <c r="AZY79" s="8" t="s">
        <v>4689</v>
      </c>
      <c r="AZZ79" s="8" t="s">
        <v>4689</v>
      </c>
      <c r="BCT79" s="8" t="s">
        <v>10493</v>
      </c>
      <c r="BEN79" s="8" t="s">
        <v>4271</v>
      </c>
      <c r="BVD79" s="8" t="s">
        <v>10501</v>
      </c>
      <c r="BWZ79" s="8" t="s">
        <v>10015</v>
      </c>
    </row>
    <row r="80" spans="1:1021 1080:1976 2125:2173">
      <c r="A80" s="8" t="s">
        <v>1290</v>
      </c>
      <c r="B80" s="10" t="s">
        <v>10494</v>
      </c>
      <c r="C80" s="8">
        <v>1472.31</v>
      </c>
      <c r="D80" s="15">
        <v>15.69</v>
      </c>
      <c r="BEN80" s="8" t="s">
        <v>10494</v>
      </c>
      <c r="BEO80" s="8" t="s">
        <v>4690</v>
      </c>
      <c r="BGJ80" s="8" t="s">
        <v>4272</v>
      </c>
      <c r="CCS80" s="8" t="s">
        <v>10502</v>
      </c>
      <c r="CEO80" s="8" t="s">
        <v>10016</v>
      </c>
    </row>
    <row r="81" spans="1:11 1352:2026 2072:2842 3130:3656 4280:4328">
      <c r="A81" s="8" t="s">
        <v>1290</v>
      </c>
      <c r="B81" s="10" t="s">
        <v>13798</v>
      </c>
      <c r="C81" s="8">
        <v>1648.51</v>
      </c>
      <c r="D81" s="15">
        <v>8.08</v>
      </c>
      <c r="BFW81" s="8" t="s">
        <v>5277</v>
      </c>
      <c r="BFX81" s="8" t="s">
        <v>5277</v>
      </c>
      <c r="BIF81" s="8" t="s">
        <v>4273</v>
      </c>
      <c r="BLA81" s="8" t="s">
        <v>13798</v>
      </c>
      <c r="CDV81" s="8" t="s">
        <v>10503</v>
      </c>
      <c r="CFR81" s="8" t="s">
        <v>10017</v>
      </c>
    </row>
    <row r="82" spans="1:11 1352:2026 2072:2842 3130:3656 4280:4328">
      <c r="A82" s="8" t="s">
        <v>1290</v>
      </c>
      <c r="B82" s="10" t="s">
        <v>10497</v>
      </c>
      <c r="C82" s="8">
        <v>1666.67</v>
      </c>
      <c r="D82" s="15">
        <v>15.69</v>
      </c>
      <c r="AZN82" s="8" t="s">
        <v>3025</v>
      </c>
      <c r="BGO82" s="8" t="s">
        <v>4692</v>
      </c>
      <c r="BGP82" s="8" t="s">
        <v>4692</v>
      </c>
      <c r="BKB82" s="8" t="s">
        <v>4274</v>
      </c>
      <c r="BLZ82" s="8" t="s">
        <v>10497</v>
      </c>
      <c r="CEL82" s="8" t="s">
        <v>10504</v>
      </c>
      <c r="CGH82" s="8" t="s">
        <v>10018</v>
      </c>
    </row>
    <row r="83" spans="1:11 1352:2026 2072:2842 3130:3656 4280:4328">
      <c r="A83" s="8" t="s">
        <v>1290</v>
      </c>
      <c r="B83" s="10" t="s">
        <v>13799</v>
      </c>
      <c r="C83" s="8">
        <v>1714.31</v>
      </c>
      <c r="D83" s="15">
        <v>4.8499999999999996</v>
      </c>
      <c r="AYZ83" s="8" t="s">
        <v>3026</v>
      </c>
      <c r="BAV83" s="8" t="s">
        <v>5392</v>
      </c>
      <c r="BAW83" s="8" t="s">
        <v>5392</v>
      </c>
      <c r="BCQ83" s="8" t="s">
        <v>4690</v>
      </c>
      <c r="BCR83" s="8" t="s">
        <v>4690</v>
      </c>
      <c r="BCS83" s="8" t="s">
        <v>4690</v>
      </c>
      <c r="BKB83" s="8" t="s">
        <v>4691</v>
      </c>
      <c r="BKC83" s="8" t="s">
        <v>4691</v>
      </c>
      <c r="BNK83" s="8" t="s">
        <v>13799</v>
      </c>
      <c r="BTH83" s="8" t="s">
        <v>4275</v>
      </c>
      <c r="CGF83" s="8" t="s">
        <v>10505</v>
      </c>
      <c r="CIB83" s="8" t="s">
        <v>10019</v>
      </c>
    </row>
    <row r="84" spans="1:11 1352:2026 2072:2842 3130:3656 4280:4328">
      <c r="A84" s="8" t="s">
        <v>1290</v>
      </c>
      <c r="B84" s="10" t="s">
        <v>10498</v>
      </c>
      <c r="C84" s="8">
        <v>1720.16</v>
      </c>
      <c r="D84" s="15">
        <v>7.84</v>
      </c>
      <c r="AYZ84" s="8" t="s">
        <v>3027</v>
      </c>
      <c r="BAV84" s="8" t="s">
        <v>3027</v>
      </c>
      <c r="BCE84" s="8" t="s">
        <v>5393</v>
      </c>
      <c r="BDZ84" s="8" t="s">
        <v>5277</v>
      </c>
      <c r="BEA84" s="8" t="s">
        <v>5277</v>
      </c>
      <c r="BEB84" s="8" t="s">
        <v>5277</v>
      </c>
      <c r="BLR84" s="8" t="s">
        <v>4693</v>
      </c>
      <c r="BLS84" s="8" t="s">
        <v>4693</v>
      </c>
      <c r="BNT84" s="8" t="s">
        <v>10498</v>
      </c>
      <c r="BVD84" s="8" t="s">
        <v>4276</v>
      </c>
      <c r="CRJ84" s="8" t="s">
        <v>10506</v>
      </c>
      <c r="CTF84" s="8" t="s">
        <v>10020</v>
      </c>
    </row>
    <row r="85" spans="1:11 1352:2026 2072:2842 3130:3656 4280:4328">
      <c r="A85" s="8" t="s">
        <v>1290</v>
      </c>
      <c r="B85" s="10" t="s">
        <v>10499</v>
      </c>
      <c r="C85" s="8">
        <v>1751.47</v>
      </c>
      <c r="D85" s="15">
        <v>7.84</v>
      </c>
      <c r="AYZ85" s="8" t="s">
        <v>2645</v>
      </c>
      <c r="AZE85" s="8" t="s">
        <v>3863</v>
      </c>
      <c r="BAV85" s="8" t="s">
        <v>2268</v>
      </c>
      <c r="BCW85" s="8" t="s">
        <v>5373</v>
      </c>
      <c r="BER85" s="8" t="s">
        <v>4692</v>
      </c>
      <c r="BES85" s="8" t="s">
        <v>4692</v>
      </c>
      <c r="BET85" s="8" t="s">
        <v>4692</v>
      </c>
      <c r="BLX85" s="8" t="s">
        <v>4694</v>
      </c>
      <c r="BLY85" s="8" t="s">
        <v>4694</v>
      </c>
      <c r="BOY85" s="8" t="s">
        <v>10499</v>
      </c>
      <c r="BWP85" s="8" t="s">
        <v>4622</v>
      </c>
      <c r="CRX85" s="8" t="s">
        <v>10507</v>
      </c>
      <c r="CTT85" s="8" t="s">
        <v>10021</v>
      </c>
    </row>
    <row r="86" spans="1:11 1352:2026 2072:2842 3130:3656 4280:4328">
      <c r="A86" s="8" t="s">
        <v>1290</v>
      </c>
      <c r="B86" s="10" t="s">
        <v>10500</v>
      </c>
      <c r="C86" s="8">
        <v>1755.31</v>
      </c>
      <c r="D86" s="15">
        <v>15.69</v>
      </c>
      <c r="H86" s="10"/>
      <c r="AYZ86" s="8" t="s">
        <v>3502</v>
      </c>
      <c r="BAV86" s="8" t="s">
        <v>2269</v>
      </c>
      <c r="BCR86" s="8" t="s">
        <v>3028</v>
      </c>
      <c r="BEN86" s="8" t="s">
        <v>3028</v>
      </c>
      <c r="BGJ86" s="8" t="s">
        <v>5394</v>
      </c>
      <c r="BIE86" s="8" t="s">
        <v>4691</v>
      </c>
      <c r="BIF86" s="8" t="s">
        <v>4691</v>
      </c>
      <c r="BIG86" s="8" t="s">
        <v>4691</v>
      </c>
      <c r="BPK86" s="8" t="s">
        <v>10500</v>
      </c>
      <c r="BQG86" s="8" t="s">
        <v>4695</v>
      </c>
      <c r="BQH86" s="8" t="s">
        <v>4695</v>
      </c>
      <c r="BWZ86" s="8" t="s">
        <v>4277</v>
      </c>
      <c r="CSP86" s="8" t="s">
        <v>10508</v>
      </c>
      <c r="CUL86" s="8" t="s">
        <v>10022</v>
      </c>
    </row>
    <row r="87" spans="1:11 1352:2026 2072:2842 3130:3656 4280:4328">
      <c r="A87" s="8" t="s">
        <v>1290</v>
      </c>
      <c r="B87" s="10" t="s">
        <v>10501</v>
      </c>
      <c r="C87" s="8">
        <v>1760.31</v>
      </c>
      <c r="D87" s="15">
        <v>15.69</v>
      </c>
      <c r="AYZ87" s="8" t="s">
        <v>4683</v>
      </c>
      <c r="AZA87" s="8" t="s">
        <v>4683</v>
      </c>
      <c r="BAO87" s="8" t="s">
        <v>3864</v>
      </c>
      <c r="BAV87" s="8" t="s">
        <v>2646</v>
      </c>
      <c r="BCR87" s="8" t="s">
        <v>2270</v>
      </c>
      <c r="BEG87" s="8" t="s">
        <v>3029</v>
      </c>
      <c r="BGC87" s="8" t="s">
        <v>3029</v>
      </c>
      <c r="BHZ87" s="8" t="s">
        <v>5395</v>
      </c>
      <c r="BIA87" s="8" t="s">
        <v>5395</v>
      </c>
      <c r="BJU87" s="8" t="s">
        <v>4693</v>
      </c>
      <c r="BJV87" s="8" t="s">
        <v>4693</v>
      </c>
      <c r="BJW87" s="8" t="s">
        <v>4693</v>
      </c>
      <c r="BPP87" s="8" t="s">
        <v>10501</v>
      </c>
      <c r="BRN87" s="8" t="s">
        <v>4697</v>
      </c>
      <c r="BRO87" s="8" t="s">
        <v>4697</v>
      </c>
      <c r="BYV87" s="8" t="s">
        <v>4278</v>
      </c>
      <c r="CUZ87" s="8" t="s">
        <v>10509</v>
      </c>
      <c r="CWV87" s="8" t="s">
        <v>10023</v>
      </c>
    </row>
    <row r="88" spans="1:11 1352:2026 2072:2842 3130:3656 4280:4328">
      <c r="A88" s="8" t="s">
        <v>1290</v>
      </c>
      <c r="B88" s="10" t="s">
        <v>10502</v>
      </c>
      <c r="C88" s="8">
        <v>1938.67</v>
      </c>
      <c r="D88" s="15">
        <v>34.51</v>
      </c>
      <c r="BAA88" s="8" t="s">
        <v>4684</v>
      </c>
      <c r="BAB88" s="17" t="s">
        <v>4684</v>
      </c>
      <c r="BAE88" s="8" t="s">
        <v>3894</v>
      </c>
      <c r="BBW88" s="8" t="s">
        <v>4684</v>
      </c>
      <c r="BBX88" s="8" t="s">
        <v>4684</v>
      </c>
      <c r="BCA88" s="8" t="s">
        <v>3524</v>
      </c>
      <c r="BDD88" s="8" t="s">
        <v>2647</v>
      </c>
      <c r="BEZ88" s="8" t="s">
        <v>2271</v>
      </c>
      <c r="BFS88" s="8" t="s">
        <v>3030</v>
      </c>
      <c r="BHO88" s="8" t="s">
        <v>3030</v>
      </c>
      <c r="BIF88" s="8" t="s">
        <v>5396</v>
      </c>
      <c r="BIG88" s="8" t="s">
        <v>5396</v>
      </c>
      <c r="BKA88" s="8" t="s">
        <v>4694</v>
      </c>
      <c r="BKB88" s="8" t="s">
        <v>4694</v>
      </c>
      <c r="BKC88" s="8" t="s">
        <v>4694</v>
      </c>
      <c r="BSY88" s="8" t="s">
        <v>4698</v>
      </c>
      <c r="BSZ88" s="8" t="s">
        <v>4698</v>
      </c>
      <c r="BXE88" s="8" t="s">
        <v>10502</v>
      </c>
      <c r="CAR88" s="8" t="s">
        <v>4279</v>
      </c>
      <c r="CZU88" s="8" t="s">
        <v>10510</v>
      </c>
      <c r="DBQ88" s="8" t="s">
        <v>10024</v>
      </c>
    </row>
    <row r="89" spans="1:11 1352:2026 2072:2842 3130:3656 4280:4328">
      <c r="A89" s="8" t="s">
        <v>1290</v>
      </c>
      <c r="B89" s="10" t="s">
        <v>10503</v>
      </c>
      <c r="C89" s="8">
        <v>1993.82</v>
      </c>
      <c r="D89" s="15">
        <v>7.84</v>
      </c>
      <c r="BAX89" s="8" t="s">
        <v>4685</v>
      </c>
      <c r="BAY89" s="8" t="s">
        <v>4685</v>
      </c>
      <c r="BCR89" s="8" t="s">
        <v>4269</v>
      </c>
      <c r="BCT89" s="8" t="s">
        <v>4685</v>
      </c>
      <c r="BCU89" s="8" t="s">
        <v>4685</v>
      </c>
      <c r="BEN89" s="8" t="s">
        <v>3895</v>
      </c>
      <c r="BGJ89" s="8" t="s">
        <v>3486</v>
      </c>
      <c r="BIF89" s="8" t="s">
        <v>3031</v>
      </c>
      <c r="BKB89" s="8" t="s">
        <v>3032</v>
      </c>
      <c r="BMO89" s="8" t="s">
        <v>5397</v>
      </c>
      <c r="BMP89" s="8" t="s">
        <v>5397</v>
      </c>
      <c r="BOJ89" s="8" t="s">
        <v>4695</v>
      </c>
      <c r="BOK89" s="8" t="s">
        <v>4695</v>
      </c>
      <c r="BOL89" s="8" t="s">
        <v>4695</v>
      </c>
      <c r="BTH89" s="8" t="s">
        <v>5278</v>
      </c>
      <c r="BTI89" s="8" t="s">
        <v>5278</v>
      </c>
      <c r="BYH89" s="8" t="s">
        <v>10503</v>
      </c>
      <c r="CCN89" s="8" t="s">
        <v>4280</v>
      </c>
      <c r="DBV89" s="8" t="s">
        <v>10511</v>
      </c>
      <c r="DDR89" s="8" t="s">
        <v>10025</v>
      </c>
    </row>
    <row r="90" spans="1:11 1352:2026 2072:2842 3130:3656 4280:4328">
      <c r="A90" s="8" t="s">
        <v>1290</v>
      </c>
      <c r="B90" s="10" t="s">
        <v>10504</v>
      </c>
      <c r="C90" s="8">
        <v>2002.67</v>
      </c>
      <c r="D90" s="15">
        <v>15.69</v>
      </c>
      <c r="AYZ90" s="8" t="s">
        <v>5201</v>
      </c>
      <c r="BCI90" s="8" t="s">
        <v>4686</v>
      </c>
      <c r="BCR90" s="8" t="s">
        <v>4270</v>
      </c>
      <c r="BEE90" s="8" t="s">
        <v>4686</v>
      </c>
      <c r="BEF90" s="8" t="s">
        <v>4686</v>
      </c>
      <c r="BEN90" s="8" t="s">
        <v>3896</v>
      </c>
      <c r="BGJ90" s="8" t="s">
        <v>3487</v>
      </c>
      <c r="BKB90" s="8" t="s">
        <v>3033</v>
      </c>
      <c r="BLX90" s="8" t="s">
        <v>3032</v>
      </c>
      <c r="BNV90" s="8" t="s">
        <v>5398</v>
      </c>
      <c r="BNW90" s="8" t="s">
        <v>5398</v>
      </c>
      <c r="BPQ90" s="8" t="s">
        <v>4697</v>
      </c>
      <c r="BPR90" s="8" t="s">
        <v>4697</v>
      </c>
      <c r="BPS90" s="8" t="s">
        <v>4697</v>
      </c>
      <c r="BWK90" s="8" t="s">
        <v>4699</v>
      </c>
      <c r="BWL90" s="8" t="s">
        <v>4699</v>
      </c>
      <c r="BYX90" s="8" t="s">
        <v>10504</v>
      </c>
      <c r="CEJ90" s="8" t="s">
        <v>4281</v>
      </c>
      <c r="DCL90" s="8" t="s">
        <v>10512</v>
      </c>
      <c r="DEH90" s="8" t="s">
        <v>10026</v>
      </c>
    </row>
    <row r="91" spans="1:11 1352:2026 2072:2842 3130:3656 4280:4328">
      <c r="A91" s="8" t="s">
        <v>1290</v>
      </c>
      <c r="B91" s="10" t="s">
        <v>10505</v>
      </c>
      <c r="C91" s="8">
        <v>2032.63</v>
      </c>
      <c r="D91" s="15">
        <v>31.37</v>
      </c>
      <c r="AYZ91" s="8" t="s">
        <v>5202</v>
      </c>
      <c r="BCN91" s="8" t="s">
        <v>4687</v>
      </c>
      <c r="BCO91" s="8" t="s">
        <v>4687</v>
      </c>
      <c r="BEJ91" s="8" t="s">
        <v>4687</v>
      </c>
      <c r="BEK91" s="8" t="s">
        <v>4687</v>
      </c>
      <c r="BEN91" s="8" t="s">
        <v>4271</v>
      </c>
      <c r="BFF91" s="8" t="s">
        <v>2648</v>
      </c>
      <c r="BGJ91" s="8" t="s">
        <v>3897</v>
      </c>
      <c r="BHB91" s="8" t="s">
        <v>2272</v>
      </c>
      <c r="BIF91" s="8" t="s">
        <v>3525</v>
      </c>
      <c r="BKB91" s="8" t="s">
        <v>3033</v>
      </c>
      <c r="BLX91" s="8" t="s">
        <v>3034</v>
      </c>
      <c r="BPG91" s="8" t="s">
        <v>5399</v>
      </c>
      <c r="BPH91" s="8" t="s">
        <v>5399</v>
      </c>
      <c r="BRB91" s="8" t="s">
        <v>4698</v>
      </c>
      <c r="BRC91" s="8" t="s">
        <v>4698</v>
      </c>
      <c r="BRD91" s="8" t="s">
        <v>4698</v>
      </c>
      <c r="BXB91" s="8" t="s">
        <v>4700</v>
      </c>
      <c r="BXC91" s="8" t="s">
        <v>4700</v>
      </c>
      <c r="CAR91" s="8" t="s">
        <v>10505</v>
      </c>
      <c r="CGF91" s="8" t="s">
        <v>4282</v>
      </c>
      <c r="DPJ91" s="8" t="s">
        <v>10513</v>
      </c>
      <c r="DRF91" s="8" t="s">
        <v>10027</v>
      </c>
    </row>
    <row r="92" spans="1:11 1352:2026 2072:2842 3130:3656 4280:4328">
      <c r="A92" s="8" t="s">
        <v>1290</v>
      </c>
      <c r="B92" s="10" t="s">
        <v>10506</v>
      </c>
      <c r="C92" s="8">
        <v>2338.67</v>
      </c>
      <c r="D92" s="15">
        <v>15.69</v>
      </c>
      <c r="BAV92" s="8" t="s">
        <v>5203</v>
      </c>
      <c r="BCR92" s="8" t="s">
        <v>4688</v>
      </c>
      <c r="BCS92" s="8" t="s">
        <v>4688</v>
      </c>
      <c r="BEN92" s="8" t="s">
        <v>4688</v>
      </c>
      <c r="BEO92" s="8" t="s">
        <v>4688</v>
      </c>
      <c r="BGJ92" s="8" t="s">
        <v>4272</v>
      </c>
      <c r="BGO92" s="8" t="s">
        <v>2649</v>
      </c>
      <c r="BIF92" s="8" t="s">
        <v>3898</v>
      </c>
      <c r="BIK92" s="8" t="s">
        <v>2273</v>
      </c>
      <c r="BKB92" s="8" t="s">
        <v>3526</v>
      </c>
      <c r="BLX92" s="8" t="s">
        <v>3034</v>
      </c>
      <c r="BNT92" s="8" t="s">
        <v>3035</v>
      </c>
      <c r="BPP92" s="8" t="s">
        <v>5400</v>
      </c>
      <c r="BPQ92" s="8" t="s">
        <v>5400</v>
      </c>
      <c r="BRK92" s="8" t="s">
        <v>5278</v>
      </c>
      <c r="BRL92" s="8" t="s">
        <v>5278</v>
      </c>
      <c r="BRM92" s="8" t="s">
        <v>5278</v>
      </c>
      <c r="BYV92" s="8" t="s">
        <v>4701</v>
      </c>
      <c r="BYW92" s="8" t="s">
        <v>4701</v>
      </c>
      <c r="CIB92" s="8" t="s">
        <v>4283</v>
      </c>
      <c r="CLV92" s="8" t="s">
        <v>10506</v>
      </c>
      <c r="DRD92" s="8" t="s">
        <v>10514</v>
      </c>
      <c r="DSZ92" s="8" t="s">
        <v>10028</v>
      </c>
    </row>
    <row r="93" spans="1:11 1352:2026 2072:2842 3130:3656 4280:4328">
      <c r="A93" s="8" t="s">
        <v>1290</v>
      </c>
      <c r="B93" s="10" t="s">
        <v>10507</v>
      </c>
      <c r="C93" s="8">
        <v>2359.7800000000002</v>
      </c>
      <c r="D93" s="15">
        <v>7.84</v>
      </c>
      <c r="AYZ93" s="8" t="s">
        <v>6158</v>
      </c>
      <c r="BAV93" s="8" t="s">
        <v>5204</v>
      </c>
      <c r="BDR93" s="8" t="s">
        <v>4689</v>
      </c>
      <c r="BFM93" s="8" t="s">
        <v>4689</v>
      </c>
      <c r="BFN93" s="8" t="s">
        <v>4689</v>
      </c>
      <c r="BGJ93" s="8" t="s">
        <v>2650</v>
      </c>
      <c r="BIF93" s="8" t="s">
        <v>4273</v>
      </c>
      <c r="BKB93" s="8" t="s">
        <v>3899</v>
      </c>
      <c r="BLX93" s="8" t="s">
        <v>3527</v>
      </c>
      <c r="BNT93" s="8" t="s">
        <v>3035</v>
      </c>
      <c r="BPP93" s="8" t="s">
        <v>3036</v>
      </c>
      <c r="BST93" s="8" t="s">
        <v>5401</v>
      </c>
      <c r="BUN93" s="8" t="s">
        <v>4699</v>
      </c>
      <c r="BUP93" s="8" t="s">
        <v>4699</v>
      </c>
      <c r="CGH93" s="8" t="s">
        <v>4702</v>
      </c>
      <c r="CGI93" s="8" t="s">
        <v>4702</v>
      </c>
      <c r="CIB93" s="8" t="s">
        <v>4284</v>
      </c>
      <c r="CMJ93" s="8" t="s">
        <v>10507</v>
      </c>
      <c r="EHT93" s="8" t="s">
        <v>10515</v>
      </c>
      <c r="EJP93" s="8" t="s">
        <v>10029</v>
      </c>
    </row>
    <row r="94" spans="1:11 1352:2026 2072:2842 3130:3656 4280:4328">
      <c r="A94" s="8" t="s">
        <v>1290</v>
      </c>
      <c r="B94" s="10" t="s">
        <v>10508</v>
      </c>
      <c r="C94" s="8">
        <v>2378.41</v>
      </c>
      <c r="D94" s="15">
        <v>7.84</v>
      </c>
      <c r="AYZ94" s="8" t="s">
        <v>5205</v>
      </c>
      <c r="BAV94" s="8" t="s">
        <v>6159</v>
      </c>
      <c r="BCR94" s="8" t="s">
        <v>5205</v>
      </c>
      <c r="BHY94" s="8" t="s">
        <v>2651</v>
      </c>
      <c r="BIF94" s="8" t="s">
        <v>4690</v>
      </c>
      <c r="BJU94" s="8" t="s">
        <v>2274</v>
      </c>
      <c r="BKB94" s="8" t="s">
        <v>4690</v>
      </c>
      <c r="BKC94" s="8" t="s">
        <v>4690</v>
      </c>
      <c r="BLX94" s="8" t="s">
        <v>3900</v>
      </c>
      <c r="BNT94" s="8" t="s">
        <v>3528</v>
      </c>
      <c r="BPP94" s="8" t="s">
        <v>3036</v>
      </c>
      <c r="BRL94" s="8" t="s">
        <v>3037</v>
      </c>
      <c r="BTJ94" s="8" t="s">
        <v>5402</v>
      </c>
      <c r="BTK94" s="8" t="s">
        <v>5402</v>
      </c>
      <c r="BVE94" s="8" t="s">
        <v>4700</v>
      </c>
      <c r="BVF94" s="8" t="s">
        <v>4700</v>
      </c>
      <c r="BVG94" s="8" t="s">
        <v>4700</v>
      </c>
      <c r="CIB94" s="8" t="s">
        <v>4703</v>
      </c>
      <c r="CIC94" s="8" t="s">
        <v>4703</v>
      </c>
      <c r="CNB94" s="8" t="s">
        <v>10508</v>
      </c>
      <c r="CWV94" s="8" t="s">
        <v>4285</v>
      </c>
      <c r="FHP94" s="8" t="s">
        <v>10516</v>
      </c>
      <c r="FJL94" s="8" t="s">
        <v>10030</v>
      </c>
    </row>
    <row r="95" spans="1:11 1352:2026 2072:2842 3130:3656 4280:4328">
      <c r="A95" s="8" t="s">
        <v>1290</v>
      </c>
      <c r="B95" s="10" t="s">
        <v>10509</v>
      </c>
      <c r="C95" s="8">
        <v>2440.16</v>
      </c>
      <c r="D95" s="15">
        <v>7.84</v>
      </c>
      <c r="AYZ95" s="8" t="s">
        <v>5206</v>
      </c>
      <c r="BCR95" s="8" t="s">
        <v>4275</v>
      </c>
      <c r="BCT95" s="8" t="s">
        <v>74</v>
      </c>
      <c r="BJK95" s="8" t="s">
        <v>2652</v>
      </c>
      <c r="BKB95" s="8" t="s">
        <v>6160</v>
      </c>
      <c r="BLG95" s="8" t="s">
        <v>2275</v>
      </c>
      <c r="BNT95" s="8" t="s">
        <v>4691</v>
      </c>
      <c r="BNU95" s="8" t="s">
        <v>4691</v>
      </c>
      <c r="BPP95" s="8" t="s">
        <v>4691</v>
      </c>
      <c r="BPQ95" s="8" t="s">
        <v>4691</v>
      </c>
      <c r="BRL95" s="8" t="s">
        <v>3037</v>
      </c>
      <c r="BTH95" s="8" t="s">
        <v>4275</v>
      </c>
      <c r="BVD95" s="8" t="s">
        <v>5403</v>
      </c>
      <c r="BVE95" s="8" t="s">
        <v>5403</v>
      </c>
      <c r="BWY95" s="8" t="s">
        <v>4701</v>
      </c>
      <c r="BWZ95" s="8" t="s">
        <v>4701</v>
      </c>
      <c r="BXA95" s="8" t="s">
        <v>4701</v>
      </c>
      <c r="CAR95" s="8" t="s">
        <v>3038</v>
      </c>
      <c r="CJG95" s="8" t="s">
        <v>4704</v>
      </c>
      <c r="CJH95" s="8" t="s">
        <v>4704</v>
      </c>
      <c r="CPL95" s="8" t="s">
        <v>10509</v>
      </c>
      <c r="DUV95" s="8" t="s">
        <v>4286</v>
      </c>
    </row>
    <row r="96" spans="1:11 1352:2026 2072:2842 3130:3656 4280:4328">
      <c r="A96" s="8" t="s">
        <v>1290</v>
      </c>
      <c r="B96" s="10" t="s">
        <v>10510</v>
      </c>
      <c r="C96" s="8">
        <v>2565.21</v>
      </c>
      <c r="D96" s="15">
        <v>7.84</v>
      </c>
      <c r="H96" s="11"/>
      <c r="I96" s="12"/>
      <c r="J96" s="12"/>
      <c r="K96" s="12"/>
      <c r="BAG96" s="8" t="s">
        <v>5207</v>
      </c>
      <c r="BDY96" s="8" t="s">
        <v>5207</v>
      </c>
      <c r="BEN96" s="8" t="s">
        <v>4276</v>
      </c>
      <c r="BLX96" s="8" t="s">
        <v>6161</v>
      </c>
      <c r="BNT96" s="8" t="s">
        <v>2276</v>
      </c>
      <c r="BNY96" s="8" t="s">
        <v>4692</v>
      </c>
      <c r="BNZ96" s="8" t="s">
        <v>4692</v>
      </c>
      <c r="BPU96" s="8" t="s">
        <v>4692</v>
      </c>
      <c r="BPV96" s="8" t="s">
        <v>4692</v>
      </c>
      <c r="BVD96" s="8" t="s">
        <v>4276</v>
      </c>
      <c r="BWZ96" s="8" t="s">
        <v>3901</v>
      </c>
      <c r="BYV96" s="8" t="s">
        <v>3529</v>
      </c>
      <c r="CAR96" s="8" t="s">
        <v>3038</v>
      </c>
      <c r="CCN96" s="8" t="s">
        <v>3039</v>
      </c>
      <c r="CCP96" s="8" t="s">
        <v>5404</v>
      </c>
      <c r="CCQ96" s="8" t="s">
        <v>5404</v>
      </c>
      <c r="CEK96" s="8" t="s">
        <v>4702</v>
      </c>
      <c r="CEL96" s="8" t="s">
        <v>4702</v>
      </c>
      <c r="CEM96" s="8" t="s">
        <v>4702</v>
      </c>
      <c r="CJS96" s="8" t="s">
        <v>4705</v>
      </c>
      <c r="CJT96" s="8" t="s">
        <v>4705</v>
      </c>
      <c r="CUG96" s="8" t="s">
        <v>10510</v>
      </c>
      <c r="DUV96" s="8" t="s">
        <v>4287</v>
      </c>
    </row>
    <row r="97" spans="1:293 1352:2024 2058:3066 3080:3848 4136:4136">
      <c r="A97" s="8" t="s">
        <v>1290</v>
      </c>
      <c r="B97" s="10" t="s">
        <v>13800</v>
      </c>
      <c r="C97" s="8">
        <v>2607.04</v>
      </c>
      <c r="D97" s="15">
        <v>12.93</v>
      </c>
      <c r="BCR97" s="8" t="s">
        <v>5208</v>
      </c>
      <c r="BGJ97" s="8" t="s">
        <v>4277</v>
      </c>
      <c r="BIF97" s="8" t="s">
        <v>76</v>
      </c>
      <c r="BNT97" s="8" t="s">
        <v>6162</v>
      </c>
      <c r="BPJ97" s="8" t="s">
        <v>4693</v>
      </c>
      <c r="BPK97" s="8" t="s">
        <v>4693</v>
      </c>
      <c r="BPP97" s="8" t="s">
        <v>2277</v>
      </c>
      <c r="BRF97" s="8" t="s">
        <v>4693</v>
      </c>
      <c r="BRG97" s="8" t="s">
        <v>4693</v>
      </c>
      <c r="BWZ97" s="8" t="s">
        <v>4277</v>
      </c>
      <c r="BYV97" s="8" t="s">
        <v>3902</v>
      </c>
      <c r="CAR97" s="8" t="s">
        <v>3530</v>
      </c>
      <c r="CCN97" s="8" t="s">
        <v>3039</v>
      </c>
      <c r="CEJ97" s="8" t="s">
        <v>5405</v>
      </c>
      <c r="CEK97" s="8" t="s">
        <v>5405</v>
      </c>
      <c r="CGE97" s="8" t="s">
        <v>4703</v>
      </c>
      <c r="CGF97" s="8" t="s">
        <v>4703</v>
      </c>
      <c r="CGG97" s="8" t="s">
        <v>4703</v>
      </c>
      <c r="CJX97" s="8" t="s">
        <v>4706</v>
      </c>
      <c r="CJY97" s="8" t="s">
        <v>4706</v>
      </c>
      <c r="CWB97" s="8" t="s">
        <v>13800</v>
      </c>
      <c r="DUV97" s="8" t="s">
        <v>4288</v>
      </c>
    </row>
    <row r="98" spans="1:293 1352:2024 2058:3066 3080:3848 4136:4136">
      <c r="A98" s="8" t="s">
        <v>1290</v>
      </c>
      <c r="B98" s="10" t="s">
        <v>10511</v>
      </c>
      <c r="C98" s="8">
        <v>2620.96</v>
      </c>
      <c r="D98" s="15">
        <v>4.71</v>
      </c>
      <c r="BIF98" s="8" t="s">
        <v>4278</v>
      </c>
      <c r="BOK98" s="8" t="s">
        <v>77</v>
      </c>
      <c r="BPP98" s="8" t="s">
        <v>6163</v>
      </c>
      <c r="BRL98" s="8" t="s">
        <v>4694</v>
      </c>
      <c r="BRM98" s="8" t="s">
        <v>4694</v>
      </c>
      <c r="BYV98" s="8" t="s">
        <v>4278</v>
      </c>
      <c r="CAR98" s="8" t="s">
        <v>3903</v>
      </c>
      <c r="CCN98" s="8" t="s">
        <v>3531</v>
      </c>
      <c r="CEJ98" s="8" t="s">
        <v>3040</v>
      </c>
      <c r="CFO98" s="8" t="s">
        <v>5406</v>
      </c>
      <c r="CFP98" s="8" t="s">
        <v>5406</v>
      </c>
      <c r="CGF98" s="8" t="s">
        <v>3041</v>
      </c>
      <c r="CHJ98" s="8" t="s">
        <v>4704</v>
      </c>
      <c r="CHK98" s="8" t="s">
        <v>4704</v>
      </c>
      <c r="CHL98" s="8" t="s">
        <v>4704</v>
      </c>
      <c r="CRM98" s="8" t="s">
        <v>4707</v>
      </c>
      <c r="CRN98" s="8" t="s">
        <v>4707</v>
      </c>
      <c r="CWH98" s="8" t="s">
        <v>10511</v>
      </c>
      <c r="DWR98" s="8" t="s">
        <v>4289</v>
      </c>
    </row>
    <row r="99" spans="1:293 1352:2024 2058:3066 3080:3848 4136:4136">
      <c r="A99" s="8" t="s">
        <v>1290</v>
      </c>
      <c r="B99" s="10" t="s">
        <v>10512</v>
      </c>
      <c r="C99" s="8">
        <v>2626.67</v>
      </c>
      <c r="D99" s="15">
        <v>15.69</v>
      </c>
      <c r="BKB99" s="8" t="s">
        <v>4279</v>
      </c>
      <c r="BOT99" s="8" t="s">
        <v>78</v>
      </c>
      <c r="BRL99" s="8" t="s">
        <v>6164</v>
      </c>
      <c r="BTH99" s="8" t="s">
        <v>2278</v>
      </c>
      <c r="BTY99" s="8" t="s">
        <v>4695</v>
      </c>
      <c r="BVU99" s="8" t="s">
        <v>4695</v>
      </c>
      <c r="BVV99" s="8" t="s">
        <v>4695</v>
      </c>
      <c r="CAR99" s="8" t="s">
        <v>4279</v>
      </c>
      <c r="CCN99" s="8" t="s">
        <v>3904</v>
      </c>
      <c r="CEJ99" s="8" t="s">
        <v>3532</v>
      </c>
      <c r="CGA99" s="8" t="s">
        <v>5407</v>
      </c>
      <c r="CGB99" s="8" t="s">
        <v>5407</v>
      </c>
      <c r="CGF99" s="8" t="s">
        <v>3041</v>
      </c>
      <c r="CHV99" s="8" t="s">
        <v>4705</v>
      </c>
      <c r="CHW99" s="8" t="s">
        <v>4705</v>
      </c>
      <c r="CHX99" s="8" t="s">
        <v>4705</v>
      </c>
      <c r="CIB99" s="8" t="s">
        <v>3042</v>
      </c>
      <c r="CSO99" s="8" t="s">
        <v>5279</v>
      </c>
      <c r="CSP99" s="8" t="s">
        <v>5279</v>
      </c>
      <c r="CWX99" s="8" t="s">
        <v>10512</v>
      </c>
      <c r="EEC99" s="8" t="s">
        <v>4290</v>
      </c>
    </row>
    <row r="100" spans="1:293 1352:2024 2058:3066 3080:3848 4136:4136">
      <c r="A100" s="8" t="s">
        <v>1290</v>
      </c>
      <c r="B100" s="10" t="s">
        <v>10513</v>
      </c>
      <c r="C100" s="8">
        <v>2962.67</v>
      </c>
      <c r="D100" s="15">
        <v>15.69</v>
      </c>
      <c r="BLX100" s="8" t="s">
        <v>4280</v>
      </c>
      <c r="BPB100" s="8" t="s">
        <v>79</v>
      </c>
      <c r="BTH100" s="8" t="s">
        <v>6165</v>
      </c>
      <c r="BUP100" s="8" t="s">
        <v>4696</v>
      </c>
      <c r="BVD100" s="8" t="s">
        <v>2279</v>
      </c>
      <c r="BWK100" s="8" t="s">
        <v>4696</v>
      </c>
      <c r="BWL100" s="8" t="s">
        <v>4696</v>
      </c>
      <c r="CCN100" s="8" t="s">
        <v>4280</v>
      </c>
      <c r="CEJ100" s="8" t="s">
        <v>3905</v>
      </c>
      <c r="CGF100" s="8" t="s">
        <v>5408</v>
      </c>
      <c r="CGG100" s="8" t="s">
        <v>5408</v>
      </c>
      <c r="CIA100" s="8" t="s">
        <v>4706</v>
      </c>
      <c r="CIB100" s="8" t="s">
        <v>4706</v>
      </c>
      <c r="CIC100" s="8" t="s">
        <v>4706</v>
      </c>
      <c r="CJX100" s="8" t="s">
        <v>3043</v>
      </c>
      <c r="CTF100" s="8" t="s">
        <v>4708</v>
      </c>
      <c r="CTG100" s="8" t="s">
        <v>4708</v>
      </c>
      <c r="DJV100" s="8" t="s">
        <v>10513</v>
      </c>
      <c r="EGM100" s="8" t="s">
        <v>4291</v>
      </c>
    </row>
    <row r="101" spans="1:293 1352:2024 2058:3066 3080:3848 4136:4136">
      <c r="A101" s="8" t="s">
        <v>1290</v>
      </c>
      <c r="B101" s="10" t="s">
        <v>10514</v>
      </c>
      <c r="C101" s="8">
        <v>2992.63</v>
      </c>
      <c r="D101" s="15">
        <v>31.37</v>
      </c>
      <c r="BAX101" s="8" t="s">
        <v>725</v>
      </c>
      <c r="BCT101" s="8" t="s">
        <v>725</v>
      </c>
      <c r="BNT101" s="8" t="s">
        <v>4281</v>
      </c>
      <c r="BRN101" s="8" t="s">
        <v>80</v>
      </c>
      <c r="BVD101" s="8" t="s">
        <v>6166</v>
      </c>
      <c r="BVF101" s="8" t="s">
        <v>4697</v>
      </c>
      <c r="BVG101" s="8" t="s">
        <v>4697</v>
      </c>
      <c r="BWZ101" s="8" t="s">
        <v>2280</v>
      </c>
      <c r="BXB101" s="8" t="s">
        <v>4697</v>
      </c>
      <c r="BXC101" s="8" t="s">
        <v>4697</v>
      </c>
      <c r="CEJ101" s="8" t="s">
        <v>4281</v>
      </c>
      <c r="CGF101" s="8" t="s">
        <v>3906</v>
      </c>
      <c r="CIB101" s="8" t="s">
        <v>3533</v>
      </c>
      <c r="CJX101" s="8" t="s">
        <v>3043</v>
      </c>
      <c r="CLT101" s="8" t="s">
        <v>3044</v>
      </c>
      <c r="CNU101" s="8" t="s">
        <v>5409</v>
      </c>
      <c r="CNV101" s="8" t="s">
        <v>5409</v>
      </c>
      <c r="CPP101" s="8" t="s">
        <v>4707</v>
      </c>
      <c r="CPQ101" s="8" t="s">
        <v>4707</v>
      </c>
      <c r="CPR101" s="8" t="s">
        <v>4707</v>
      </c>
      <c r="CUZ101" s="8" t="s">
        <v>5280</v>
      </c>
      <c r="CVA101" s="8" t="s">
        <v>5280</v>
      </c>
      <c r="DLP101" s="8" t="s">
        <v>10514</v>
      </c>
      <c r="EJP101" s="8" t="s">
        <v>4292</v>
      </c>
    </row>
    <row r="102" spans="1:293 1352:2024 2058:3066 3080:3848 4136:4136">
      <c r="A102" s="8" t="s">
        <v>1290</v>
      </c>
      <c r="B102" s="10" t="s">
        <v>13801</v>
      </c>
      <c r="C102" s="8">
        <v>3146</v>
      </c>
      <c r="D102" s="15">
        <v>8.08</v>
      </c>
      <c r="BAF102" s="8" t="s">
        <v>75</v>
      </c>
      <c r="BAX102" s="8" t="s">
        <v>726</v>
      </c>
      <c r="BCR102" s="8" t="s">
        <v>726</v>
      </c>
      <c r="BCT102" s="8" t="s">
        <v>726</v>
      </c>
      <c r="BEN102" s="8" t="s">
        <v>726</v>
      </c>
      <c r="BPP102" s="8" t="s">
        <v>4282</v>
      </c>
      <c r="BSL102" s="8" t="s">
        <v>81</v>
      </c>
      <c r="BWQ102" s="8" t="s">
        <v>4698</v>
      </c>
      <c r="BWZ102" s="8" t="s">
        <v>6167</v>
      </c>
      <c r="BYM102" s="8" t="s">
        <v>4698</v>
      </c>
      <c r="BYN102" s="8" t="s">
        <v>4698</v>
      </c>
      <c r="CEJ102" s="8" t="s">
        <v>2653</v>
      </c>
      <c r="CGF102" s="8" t="s">
        <v>4282</v>
      </c>
      <c r="CIB102" s="8" t="s">
        <v>3907</v>
      </c>
      <c r="CJX102" s="8" t="s">
        <v>3534</v>
      </c>
      <c r="CLT102" s="8" t="s">
        <v>3044</v>
      </c>
      <c r="CNP102" s="8" t="s">
        <v>3045</v>
      </c>
      <c r="COX102" s="8" t="s">
        <v>5410</v>
      </c>
      <c r="CQR102" s="8" t="s">
        <v>5279</v>
      </c>
      <c r="CQT102" s="8" t="s">
        <v>5279</v>
      </c>
      <c r="DGD102" s="8" t="s">
        <v>4709</v>
      </c>
      <c r="DGE102" s="8" t="s">
        <v>4709</v>
      </c>
      <c r="DQP102" s="8" t="s">
        <v>13801</v>
      </c>
      <c r="FCB102" s="8" t="s">
        <v>4293</v>
      </c>
    </row>
    <row r="103" spans="1:293 1352:2024 2058:3066 3080:3848 4136:4136">
      <c r="A103" s="8" t="s">
        <v>1290</v>
      </c>
      <c r="B103" s="10" t="s">
        <v>13802</v>
      </c>
      <c r="C103" s="8">
        <v>3155.07</v>
      </c>
      <c r="D103" s="15">
        <v>12.93</v>
      </c>
      <c r="AYZ103" s="8" t="s">
        <v>76</v>
      </c>
      <c r="BAV103" s="8" t="s">
        <v>727</v>
      </c>
      <c r="BBL103" s="8" t="s">
        <v>76</v>
      </c>
      <c r="BEN103" s="8" t="s">
        <v>727</v>
      </c>
      <c r="BGJ103" s="8" t="s">
        <v>727</v>
      </c>
      <c r="BIF103" s="8" t="s">
        <v>727</v>
      </c>
      <c r="BRL103" s="8" t="s">
        <v>4283</v>
      </c>
      <c r="BUZ103" s="8" t="s">
        <v>82</v>
      </c>
      <c r="BYV103" s="8" t="s">
        <v>6168</v>
      </c>
      <c r="CAD103" s="8" t="s">
        <v>4699</v>
      </c>
      <c r="CBY103" s="8" t="s">
        <v>4699</v>
      </c>
      <c r="CBZ103" s="8" t="s">
        <v>4699</v>
      </c>
      <c r="CGF103" s="8" t="s">
        <v>2654</v>
      </c>
      <c r="CIB103" s="8" t="s">
        <v>4283</v>
      </c>
      <c r="CJX103" s="8" t="s">
        <v>3908</v>
      </c>
      <c r="CLT103" s="8" t="s">
        <v>3535</v>
      </c>
      <c r="CNP103" s="8" t="s">
        <v>3045</v>
      </c>
      <c r="CPL103" s="8" t="s">
        <v>3046</v>
      </c>
      <c r="CPN103" s="8" t="s">
        <v>5411</v>
      </c>
      <c r="CPO103" s="8" t="s">
        <v>5411</v>
      </c>
      <c r="CRI103" s="8" t="s">
        <v>4708</v>
      </c>
      <c r="CRJ103" s="8" t="s">
        <v>4708</v>
      </c>
      <c r="CRK103" s="8" t="s">
        <v>4708</v>
      </c>
      <c r="DGQ103" s="8" t="s">
        <v>4710</v>
      </c>
      <c r="DGR103" s="8" t="s">
        <v>4710</v>
      </c>
      <c r="DRD103" s="8" t="s">
        <v>13802</v>
      </c>
    </row>
    <row r="104" spans="1:293 1352:2024 2058:3066 3080:3848 4136:4136">
      <c r="A104" s="8" t="s">
        <v>1290</v>
      </c>
      <c r="B104" s="10" t="s">
        <v>13803</v>
      </c>
      <c r="C104" s="8">
        <v>3447.92</v>
      </c>
      <c r="D104" s="15">
        <v>8.08</v>
      </c>
      <c r="AYZ104" s="8" t="s">
        <v>77</v>
      </c>
      <c r="AZY104" s="8" t="s">
        <v>77</v>
      </c>
      <c r="BAV104" s="8" t="s">
        <v>728</v>
      </c>
      <c r="BCR104" s="8" t="s">
        <v>77</v>
      </c>
      <c r="BIF104" s="8" t="s">
        <v>728</v>
      </c>
      <c r="BMO104" s="8" t="s">
        <v>728</v>
      </c>
      <c r="BOK104" s="8" t="s">
        <v>728</v>
      </c>
      <c r="BRL104" s="8" t="s">
        <v>4284</v>
      </c>
      <c r="BVD104" s="8" t="s">
        <v>83</v>
      </c>
      <c r="BYV104" s="8" t="s">
        <v>6169</v>
      </c>
      <c r="CAT104" s="8" t="s">
        <v>4700</v>
      </c>
      <c r="CAU104" s="8" t="s">
        <v>4700</v>
      </c>
      <c r="CCP104" s="8" t="s">
        <v>4700</v>
      </c>
      <c r="CCQ104" s="8" t="s">
        <v>4700</v>
      </c>
      <c r="CIB104" s="8" t="s">
        <v>4284</v>
      </c>
      <c r="CJX104" s="8" t="s">
        <v>3909</v>
      </c>
      <c r="CLT104" s="8" t="s">
        <v>3488</v>
      </c>
      <c r="CPL104" s="8" t="s">
        <v>3047</v>
      </c>
      <c r="CRH104" s="8" t="s">
        <v>5374</v>
      </c>
      <c r="CTC104" s="8" t="s">
        <v>5280</v>
      </c>
      <c r="CTD104" s="8" t="s">
        <v>5280</v>
      </c>
      <c r="CTE104" s="8" t="s">
        <v>5280</v>
      </c>
      <c r="DHJ104" s="8" t="s">
        <v>4711</v>
      </c>
      <c r="DHK104" s="8" t="s">
        <v>4711</v>
      </c>
      <c r="ECF104" s="8" t="s">
        <v>13803</v>
      </c>
    </row>
    <row r="105" spans="1:293 1352:2024 2058:3066 3080:3848 4136:4136">
      <c r="A105" s="8" t="s">
        <v>1290</v>
      </c>
      <c r="B105" s="10" t="s">
        <v>10516</v>
      </c>
      <c r="C105" s="8">
        <v>4113.88</v>
      </c>
      <c r="D105" s="15">
        <v>14.12</v>
      </c>
      <c r="AZQ105" s="8" t="s">
        <v>78</v>
      </c>
      <c r="BBM105" s="8" t="s">
        <v>78</v>
      </c>
      <c r="BDI105" s="8" t="s">
        <v>78</v>
      </c>
      <c r="BFE105" s="8" t="s">
        <v>78</v>
      </c>
      <c r="BIW105" s="8" t="s">
        <v>78</v>
      </c>
      <c r="BMX105" s="8" t="s">
        <v>729</v>
      </c>
      <c r="BOK105" s="8" t="s">
        <v>729</v>
      </c>
      <c r="BOT105" s="8" t="s">
        <v>729</v>
      </c>
      <c r="CCN105" s="8" t="s">
        <v>4701</v>
      </c>
      <c r="CEJ105" s="8" t="s">
        <v>4701</v>
      </c>
      <c r="CEK105" s="8" t="s">
        <v>4701</v>
      </c>
      <c r="CGF105" s="8" t="s">
        <v>4285</v>
      </c>
      <c r="CGY105" s="8" t="s">
        <v>84</v>
      </c>
      <c r="CJX105" s="8" t="s">
        <v>2655</v>
      </c>
      <c r="CLT105" s="8" t="s">
        <v>2281</v>
      </c>
      <c r="CNP105" s="8" t="s">
        <v>6170</v>
      </c>
      <c r="CPL105" s="8" t="s">
        <v>3047</v>
      </c>
      <c r="CRH105" s="8" t="s">
        <v>3047</v>
      </c>
      <c r="CWV105" s="8" t="s">
        <v>4285</v>
      </c>
      <c r="CYR105" s="8" t="s">
        <v>3910</v>
      </c>
      <c r="DAN105" s="8" t="s">
        <v>3536</v>
      </c>
      <c r="DCL105" s="8" t="s">
        <v>5412</v>
      </c>
      <c r="DCM105" s="8" t="s">
        <v>5412</v>
      </c>
      <c r="DEF105" s="8" t="s">
        <v>3048</v>
      </c>
      <c r="DEG105" s="8" t="s">
        <v>4709</v>
      </c>
      <c r="DEH105" s="8" t="s">
        <v>4709</v>
      </c>
      <c r="DEI105" s="8" t="s">
        <v>4709</v>
      </c>
      <c r="DJT105" s="8" t="s">
        <v>5281</v>
      </c>
      <c r="DJU105" s="8" t="s">
        <v>5281</v>
      </c>
      <c r="FCB105" s="8" t="s">
        <v>10516</v>
      </c>
    </row>
    <row r="106" spans="1:293 1352:2024 2058:3066 3080:3848 4136:4136">
      <c r="A106" s="8" t="s">
        <v>1291</v>
      </c>
      <c r="B106" s="10" t="s">
        <v>10517</v>
      </c>
      <c r="C106" s="8">
        <v>-77.739999999999995</v>
      </c>
      <c r="D106" s="15">
        <v>16.760000000000002</v>
      </c>
      <c r="H106" s="8" t="s">
        <v>10517</v>
      </c>
      <c r="AZZ106" s="8" t="s">
        <v>79</v>
      </c>
      <c r="BBV106" s="8" t="s">
        <v>79</v>
      </c>
      <c r="BDR106" s="8" t="s">
        <v>79</v>
      </c>
      <c r="BFN106" s="8" t="s">
        <v>79</v>
      </c>
      <c r="BJF106" s="8" t="s">
        <v>79</v>
      </c>
      <c r="BNF106" s="8" t="s">
        <v>730</v>
      </c>
      <c r="BOT106" s="8" t="s">
        <v>730</v>
      </c>
      <c r="BPB106" s="8" t="s">
        <v>730</v>
      </c>
      <c r="CHG106" s="8" t="s">
        <v>85</v>
      </c>
      <c r="CJX106" s="8" t="s">
        <v>2656</v>
      </c>
      <c r="CJZ106" s="8" t="s">
        <v>4702</v>
      </c>
      <c r="CKA106" s="8" t="s">
        <v>4702</v>
      </c>
      <c r="CLT106" s="8" t="s">
        <v>2282</v>
      </c>
      <c r="CLV106" s="8" t="s">
        <v>4702</v>
      </c>
      <c r="CLW106" s="8" t="s">
        <v>4702</v>
      </c>
      <c r="DCZ106" s="8" t="s">
        <v>5413</v>
      </c>
      <c r="DEF106" s="8" t="s">
        <v>4286</v>
      </c>
      <c r="DET106" s="8" t="s">
        <v>4710</v>
      </c>
      <c r="DEV106" s="8" t="s">
        <v>4710</v>
      </c>
      <c r="DGB106" s="8" t="s">
        <v>3048</v>
      </c>
      <c r="DLP106" s="8" t="s">
        <v>6171</v>
      </c>
      <c r="DOO106" s="8" t="s">
        <v>4712</v>
      </c>
      <c r="DOP106" s="8" t="s">
        <v>4712</v>
      </c>
      <c r="DUV106" s="8" t="s">
        <v>4286</v>
      </c>
      <c r="DWR106" s="8" t="s">
        <v>3911</v>
      </c>
      <c r="DYN106" s="8" t="s">
        <v>3537</v>
      </c>
      <c r="ECF106" s="8" t="s">
        <v>3049</v>
      </c>
    </row>
    <row r="107" spans="1:293 1352:2024 2058:3066 3080:3848 4136:4136">
      <c r="A107" s="8" t="s">
        <v>1291</v>
      </c>
      <c r="B107" s="10" t="s">
        <v>13804</v>
      </c>
      <c r="C107" s="8">
        <v>-47</v>
      </c>
      <c r="D107" s="15">
        <v>32.31</v>
      </c>
      <c r="H107" s="8" t="s">
        <v>13804</v>
      </c>
      <c r="BAH107" s="8" t="s">
        <v>80</v>
      </c>
      <c r="BCD107" s="8" t="s">
        <v>80</v>
      </c>
      <c r="BDZ107" s="8" t="s">
        <v>80</v>
      </c>
      <c r="BFV107" s="8" t="s">
        <v>80</v>
      </c>
      <c r="BJN107" s="8" t="s">
        <v>80</v>
      </c>
      <c r="BNF107" s="8" t="s">
        <v>731</v>
      </c>
      <c r="BNO107" s="8" t="s">
        <v>80</v>
      </c>
      <c r="BPB107" s="8" t="s">
        <v>731</v>
      </c>
      <c r="BPR107" s="8" t="s">
        <v>731</v>
      </c>
      <c r="BRN107" s="8" t="s">
        <v>731</v>
      </c>
      <c r="CID107" s="8" t="s">
        <v>86</v>
      </c>
      <c r="CLT107" s="8" t="s">
        <v>4703</v>
      </c>
      <c r="CNP107" s="8" t="s">
        <v>4703</v>
      </c>
      <c r="CNQ107" s="8" t="s">
        <v>4703</v>
      </c>
      <c r="DDR107" s="8" t="s">
        <v>5414</v>
      </c>
      <c r="DDS107" s="8" t="s">
        <v>5414</v>
      </c>
      <c r="DEF107" s="8" t="s">
        <v>4287</v>
      </c>
      <c r="DFM107" s="8" t="s">
        <v>4711</v>
      </c>
      <c r="DFN107" s="8" t="s">
        <v>4711</v>
      </c>
      <c r="DFO107" s="8" t="s">
        <v>4711</v>
      </c>
      <c r="DLP107" s="8" t="s">
        <v>6172</v>
      </c>
      <c r="DQO107" s="8" t="s">
        <v>4713</v>
      </c>
      <c r="DQP107" s="8" t="s">
        <v>4713</v>
      </c>
      <c r="DUV107" s="8" t="s">
        <v>4287</v>
      </c>
      <c r="DWR107" s="8" t="s">
        <v>3912</v>
      </c>
      <c r="DYN107" s="8" t="s">
        <v>3538</v>
      </c>
      <c r="ECF107" s="8" t="s">
        <v>3050</v>
      </c>
      <c r="EEB107" s="8" t="s">
        <v>3049</v>
      </c>
    </row>
    <row r="108" spans="1:293 1352:2024 2058:3066 3080:3848 4136:4136">
      <c r="A108" s="8" t="s">
        <v>1291</v>
      </c>
      <c r="B108" s="10" t="s">
        <v>13805</v>
      </c>
      <c r="C108" s="8">
        <v>-0.97</v>
      </c>
      <c r="D108" s="15">
        <v>32.31</v>
      </c>
      <c r="AM108" s="8" t="s">
        <v>13805</v>
      </c>
      <c r="BCD108" s="8" t="s">
        <v>1310</v>
      </c>
      <c r="BDZ108" s="8" t="s">
        <v>1310</v>
      </c>
      <c r="BFV108" s="8" t="s">
        <v>1310</v>
      </c>
      <c r="BHR108" s="8" t="s">
        <v>1310</v>
      </c>
      <c r="BLZ108" s="8" t="s">
        <v>81</v>
      </c>
      <c r="BQP108" s="8" t="s">
        <v>732</v>
      </c>
      <c r="BRN108" s="8" t="s">
        <v>732</v>
      </c>
      <c r="BRV108" s="8" t="s">
        <v>81</v>
      </c>
      <c r="BSL108" s="8" t="s">
        <v>732</v>
      </c>
      <c r="CLT108" s="8" t="s">
        <v>2657</v>
      </c>
      <c r="CMY108" s="8" t="s">
        <v>4704</v>
      </c>
      <c r="CNP108" s="8" t="s">
        <v>2283</v>
      </c>
      <c r="COU108" s="8" t="s">
        <v>4704</v>
      </c>
      <c r="COV108" s="8" t="s">
        <v>4704</v>
      </c>
      <c r="CPL108" s="8" t="s">
        <v>87</v>
      </c>
      <c r="DEF108" s="8" t="s">
        <v>4288</v>
      </c>
      <c r="DGB108" s="8" t="s">
        <v>5415</v>
      </c>
      <c r="DGC108" s="8" t="s">
        <v>5415</v>
      </c>
      <c r="DHW108" s="8" t="s">
        <v>5281</v>
      </c>
      <c r="DHX108" s="8" t="s">
        <v>5281</v>
      </c>
      <c r="DHY108" s="8" t="s">
        <v>5281</v>
      </c>
      <c r="DLP108" s="8" t="s">
        <v>6173</v>
      </c>
      <c r="DRF108" s="8" t="s">
        <v>4714</v>
      </c>
      <c r="DRG108" s="8" t="s">
        <v>4714</v>
      </c>
      <c r="DUV108" s="8" t="s">
        <v>4288</v>
      </c>
      <c r="DWR108" s="8" t="s">
        <v>3913</v>
      </c>
      <c r="DYN108" s="8" t="s">
        <v>3539</v>
      </c>
      <c r="ECF108" s="8" t="s">
        <v>3051</v>
      </c>
      <c r="EEB108" s="8" t="s">
        <v>3050</v>
      </c>
    </row>
    <row r="109" spans="1:293 1352:2024 2058:3066 3080:3848 4136:4136">
      <c r="A109" s="8" t="s">
        <v>1291</v>
      </c>
      <c r="B109" s="10" t="s">
        <v>13806</v>
      </c>
      <c r="C109" s="8">
        <v>38.479999999999997</v>
      </c>
      <c r="D109" s="15">
        <v>32.31</v>
      </c>
      <c r="CA109" s="8" t="s">
        <v>13806</v>
      </c>
      <c r="AZB109" s="8" t="s">
        <v>1418</v>
      </c>
      <c r="BCT109" s="8" t="s">
        <v>81</v>
      </c>
      <c r="BEP109" s="8" t="s">
        <v>81</v>
      </c>
      <c r="BGL109" s="8" t="s">
        <v>81</v>
      </c>
      <c r="BIH109" s="8" t="s">
        <v>81</v>
      </c>
      <c r="BMX109" s="8" t="s">
        <v>82</v>
      </c>
      <c r="BOF109" s="8" t="s">
        <v>82</v>
      </c>
      <c r="BOT109" s="8" t="s">
        <v>733</v>
      </c>
      <c r="BSL109" s="8" t="s">
        <v>733</v>
      </c>
      <c r="BTD109" s="8" t="s">
        <v>733</v>
      </c>
      <c r="BUZ109" s="8" t="s">
        <v>733</v>
      </c>
      <c r="CNK109" s="8" t="s">
        <v>4705</v>
      </c>
      <c r="CNP109" s="8" t="s">
        <v>2658</v>
      </c>
      <c r="CPG109" s="8" t="s">
        <v>4705</v>
      </c>
      <c r="CPH109" s="8" t="s">
        <v>4705</v>
      </c>
      <c r="CPL109" s="8" t="s">
        <v>2284</v>
      </c>
      <c r="DBE109" s="8" t="s">
        <v>88</v>
      </c>
      <c r="DGB109" s="8" t="s">
        <v>4289</v>
      </c>
      <c r="DKW109" s="8" t="s">
        <v>5416</v>
      </c>
      <c r="DKX109" s="8" t="s">
        <v>5416</v>
      </c>
      <c r="DMR109" s="8" t="s">
        <v>4712</v>
      </c>
      <c r="DMS109" s="8" t="s">
        <v>4712</v>
      </c>
      <c r="DMT109" s="8" t="s">
        <v>4712</v>
      </c>
      <c r="DNL109" s="8" t="s">
        <v>6174</v>
      </c>
      <c r="DWR109" s="8" t="s">
        <v>4289</v>
      </c>
      <c r="DYN109" s="8" t="s">
        <v>3914</v>
      </c>
      <c r="EAJ109" s="8" t="s">
        <v>3540</v>
      </c>
      <c r="ECF109" s="8" t="s">
        <v>3051</v>
      </c>
      <c r="EEB109" s="8" t="s">
        <v>3052</v>
      </c>
      <c r="EED109" s="8" t="s">
        <v>4715</v>
      </c>
      <c r="EEE109" s="8" t="s">
        <v>4715</v>
      </c>
    </row>
    <row r="110" spans="1:293 1352:2024 2058:3066 3080:3848 4136:4136">
      <c r="A110" s="8" t="s">
        <v>1291</v>
      </c>
      <c r="B110" s="10" t="s">
        <v>13807</v>
      </c>
      <c r="C110" s="8">
        <v>145</v>
      </c>
      <c r="D110" s="15">
        <v>32.31</v>
      </c>
      <c r="GC110" s="8" t="s">
        <v>13807</v>
      </c>
      <c r="AZZ110" s="8" t="s">
        <v>1419</v>
      </c>
      <c r="BDR110" s="8" t="s">
        <v>82</v>
      </c>
      <c r="BFN110" s="8" t="s">
        <v>82</v>
      </c>
      <c r="BHJ110" s="8" t="s">
        <v>82</v>
      </c>
      <c r="BJF110" s="8" t="s">
        <v>82</v>
      </c>
      <c r="BPL110" s="8" t="s">
        <v>83</v>
      </c>
      <c r="BTH110" s="8" t="s">
        <v>734</v>
      </c>
      <c r="BUZ110" s="8" t="s">
        <v>734</v>
      </c>
      <c r="BVD110" s="8" t="s">
        <v>734</v>
      </c>
      <c r="BVQ110" s="8" t="s">
        <v>83</v>
      </c>
      <c r="CNP110" s="8" t="s">
        <v>4706</v>
      </c>
      <c r="CPL110" s="8" t="s">
        <v>4706</v>
      </c>
      <c r="CPM110" s="8" t="s">
        <v>4706</v>
      </c>
      <c r="CRH110" s="8" t="s">
        <v>2285</v>
      </c>
      <c r="DBV110" s="8" t="s">
        <v>89</v>
      </c>
      <c r="DMX110" s="8" t="s">
        <v>5417</v>
      </c>
      <c r="DNM110" s="8" t="s">
        <v>4290</v>
      </c>
      <c r="DOR110" s="8" t="s">
        <v>4713</v>
      </c>
      <c r="DOT110" s="8" t="s">
        <v>4713</v>
      </c>
      <c r="DUW110" s="8" t="s">
        <v>6175</v>
      </c>
      <c r="EEB110" s="8" t="s">
        <v>3052</v>
      </c>
      <c r="EEC110" s="8" t="s">
        <v>4290</v>
      </c>
      <c r="EFX110" s="8" t="s">
        <v>4716</v>
      </c>
      <c r="EFY110" s="8" t="s">
        <v>4716</v>
      </c>
      <c r="EHU110" s="8" t="s">
        <v>3541</v>
      </c>
      <c r="ELM110" s="8" t="s">
        <v>3053</v>
      </c>
    </row>
    <row r="111" spans="1:293 1352:2024 2058:3066 3080:3848 4136:4136">
      <c r="A111" s="8" t="s">
        <v>1291</v>
      </c>
      <c r="B111" s="10" t="s">
        <v>13808</v>
      </c>
      <c r="C111" s="8">
        <v>178.31</v>
      </c>
      <c r="D111" s="15">
        <v>32.31</v>
      </c>
      <c r="HK111" s="8" t="s">
        <v>13808</v>
      </c>
      <c r="BAA111" s="8" t="s">
        <v>1851</v>
      </c>
      <c r="BBW111" s="8" t="s">
        <v>1420</v>
      </c>
      <c r="BFO111" s="8" t="s">
        <v>1311</v>
      </c>
      <c r="BGX111" s="8" t="s">
        <v>84</v>
      </c>
      <c r="BHK111" s="8" t="s">
        <v>1311</v>
      </c>
      <c r="BIF111" s="8" t="s">
        <v>735</v>
      </c>
      <c r="BJG111" s="8" t="s">
        <v>1311</v>
      </c>
      <c r="BLC111" s="8" t="s">
        <v>1311</v>
      </c>
      <c r="BPP111" s="8" t="s">
        <v>84</v>
      </c>
      <c r="BVD111" s="8" t="s">
        <v>735</v>
      </c>
      <c r="CFC111" s="8" t="s">
        <v>735</v>
      </c>
      <c r="CGY111" s="8" t="s">
        <v>735</v>
      </c>
      <c r="CRH111" s="8" t="s">
        <v>2659</v>
      </c>
      <c r="CTD111" s="8" t="s">
        <v>2286</v>
      </c>
      <c r="CVE111" s="8" t="s">
        <v>4707</v>
      </c>
      <c r="CVF111" s="8" t="s">
        <v>4707</v>
      </c>
      <c r="CXA111" s="8" t="s">
        <v>4707</v>
      </c>
      <c r="CXB111" s="8" t="s">
        <v>4707</v>
      </c>
      <c r="DCL111" s="8" t="s">
        <v>90</v>
      </c>
      <c r="DNN111" s="8" t="s">
        <v>5418</v>
      </c>
      <c r="DNO111" s="8" t="s">
        <v>5418</v>
      </c>
      <c r="DPI111" s="8" t="s">
        <v>4714</v>
      </c>
      <c r="DPJ111" s="8" t="s">
        <v>4714</v>
      </c>
      <c r="DPK111" s="8" t="s">
        <v>4714</v>
      </c>
      <c r="DPW111" s="8" t="s">
        <v>4291</v>
      </c>
      <c r="DXG111" s="8" t="s">
        <v>6176</v>
      </c>
      <c r="EGM111" s="8" t="s">
        <v>4291</v>
      </c>
      <c r="EII111" s="8" t="s">
        <v>3915</v>
      </c>
      <c r="EKE111" s="8" t="s">
        <v>3542</v>
      </c>
      <c r="ELM111" s="8" t="s">
        <v>3053</v>
      </c>
      <c r="ENI111" s="8" t="s">
        <v>3053</v>
      </c>
      <c r="ENW111" s="8" t="s">
        <v>3054</v>
      </c>
    </row>
    <row r="112" spans="1:293 1352:2024 2058:3066 3080:3848 4136:4136">
      <c r="A112" s="8" t="s">
        <v>1291</v>
      </c>
      <c r="B112" s="10" t="s">
        <v>13809</v>
      </c>
      <c r="C112" s="8">
        <v>252.55</v>
      </c>
      <c r="D112" s="15">
        <v>32.31</v>
      </c>
      <c r="KG112" s="8" t="s">
        <v>13809</v>
      </c>
      <c r="BAR112" s="19" t="s">
        <v>1852</v>
      </c>
      <c r="BCN112" s="8" t="s">
        <v>1421</v>
      </c>
      <c r="BGF112" s="8" t="s">
        <v>83</v>
      </c>
      <c r="BIB112" s="8" t="s">
        <v>83</v>
      </c>
      <c r="BJX112" s="8" t="s">
        <v>83</v>
      </c>
      <c r="BLT112" s="8" t="s">
        <v>83</v>
      </c>
      <c r="CBK112" s="8" t="s">
        <v>85</v>
      </c>
      <c r="CFK112" s="8" t="s">
        <v>736</v>
      </c>
      <c r="CGY112" s="8" t="s">
        <v>736</v>
      </c>
      <c r="CHG112" s="8" t="s">
        <v>736</v>
      </c>
      <c r="CTD112" s="8" t="s">
        <v>2660</v>
      </c>
      <c r="CUZ112" s="8" t="s">
        <v>2287</v>
      </c>
      <c r="CWX112" s="8" t="s">
        <v>4708</v>
      </c>
      <c r="CWY112" s="8" t="s">
        <v>4708</v>
      </c>
      <c r="CYT112" s="8" t="s">
        <v>4708</v>
      </c>
      <c r="CYU112" s="8" t="s">
        <v>4708</v>
      </c>
      <c r="DGS112" s="8" t="s">
        <v>91</v>
      </c>
      <c r="DSZ112" s="8" t="s">
        <v>4292</v>
      </c>
      <c r="EAJ112" s="8" t="s">
        <v>6177</v>
      </c>
      <c r="EAL112" s="8" t="s">
        <v>5419</v>
      </c>
      <c r="EAM112" s="8" t="s">
        <v>5419</v>
      </c>
      <c r="ECG112" s="8" t="s">
        <v>4715</v>
      </c>
      <c r="ECH112" s="8" t="s">
        <v>4715</v>
      </c>
      <c r="ECI112" s="8" t="s">
        <v>4715</v>
      </c>
      <c r="EJP112" s="8" t="s">
        <v>4292</v>
      </c>
      <c r="ELL112" s="8" t="s">
        <v>3916</v>
      </c>
      <c r="ENH112" s="8" t="s">
        <v>3543</v>
      </c>
      <c r="ENW112" s="8" t="s">
        <v>3054</v>
      </c>
      <c r="EPS112" s="8" t="s">
        <v>3054</v>
      </c>
      <c r="EQZ112" s="8" t="s">
        <v>3055</v>
      </c>
    </row>
    <row r="113" spans="1:1012 1028:2026 2072:3067 3080:4069 4122:4376" s="9" customFormat="1">
      <c r="A113" s="9" t="s">
        <v>1291</v>
      </c>
      <c r="B113" s="16" t="s">
        <v>13810</v>
      </c>
      <c r="C113" s="9">
        <v>252.55</v>
      </c>
      <c r="D113" s="15">
        <v>32.31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P113" s="18"/>
      <c r="KF113" s="20"/>
      <c r="KG113" s="9" t="s">
        <v>13810</v>
      </c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1853</v>
      </c>
      <c r="BCR113" s="9" t="s">
        <v>1422</v>
      </c>
      <c r="BGJ113" s="9" t="s">
        <v>84</v>
      </c>
      <c r="BIF113" s="9" t="s">
        <v>84</v>
      </c>
      <c r="BKB113" s="9" t="s">
        <v>84</v>
      </c>
      <c r="BLX113" s="9" t="s">
        <v>84</v>
      </c>
      <c r="CBS113" s="9" t="s">
        <v>86</v>
      </c>
      <c r="CGH113" s="9" t="s">
        <v>737</v>
      </c>
      <c r="CHG113" s="9" t="s">
        <v>737</v>
      </c>
      <c r="CHW113" s="9" t="s">
        <v>86</v>
      </c>
      <c r="CID113" s="9" t="s">
        <v>737</v>
      </c>
      <c r="CTD113" s="9" t="s">
        <v>2661</v>
      </c>
      <c r="CUZ113" s="9" t="s">
        <v>2288</v>
      </c>
      <c r="DHJ113" s="9" t="s">
        <v>92</v>
      </c>
      <c r="DJV113" s="9" t="s">
        <v>4709</v>
      </c>
      <c r="DJW113" s="9" t="s">
        <v>4709</v>
      </c>
      <c r="DLR113" s="9" t="s">
        <v>4709</v>
      </c>
      <c r="DLS113" s="9" t="s">
        <v>4709</v>
      </c>
      <c r="ECF113" s="9" t="s">
        <v>5420</v>
      </c>
      <c r="EEA113" s="9" t="s">
        <v>4716</v>
      </c>
      <c r="EEB113" s="9" t="s">
        <v>4716</v>
      </c>
      <c r="EEC113" s="9" t="s">
        <v>4716</v>
      </c>
      <c r="ELL113" s="9" t="s">
        <v>4293</v>
      </c>
      <c r="EQZ113" s="9" t="s">
        <v>3055</v>
      </c>
      <c r="ESV113" s="9" t="s">
        <v>6178</v>
      </c>
      <c r="FCB113" s="9" t="s">
        <v>4293</v>
      </c>
      <c r="FDX113" s="9" t="s">
        <v>3917</v>
      </c>
      <c r="FFT113" s="9" t="s">
        <v>3544</v>
      </c>
      <c r="FJL113" s="9" t="s">
        <v>3056</v>
      </c>
    </row>
    <row r="114" spans="1:1012 1028:2026 2072:3067 3080:4069 4122:4376">
      <c r="A114" s="8" t="s">
        <v>1291</v>
      </c>
      <c r="B114" s="10" t="s">
        <v>13811</v>
      </c>
      <c r="C114" s="8">
        <v>319.18</v>
      </c>
      <c r="D114" s="15">
        <v>21.57</v>
      </c>
      <c r="MK114" s="8" t="s">
        <v>13811</v>
      </c>
      <c r="BMQ114" s="8" t="s">
        <v>1854</v>
      </c>
      <c r="BOM114" s="8" t="s">
        <v>1423</v>
      </c>
      <c r="BSE114" s="8" t="s">
        <v>85</v>
      </c>
      <c r="BUA114" s="8" t="s">
        <v>85</v>
      </c>
      <c r="BVW114" s="8" t="s">
        <v>85</v>
      </c>
      <c r="BXS114" s="8" t="s">
        <v>85</v>
      </c>
      <c r="CAR114" s="8" t="s">
        <v>87</v>
      </c>
      <c r="CAT114" s="8" t="s">
        <v>738</v>
      </c>
      <c r="CCP114" s="8" t="s">
        <v>87</v>
      </c>
      <c r="CID114" s="8" t="s">
        <v>738</v>
      </c>
      <c r="CNP114" s="8" t="s">
        <v>738</v>
      </c>
      <c r="CPL114" s="8" t="s">
        <v>738</v>
      </c>
      <c r="DHX114" s="8" t="s">
        <v>2662</v>
      </c>
      <c r="DHZ114" s="8" t="s">
        <v>93</v>
      </c>
      <c r="DJT114" s="8" t="s">
        <v>2289</v>
      </c>
      <c r="DKJ114" s="8" t="s">
        <v>4710</v>
      </c>
      <c r="DME114" s="8" t="s">
        <v>4710</v>
      </c>
      <c r="DMF114" s="8" t="s">
        <v>4710</v>
      </c>
      <c r="FJL114" s="8" t="s">
        <v>3056</v>
      </c>
      <c r="FLH114" s="8" t="s">
        <v>3056</v>
      </c>
    </row>
    <row r="115" spans="1:1012 1028:2026 2072:3067 3080:4069 4122:4376">
      <c r="A115" s="8" t="s">
        <v>1291</v>
      </c>
      <c r="B115" s="10" t="s">
        <v>13812</v>
      </c>
      <c r="C115" s="8">
        <v>341.75</v>
      </c>
      <c r="D115" s="15">
        <v>32.31</v>
      </c>
      <c r="NR115" s="8" t="s">
        <v>13812</v>
      </c>
      <c r="BMY115" s="8" t="s">
        <v>1855</v>
      </c>
      <c r="BOU115" s="8" t="s">
        <v>1424</v>
      </c>
      <c r="BSM115" s="8" t="s">
        <v>86</v>
      </c>
      <c r="BUI115" s="8" t="s">
        <v>86</v>
      </c>
      <c r="BWE115" s="8" t="s">
        <v>86</v>
      </c>
      <c r="BYA115" s="8" t="s">
        <v>86</v>
      </c>
      <c r="CBQ115" s="8" t="s">
        <v>88</v>
      </c>
      <c r="CCN115" s="8" t="s">
        <v>739</v>
      </c>
      <c r="CJX115" s="8" t="s">
        <v>88</v>
      </c>
      <c r="CPL115" s="8" t="s">
        <v>739</v>
      </c>
      <c r="CZI115" s="8" t="s">
        <v>739</v>
      </c>
      <c r="DBE115" s="8" t="s">
        <v>739</v>
      </c>
      <c r="DLB115" s="8" t="s">
        <v>4711</v>
      </c>
      <c r="DMX115" s="8" t="s">
        <v>4711</v>
      </c>
      <c r="DMY115" s="8" t="s">
        <v>4711</v>
      </c>
      <c r="DRF115" s="8" t="s">
        <v>94</v>
      </c>
      <c r="EFX115" s="8" t="s">
        <v>2663</v>
      </c>
      <c r="EHT115" s="8" t="s">
        <v>2290</v>
      </c>
    </row>
    <row r="116" spans="1:1012 1028:2026 2072:3067 3080:4069 4122:4376">
      <c r="A116" s="8" t="s">
        <v>1291</v>
      </c>
      <c r="B116" s="10" t="s">
        <v>13813</v>
      </c>
      <c r="C116" s="8">
        <v>375.06</v>
      </c>
      <c r="D116" s="15">
        <v>32.31</v>
      </c>
      <c r="OY116" s="8" t="s">
        <v>13813</v>
      </c>
      <c r="AZH116" s="8" t="s">
        <v>740</v>
      </c>
      <c r="BNV116" s="8" t="s">
        <v>1856</v>
      </c>
      <c r="BPR116" s="8" t="s">
        <v>1425</v>
      </c>
      <c r="BTJ116" s="8" t="s">
        <v>87</v>
      </c>
      <c r="BVF116" s="8" t="s">
        <v>87</v>
      </c>
      <c r="BXB116" s="8" t="s">
        <v>87</v>
      </c>
      <c r="BYX116" s="8" t="s">
        <v>87</v>
      </c>
      <c r="CVQ116" s="8" t="s">
        <v>89</v>
      </c>
      <c r="CZZ116" s="8" t="s">
        <v>740</v>
      </c>
      <c r="DBE116" s="8" t="s">
        <v>740</v>
      </c>
      <c r="DBN116" s="8" t="s">
        <v>89</v>
      </c>
      <c r="DBV116" s="8" t="s">
        <v>740</v>
      </c>
      <c r="DSG116" s="8" t="s">
        <v>4712</v>
      </c>
      <c r="DSZ116" s="8" t="s">
        <v>95</v>
      </c>
      <c r="DUC116" s="8" t="s">
        <v>4712</v>
      </c>
      <c r="DUD116" s="8" t="s">
        <v>4712</v>
      </c>
      <c r="EPE116" s="8" t="s">
        <v>2664</v>
      </c>
      <c r="ERA116" s="8" t="s">
        <v>2291</v>
      </c>
    </row>
    <row r="117" spans="1:1012 1028:2026 2072:3067 3080:4069 4122:4376">
      <c r="A117" s="8" t="s">
        <v>1291</v>
      </c>
      <c r="B117" s="10" t="s">
        <v>13814</v>
      </c>
      <c r="C117" s="8">
        <v>625</v>
      </c>
      <c r="D117" s="15">
        <v>24.24</v>
      </c>
      <c r="YG117" s="8" t="s">
        <v>13814</v>
      </c>
      <c r="AZQ117" s="8" t="s">
        <v>741</v>
      </c>
      <c r="BVD117" s="8" t="s">
        <v>1857</v>
      </c>
      <c r="BWZ117" s="8" t="s">
        <v>1426</v>
      </c>
      <c r="CAR117" s="8" t="s">
        <v>88</v>
      </c>
      <c r="CCN117" s="8" t="s">
        <v>88</v>
      </c>
      <c r="CEJ117" s="8" t="s">
        <v>88</v>
      </c>
      <c r="CGF117" s="8" t="s">
        <v>88</v>
      </c>
      <c r="CWH117" s="8" t="s">
        <v>90</v>
      </c>
      <c r="DAP117" s="8" t="s">
        <v>741</v>
      </c>
      <c r="DBV117" s="8" t="s">
        <v>741</v>
      </c>
      <c r="DCL117" s="8" t="s">
        <v>741</v>
      </c>
      <c r="DUE117" s="8" t="s">
        <v>96</v>
      </c>
      <c r="DUH117" s="8" t="s">
        <v>4713</v>
      </c>
      <c r="DWC117" s="8" t="s">
        <v>4713</v>
      </c>
      <c r="DWD117" s="8" t="s">
        <v>4713</v>
      </c>
      <c r="ERO117" s="8" t="s">
        <v>2665</v>
      </c>
      <c r="ETK117" s="8" t="s">
        <v>2292</v>
      </c>
    </row>
    <row r="118" spans="1:1012 1028:2026 2072:3067 3080:4069 4122:4376">
      <c r="A118" s="8" t="s">
        <v>1291</v>
      </c>
      <c r="B118" s="10" t="s">
        <v>10518</v>
      </c>
      <c r="C118" s="8">
        <v>650.23</v>
      </c>
      <c r="D118" s="15">
        <v>15.69</v>
      </c>
      <c r="YX118" s="8" t="s">
        <v>10518</v>
      </c>
      <c r="AZA118" s="8" t="s">
        <v>91</v>
      </c>
      <c r="AZY118" s="8" t="s">
        <v>742</v>
      </c>
      <c r="CGW118" s="8" t="s">
        <v>1858</v>
      </c>
      <c r="CIS118" s="8" t="s">
        <v>1427</v>
      </c>
      <c r="CMK118" s="8" t="s">
        <v>89</v>
      </c>
      <c r="COG118" s="8" t="s">
        <v>89</v>
      </c>
      <c r="CQC118" s="8" t="s">
        <v>89</v>
      </c>
      <c r="CRY118" s="8" t="s">
        <v>89</v>
      </c>
      <c r="CVT118" s="8" t="s">
        <v>91</v>
      </c>
      <c r="CWX118" s="8" t="s">
        <v>91</v>
      </c>
      <c r="DCL118" s="8" t="s">
        <v>742</v>
      </c>
      <c r="DEW118" s="8" t="s">
        <v>742</v>
      </c>
      <c r="DGS118" s="8" t="s">
        <v>742</v>
      </c>
      <c r="DUV118" s="8" t="s">
        <v>97</v>
      </c>
      <c r="DUX118" s="8" t="s">
        <v>4714</v>
      </c>
      <c r="DUY118" s="8" t="s">
        <v>4714</v>
      </c>
      <c r="DWT118" s="8" t="s">
        <v>4714</v>
      </c>
      <c r="DWU118" s="8" t="s">
        <v>4714</v>
      </c>
      <c r="ESV118" s="8" t="s">
        <v>2666</v>
      </c>
      <c r="EUR118" s="8" t="s">
        <v>2293</v>
      </c>
    </row>
    <row r="119" spans="1:1012 1028:2026 2072:3067 3080:4069 4122:4376">
      <c r="A119" s="8" t="s">
        <v>1291</v>
      </c>
      <c r="B119" s="10" t="s">
        <v>10519</v>
      </c>
      <c r="C119" s="8">
        <v>666.92</v>
      </c>
      <c r="D119" s="15">
        <v>15.69</v>
      </c>
      <c r="ZO119" s="8" t="s">
        <v>10519</v>
      </c>
      <c r="BAF119" s="8" t="s">
        <v>92</v>
      </c>
      <c r="BBD119" s="8" t="s">
        <v>92</v>
      </c>
      <c r="BCB119" s="8" t="s">
        <v>743</v>
      </c>
      <c r="CHN119" s="8" t="s">
        <v>1859</v>
      </c>
      <c r="CJJ119" s="8" t="s">
        <v>1428</v>
      </c>
      <c r="CNB119" s="8" t="s">
        <v>90</v>
      </c>
      <c r="COX119" s="8" t="s">
        <v>90</v>
      </c>
      <c r="CQT119" s="8" t="s">
        <v>90</v>
      </c>
      <c r="CSP119" s="8" t="s">
        <v>90</v>
      </c>
      <c r="DBE119" s="8" t="s">
        <v>92</v>
      </c>
      <c r="DFN119" s="8" t="s">
        <v>743</v>
      </c>
      <c r="DGS119" s="8" t="s">
        <v>743</v>
      </c>
      <c r="DHG119" s="8" t="s">
        <v>92</v>
      </c>
      <c r="DHJ119" s="8" t="s">
        <v>743</v>
      </c>
      <c r="ECK119" s="8" t="s">
        <v>98</v>
      </c>
      <c r="EHV119" s="8" t="s">
        <v>4715</v>
      </c>
      <c r="EHW119" s="8" t="s">
        <v>4715</v>
      </c>
      <c r="EJR119" s="8" t="s">
        <v>4715</v>
      </c>
      <c r="EJS119" s="8" t="s">
        <v>4715</v>
      </c>
      <c r="EUR119" s="8" t="s">
        <v>2667</v>
      </c>
      <c r="EWN119" s="8" t="s">
        <v>2294</v>
      </c>
    </row>
    <row r="120" spans="1:1012 1028:2026 2072:3067 3080:4069 4122:4376">
      <c r="A120" s="8" t="s">
        <v>1291</v>
      </c>
      <c r="B120" s="10" t="s">
        <v>13815</v>
      </c>
      <c r="C120" s="8">
        <v>683.61</v>
      </c>
      <c r="D120" s="15">
        <v>32.31</v>
      </c>
      <c r="AAV120" s="19" t="s">
        <v>13815</v>
      </c>
      <c r="BAO120" s="8" t="s">
        <v>93</v>
      </c>
      <c r="BBM120" s="8" t="s">
        <v>93</v>
      </c>
      <c r="BCK120" s="8" t="s">
        <v>744</v>
      </c>
      <c r="CID120" s="8" t="s">
        <v>1860</v>
      </c>
      <c r="CJZ120" s="8" t="s">
        <v>1429</v>
      </c>
      <c r="CNR120" s="8" t="s">
        <v>91</v>
      </c>
      <c r="CPN120" s="8" t="s">
        <v>91</v>
      </c>
      <c r="CRJ120" s="8" t="s">
        <v>91</v>
      </c>
      <c r="CTF120" s="8" t="s">
        <v>91</v>
      </c>
      <c r="DBV120" s="8" t="s">
        <v>93</v>
      </c>
      <c r="DGD120" s="8" t="s">
        <v>744</v>
      </c>
      <c r="DHJ120" s="8" t="s">
        <v>744</v>
      </c>
      <c r="DHZ120" s="8" t="s">
        <v>744</v>
      </c>
      <c r="EED120" s="8" t="s">
        <v>99</v>
      </c>
      <c r="EJP120" s="8" t="s">
        <v>4716</v>
      </c>
      <c r="EJQ120" s="8" t="s">
        <v>4716</v>
      </c>
      <c r="ELL120" s="8" t="s">
        <v>4716</v>
      </c>
      <c r="ELM120" s="8" t="s">
        <v>4716</v>
      </c>
    </row>
    <row r="121" spans="1:1012 1028:2026 2072:3067 3080:4069 4122:4376">
      <c r="A121" s="8" t="s">
        <v>1291</v>
      </c>
      <c r="B121" s="10" t="s">
        <v>10520</v>
      </c>
      <c r="C121" s="8">
        <v>716.92</v>
      </c>
      <c r="D121" s="15">
        <v>20.39</v>
      </c>
      <c r="ABQ121" s="8" t="s">
        <v>10520</v>
      </c>
      <c r="BAW121" s="8" t="s">
        <v>94</v>
      </c>
      <c r="BBU121" s="8" t="s">
        <v>94</v>
      </c>
      <c r="BCS121" s="8" t="s">
        <v>745</v>
      </c>
      <c r="CMK121" s="8" t="s">
        <v>1861</v>
      </c>
      <c r="COG121" s="8" t="s">
        <v>1430</v>
      </c>
      <c r="CRY121" s="8" t="s">
        <v>92</v>
      </c>
      <c r="CTU121" s="8" t="s">
        <v>92</v>
      </c>
      <c r="CVQ121" s="8" t="s">
        <v>92</v>
      </c>
      <c r="CXM121" s="8" t="s">
        <v>92</v>
      </c>
      <c r="CYT121" s="8" t="s">
        <v>745</v>
      </c>
      <c r="DCL121" s="8" t="s">
        <v>94</v>
      </c>
      <c r="DHZ121" s="8" t="s">
        <v>745</v>
      </c>
      <c r="DPJ121" s="8" t="s">
        <v>745</v>
      </c>
      <c r="DRF121" s="8" t="s">
        <v>745</v>
      </c>
      <c r="EJP121" s="8" t="s">
        <v>100</v>
      </c>
    </row>
    <row r="122" spans="1:1012 1028:2026 2072:3067 3080:4069 4122:4376">
      <c r="A122" s="8" t="s">
        <v>1291</v>
      </c>
      <c r="B122" s="10" t="s">
        <v>10521</v>
      </c>
      <c r="C122" s="8">
        <v>738.31</v>
      </c>
      <c r="D122" s="15">
        <v>8.48</v>
      </c>
      <c r="ACA122" s="8" t="s">
        <v>10521</v>
      </c>
      <c r="BFM122" s="8" t="s">
        <v>95</v>
      </c>
      <c r="BGK122" s="8" t="s">
        <v>95</v>
      </c>
      <c r="BHI122" s="8" t="s">
        <v>746</v>
      </c>
      <c r="CNB122" s="8" t="s">
        <v>1862</v>
      </c>
      <c r="COX122" s="8" t="s">
        <v>1431</v>
      </c>
      <c r="CSP122" s="8" t="s">
        <v>93</v>
      </c>
      <c r="CUL122" s="8" t="s">
        <v>93</v>
      </c>
      <c r="CWH122" s="8" t="s">
        <v>93</v>
      </c>
      <c r="CYD122" s="8" t="s">
        <v>93</v>
      </c>
      <c r="DLR122" s="8" t="s">
        <v>95</v>
      </c>
      <c r="DPJ122" s="8" t="s">
        <v>746</v>
      </c>
      <c r="DPP122" s="8" t="s">
        <v>95</v>
      </c>
      <c r="DRD122" s="8" t="s">
        <v>746</v>
      </c>
      <c r="DRF122" s="8" t="s">
        <v>746</v>
      </c>
      <c r="DSZ122" s="8" t="s">
        <v>746</v>
      </c>
      <c r="ERB122" s="8" t="s">
        <v>101</v>
      </c>
    </row>
    <row r="123" spans="1:1012 1028:2026 2072:3067 3080:4069 4122:4376">
      <c r="A123" s="8" t="s">
        <v>1291</v>
      </c>
      <c r="B123" s="10" t="s">
        <v>13816</v>
      </c>
      <c r="C123" s="8">
        <v>747.8</v>
      </c>
      <c r="D123" s="15">
        <v>7.84</v>
      </c>
      <c r="ACJ123" s="8" t="s">
        <v>13816</v>
      </c>
      <c r="BGJ123" s="8" t="s">
        <v>96</v>
      </c>
      <c r="BHH123" s="8" t="s">
        <v>96</v>
      </c>
      <c r="BIF123" s="8" t="s">
        <v>747</v>
      </c>
      <c r="CNR123" s="8" t="s">
        <v>1863</v>
      </c>
      <c r="CPN123" s="8" t="s">
        <v>1432</v>
      </c>
      <c r="CTF123" s="8" t="s">
        <v>94</v>
      </c>
      <c r="CVB123" s="8" t="s">
        <v>94</v>
      </c>
      <c r="CWX123" s="8" t="s">
        <v>94</v>
      </c>
      <c r="CYT123" s="8" t="s">
        <v>94</v>
      </c>
      <c r="DNL123" s="8" t="s">
        <v>96</v>
      </c>
      <c r="DQM123" s="8" t="s">
        <v>96</v>
      </c>
      <c r="DRD123" s="8" t="s">
        <v>747</v>
      </c>
      <c r="DSI123" s="8" t="s">
        <v>747</v>
      </c>
      <c r="DSZ123" s="8" t="s">
        <v>747</v>
      </c>
      <c r="DUE123" s="8" t="s">
        <v>747</v>
      </c>
      <c r="EZM123" s="8" t="s">
        <v>102</v>
      </c>
    </row>
    <row r="124" spans="1:1012 1028:2026 2072:3067 3080:4069 4122:4376">
      <c r="A124" s="8" t="s">
        <v>1291</v>
      </c>
      <c r="B124" s="10" t="s">
        <v>10522</v>
      </c>
      <c r="C124" s="8">
        <v>756.64</v>
      </c>
      <c r="D124" s="15">
        <v>32.31</v>
      </c>
      <c r="ADQ124" s="8" t="s">
        <v>10522</v>
      </c>
      <c r="BGZ124" s="8" t="s">
        <v>97</v>
      </c>
      <c r="BHX124" s="8" t="s">
        <v>97</v>
      </c>
      <c r="BIV124" s="8" t="s">
        <v>748</v>
      </c>
      <c r="CWX124" s="8" t="s">
        <v>1864</v>
      </c>
      <c r="CYT124" s="8" t="s">
        <v>1433</v>
      </c>
      <c r="DCL124" s="8" t="s">
        <v>95</v>
      </c>
      <c r="DEH124" s="8" t="s">
        <v>95</v>
      </c>
      <c r="DGD124" s="8" t="s">
        <v>95</v>
      </c>
      <c r="DHZ124" s="8" t="s">
        <v>95</v>
      </c>
      <c r="DOQ124" s="8" t="s">
        <v>97</v>
      </c>
      <c r="DSZ124" s="8" t="s">
        <v>748</v>
      </c>
      <c r="DUE124" s="8" t="s">
        <v>748</v>
      </c>
      <c r="DUN124" s="8" t="s">
        <v>97</v>
      </c>
      <c r="DUV124" s="8" t="s">
        <v>748</v>
      </c>
      <c r="FBN124" s="8" t="s">
        <v>103</v>
      </c>
    </row>
    <row r="125" spans="1:1012 1028:2026 2072:3067 3080:4069 4122:4376">
      <c r="A125" s="8" t="s">
        <v>1291</v>
      </c>
      <c r="B125" s="10" t="s">
        <v>10523</v>
      </c>
      <c r="C125" s="8">
        <v>789.95</v>
      </c>
      <c r="D125" s="15">
        <v>15.69</v>
      </c>
      <c r="AEH125" s="8" t="s">
        <v>10523</v>
      </c>
      <c r="BHH125" s="8" t="s">
        <v>98</v>
      </c>
      <c r="BIF125" s="8" t="s">
        <v>98</v>
      </c>
      <c r="BJD125" s="8" t="s">
        <v>749</v>
      </c>
      <c r="CYR125" s="8" t="s">
        <v>1865</v>
      </c>
      <c r="DAN125" s="8" t="s">
        <v>1434</v>
      </c>
      <c r="DEF125" s="8" t="s">
        <v>96</v>
      </c>
      <c r="DGB125" s="8" t="s">
        <v>96</v>
      </c>
      <c r="DHX125" s="8" t="s">
        <v>96</v>
      </c>
      <c r="DJT125" s="8" t="s">
        <v>96</v>
      </c>
      <c r="DMX125" s="8" t="s">
        <v>98</v>
      </c>
      <c r="DNL125" s="8" t="s">
        <v>749</v>
      </c>
      <c r="DPH125" s="8" t="s">
        <v>98</v>
      </c>
      <c r="DUV125" s="8" t="s">
        <v>749</v>
      </c>
      <c r="EAO125" s="8" t="s">
        <v>749</v>
      </c>
      <c r="ECK125" s="8" t="s">
        <v>749</v>
      </c>
      <c r="FCD125" s="8" t="s">
        <v>104</v>
      </c>
    </row>
    <row r="126" spans="1:1012 1028:2026 2072:3067 3080:4069 4122:4376">
      <c r="A126" s="8" t="s">
        <v>1291</v>
      </c>
      <c r="B126" s="10" t="s">
        <v>10524</v>
      </c>
      <c r="C126" s="8">
        <v>806.64</v>
      </c>
      <c r="D126" s="15">
        <v>7.84</v>
      </c>
      <c r="AEP126" s="8" t="s">
        <v>10524</v>
      </c>
      <c r="BAA126" s="8" t="s">
        <v>1308</v>
      </c>
      <c r="BLC126" s="8" t="s">
        <v>99</v>
      </c>
      <c r="BMA126" s="8" t="s">
        <v>99</v>
      </c>
      <c r="BMY126" s="8" t="s">
        <v>750</v>
      </c>
      <c r="CZW126" s="8" t="s">
        <v>1866</v>
      </c>
      <c r="DBS126" s="8" t="s">
        <v>1435</v>
      </c>
      <c r="DFK126" s="8" t="s">
        <v>97</v>
      </c>
      <c r="DHG126" s="8" t="s">
        <v>97</v>
      </c>
      <c r="DJC126" s="8" t="s">
        <v>97</v>
      </c>
      <c r="DKY126" s="8" t="s">
        <v>97</v>
      </c>
      <c r="DWW126" s="8" t="s">
        <v>99</v>
      </c>
      <c r="EAO126" s="8" t="s">
        <v>750</v>
      </c>
      <c r="EBE126" s="8" t="s">
        <v>99</v>
      </c>
      <c r="ECH126" s="8" t="s">
        <v>750</v>
      </c>
      <c r="ECK126" s="8" t="s">
        <v>750</v>
      </c>
      <c r="EED126" s="8" t="s">
        <v>750</v>
      </c>
      <c r="FHP126" s="8" t="s">
        <v>105</v>
      </c>
    </row>
    <row r="127" spans="1:1012 1028:2026 2072:3067 3080:4069 4122:4376">
      <c r="A127" s="8" t="s">
        <v>1291</v>
      </c>
      <c r="B127" s="10" t="s">
        <v>13817</v>
      </c>
      <c r="C127" s="8">
        <v>815.48</v>
      </c>
      <c r="D127" s="15">
        <v>16.16</v>
      </c>
      <c r="AFH127" s="8" t="s">
        <v>13817</v>
      </c>
      <c r="BAE127" s="8" t="s">
        <v>1309</v>
      </c>
      <c r="BLY127" s="8" t="s">
        <v>100</v>
      </c>
      <c r="BMW127" s="8" t="s">
        <v>100</v>
      </c>
      <c r="BNU127" s="8" t="s">
        <v>751</v>
      </c>
      <c r="DAN127" s="8" t="s">
        <v>1867</v>
      </c>
      <c r="DCJ127" s="8" t="s">
        <v>1436</v>
      </c>
      <c r="DGB127" s="8" t="s">
        <v>98</v>
      </c>
      <c r="DHX127" s="8" t="s">
        <v>98</v>
      </c>
      <c r="DJT127" s="8" t="s">
        <v>98</v>
      </c>
      <c r="DLP127" s="8" t="s">
        <v>98</v>
      </c>
      <c r="DYP127" s="8" t="s">
        <v>100</v>
      </c>
      <c r="DYQ127" s="8" t="s">
        <v>100</v>
      </c>
      <c r="EED127" s="8" t="s">
        <v>751</v>
      </c>
      <c r="EHT127" s="8" t="s">
        <v>751</v>
      </c>
      <c r="EJP127" s="8" t="s">
        <v>751</v>
      </c>
    </row>
    <row r="128" spans="1:1012 1028:2026 2072:3067 3080:4069 4122:4376">
      <c r="A128" s="8" t="s">
        <v>1291</v>
      </c>
      <c r="B128" s="10" t="s">
        <v>10525</v>
      </c>
      <c r="C128" s="8">
        <v>832.64</v>
      </c>
      <c r="D128" s="15">
        <v>15.69</v>
      </c>
      <c r="AFX128" s="8" t="s">
        <v>10525</v>
      </c>
      <c r="AYZ128" s="8" t="s">
        <v>77</v>
      </c>
      <c r="BAV128" s="8" t="s">
        <v>77</v>
      </c>
      <c r="BOR128" s="8" t="s">
        <v>101</v>
      </c>
      <c r="BPP128" s="8" t="s">
        <v>101</v>
      </c>
      <c r="BQN128" s="8" t="s">
        <v>752</v>
      </c>
      <c r="DIC128" s="8" t="s">
        <v>1868</v>
      </c>
      <c r="DJY128" s="8" t="s">
        <v>1437</v>
      </c>
      <c r="DNQ128" s="8" t="s">
        <v>99</v>
      </c>
      <c r="DPM128" s="8" t="s">
        <v>99</v>
      </c>
      <c r="DRI128" s="8" t="s">
        <v>99</v>
      </c>
      <c r="DTE128" s="8" t="s">
        <v>99</v>
      </c>
      <c r="ECE128" s="8" t="s">
        <v>101</v>
      </c>
      <c r="ECF128" s="8" t="s">
        <v>752</v>
      </c>
      <c r="EEB128" s="8" t="s">
        <v>101</v>
      </c>
      <c r="EJP128" s="8" t="s">
        <v>752</v>
      </c>
      <c r="EPF128" s="8" t="s">
        <v>752</v>
      </c>
      <c r="ERB128" s="8" t="s">
        <v>752</v>
      </c>
    </row>
    <row r="129" spans="1:1002 1030:2043 2049:3034 3128:4090 4122:4280 8736:8744">
      <c r="A129" s="8" t="s">
        <v>1291</v>
      </c>
      <c r="B129" s="10" t="s">
        <v>10526</v>
      </c>
      <c r="C129" s="8">
        <v>849.33</v>
      </c>
      <c r="D129" s="15">
        <v>16.8</v>
      </c>
      <c r="AGP129" s="8" t="s">
        <v>10526</v>
      </c>
      <c r="BFE129" s="8" t="s">
        <v>78</v>
      </c>
      <c r="BHA129" s="8" t="s">
        <v>78</v>
      </c>
      <c r="BSK129" s="8" t="s">
        <v>102</v>
      </c>
      <c r="BTI129" s="8" t="s">
        <v>102</v>
      </c>
      <c r="BUG129" s="8" t="s">
        <v>753</v>
      </c>
      <c r="DJV129" s="8" t="s">
        <v>1869</v>
      </c>
      <c r="DLR129" s="8" t="s">
        <v>1438</v>
      </c>
      <c r="DPJ129" s="8" t="s">
        <v>100</v>
      </c>
      <c r="DRF129" s="8" t="s">
        <v>100</v>
      </c>
      <c r="DTB129" s="8" t="s">
        <v>100</v>
      </c>
      <c r="DUX129" s="8" t="s">
        <v>100</v>
      </c>
      <c r="EHI129" s="8" t="s">
        <v>102</v>
      </c>
      <c r="EHV129" s="8" t="s">
        <v>753</v>
      </c>
      <c r="ELN129" s="8" t="s">
        <v>102</v>
      </c>
      <c r="ERB129" s="8" t="s">
        <v>753</v>
      </c>
      <c r="EXQ129" s="8" t="s">
        <v>753</v>
      </c>
      <c r="EZM129" s="8" t="s">
        <v>753</v>
      </c>
    </row>
    <row r="130" spans="1:1002 1030:2043 2049:3034 3128:4090 4122:4280 8736:8744">
      <c r="A130" s="8" t="s">
        <v>1291</v>
      </c>
      <c r="B130" s="10" t="s">
        <v>13818</v>
      </c>
      <c r="C130" s="8">
        <v>867.13</v>
      </c>
      <c r="D130" s="15">
        <v>16.16</v>
      </c>
      <c r="AHG130" s="8" t="s">
        <v>13818</v>
      </c>
      <c r="BFN130" s="8" t="s">
        <v>79</v>
      </c>
      <c r="BHJ130" s="8" t="s">
        <v>79</v>
      </c>
      <c r="BWQ130" s="8" t="s">
        <v>103</v>
      </c>
      <c r="BXO130" s="8" t="s">
        <v>103</v>
      </c>
      <c r="BYM130" s="8" t="s">
        <v>754</v>
      </c>
      <c r="DPH130" s="8" t="s">
        <v>1870</v>
      </c>
      <c r="DRD130" s="8" t="s">
        <v>1439</v>
      </c>
      <c r="DUV130" s="8" t="s">
        <v>101</v>
      </c>
      <c r="DWR130" s="8" t="s">
        <v>101</v>
      </c>
      <c r="DYN130" s="8" t="s">
        <v>101</v>
      </c>
      <c r="EAJ130" s="8" t="s">
        <v>101</v>
      </c>
      <c r="ETY130" s="8" t="s">
        <v>103</v>
      </c>
      <c r="EXQ130" s="8" t="s">
        <v>754</v>
      </c>
      <c r="EXY130" s="8" t="s">
        <v>103</v>
      </c>
      <c r="EZM130" s="8" t="s">
        <v>754</v>
      </c>
      <c r="EZR130" s="8" t="s">
        <v>754</v>
      </c>
      <c r="FBN130" s="8" t="s">
        <v>754</v>
      </c>
    </row>
    <row r="131" spans="1:1002 1030:2043 2049:3034 3128:4090 4122:4280 8736:8744">
      <c r="A131" s="8" t="s">
        <v>1291</v>
      </c>
      <c r="B131" s="10" t="s">
        <v>10527</v>
      </c>
      <c r="C131" s="8">
        <v>884.29</v>
      </c>
      <c r="D131" s="15">
        <v>15.69</v>
      </c>
      <c r="AHX131" s="8" t="s">
        <v>10527</v>
      </c>
      <c r="BFV131" s="8" t="s">
        <v>80</v>
      </c>
      <c r="BHR131" s="8" t="s">
        <v>80</v>
      </c>
      <c r="BXQ131" s="8" t="s">
        <v>104</v>
      </c>
      <c r="BYO131" s="8" t="s">
        <v>104</v>
      </c>
      <c r="BZM131" s="8" t="s">
        <v>755</v>
      </c>
      <c r="DWT131" s="8" t="s">
        <v>1871</v>
      </c>
      <c r="DYP131" s="8" t="s">
        <v>1440</v>
      </c>
      <c r="ECH131" s="8" t="s">
        <v>102</v>
      </c>
      <c r="EED131" s="8" t="s">
        <v>102</v>
      </c>
      <c r="EFZ131" s="8" t="s">
        <v>102</v>
      </c>
      <c r="EHV131" s="8" t="s">
        <v>102</v>
      </c>
      <c r="EVZ131" s="8" t="s">
        <v>104</v>
      </c>
      <c r="FAH131" s="8" t="s">
        <v>755</v>
      </c>
      <c r="FBN131" s="8" t="s">
        <v>755</v>
      </c>
      <c r="FBS131" s="8" t="s">
        <v>104</v>
      </c>
      <c r="FCD131" s="8" t="s">
        <v>755</v>
      </c>
    </row>
    <row r="132" spans="1:1002 1030:2043 2049:3034 3128:4090 4122:4280 8736:8744">
      <c r="A132" s="8" t="s">
        <v>1291</v>
      </c>
      <c r="B132" s="10" t="s">
        <v>10528</v>
      </c>
      <c r="C132" s="8">
        <v>900.97</v>
      </c>
      <c r="D132" s="15">
        <v>4.71</v>
      </c>
      <c r="AID132" s="8" t="s">
        <v>10528</v>
      </c>
      <c r="BHR132" s="8" t="s">
        <v>1310</v>
      </c>
      <c r="BJN132" s="8" t="s">
        <v>1310</v>
      </c>
      <c r="BXY132" s="8" t="s">
        <v>105</v>
      </c>
      <c r="BYW132" s="8" t="s">
        <v>105</v>
      </c>
      <c r="BZU132" s="8" t="s">
        <v>756</v>
      </c>
      <c r="DXH132" s="8" t="s">
        <v>1872</v>
      </c>
      <c r="DZD132" s="8" t="s">
        <v>1441</v>
      </c>
      <c r="ECV132" s="8" t="s">
        <v>73</v>
      </c>
      <c r="EER132" s="8" t="s">
        <v>73</v>
      </c>
      <c r="EGN132" s="8" t="s">
        <v>73</v>
      </c>
      <c r="EIJ132" s="8" t="s">
        <v>73</v>
      </c>
      <c r="EWP132" s="8" t="s">
        <v>105</v>
      </c>
      <c r="EWY132" s="8" t="s">
        <v>105</v>
      </c>
      <c r="FCD132" s="8" t="s">
        <v>756</v>
      </c>
      <c r="FFT132" s="8" t="s">
        <v>756</v>
      </c>
      <c r="FHP132" s="8" t="s">
        <v>756</v>
      </c>
    </row>
    <row r="133" spans="1:1002 1030:2043 2049:3034 3128:4090 4122:4280 8736:8744">
      <c r="A133" s="8" t="s">
        <v>1291</v>
      </c>
      <c r="B133" s="10" t="s">
        <v>10529</v>
      </c>
      <c r="C133" s="8">
        <v>906.68</v>
      </c>
      <c r="D133" s="15">
        <v>15.69</v>
      </c>
      <c r="AIT133" s="8" t="s">
        <v>10529</v>
      </c>
      <c r="BIH133" s="8" t="s">
        <v>81</v>
      </c>
      <c r="BKD133" s="8" t="s">
        <v>81</v>
      </c>
      <c r="CAR133" s="8" t="s">
        <v>106</v>
      </c>
      <c r="CBP133" s="8" t="s">
        <v>106</v>
      </c>
      <c r="CCN133" s="8" t="s">
        <v>1258</v>
      </c>
      <c r="DXZ133" s="8" t="s">
        <v>1873</v>
      </c>
      <c r="DZV133" s="8" t="s">
        <v>1442</v>
      </c>
      <c r="EDN133" s="8" t="s">
        <v>72</v>
      </c>
      <c r="EFJ133" s="8" t="s">
        <v>72</v>
      </c>
      <c r="EHF133" s="8" t="s">
        <v>72</v>
      </c>
      <c r="EJB133" s="8" t="s">
        <v>72</v>
      </c>
      <c r="FCB133" s="8" t="s">
        <v>106</v>
      </c>
      <c r="FHP133" s="8" t="s">
        <v>1258</v>
      </c>
      <c r="LWZ133" s="8" t="s">
        <v>106</v>
      </c>
      <c r="LXH133" s="8" t="s">
        <v>1258</v>
      </c>
    </row>
    <row r="134" spans="1:1002 1030:2043 2049:3034 3128:4090 4122:4280 8736:8744">
      <c r="A134" s="8" t="s">
        <v>1291</v>
      </c>
      <c r="B134" s="10" t="s">
        <v>10530</v>
      </c>
      <c r="C134" s="8">
        <v>923.36</v>
      </c>
      <c r="D134" s="15">
        <v>8.35</v>
      </c>
      <c r="AJD134" s="8" t="s">
        <v>10530</v>
      </c>
      <c r="BJF134" s="8" t="s">
        <v>82</v>
      </c>
      <c r="BLB134" s="8" t="s">
        <v>82</v>
      </c>
      <c r="EFE134" s="8" t="s">
        <v>1874</v>
      </c>
      <c r="EHA134" s="8" t="s">
        <v>1443</v>
      </c>
      <c r="EKS134" s="8" t="s">
        <v>103</v>
      </c>
      <c r="EMO134" s="8" t="s">
        <v>103</v>
      </c>
      <c r="EOK134" s="8" t="s">
        <v>103</v>
      </c>
      <c r="EQG134" s="8" t="s">
        <v>103</v>
      </c>
    </row>
    <row r="135" spans="1:1002 1030:2043 2049:3034 3128:4090 4122:4280 8736:8744">
      <c r="A135" s="8" t="s">
        <v>1291</v>
      </c>
      <c r="B135" s="10" t="s">
        <v>10531</v>
      </c>
      <c r="C135" s="8">
        <v>932.72</v>
      </c>
      <c r="D135" s="15">
        <v>16.16</v>
      </c>
      <c r="AJU135" s="8" t="s">
        <v>10531</v>
      </c>
      <c r="AYZ135" s="8" t="s">
        <v>5209</v>
      </c>
      <c r="BLC135" s="8" t="s">
        <v>1311</v>
      </c>
      <c r="BMY135" s="8" t="s">
        <v>1311</v>
      </c>
      <c r="EHF135" s="8" t="s">
        <v>1875</v>
      </c>
      <c r="EJB135" s="8" t="s">
        <v>1444</v>
      </c>
      <c r="EMT135" s="8" t="s">
        <v>104</v>
      </c>
      <c r="EOP135" s="8" t="s">
        <v>104</v>
      </c>
      <c r="EQL135" s="8" t="s">
        <v>104</v>
      </c>
      <c r="ESH135" s="8" t="s">
        <v>104</v>
      </c>
    </row>
    <row r="136" spans="1:1002 1030:2043 2049:3034 3128:4090 4122:4280 8736:8744">
      <c r="A136" s="8" t="s">
        <v>1291</v>
      </c>
      <c r="B136" s="10" t="s">
        <v>10532</v>
      </c>
      <c r="C136" s="8">
        <v>949.87</v>
      </c>
      <c r="D136" s="15">
        <v>26.67</v>
      </c>
      <c r="AKW136" s="8" t="s">
        <v>10532</v>
      </c>
      <c r="AYZ136" s="8" t="s">
        <v>5210</v>
      </c>
      <c r="BLT136" s="8" t="s">
        <v>83</v>
      </c>
      <c r="BNP136" s="8" t="s">
        <v>83</v>
      </c>
      <c r="EHV136" s="8" t="s">
        <v>1876</v>
      </c>
      <c r="EJR136" s="8" t="s">
        <v>1445</v>
      </c>
      <c r="ENJ136" s="8" t="s">
        <v>105</v>
      </c>
      <c r="EPF136" s="8" t="s">
        <v>105</v>
      </c>
      <c r="ERB136" s="8" t="s">
        <v>105</v>
      </c>
      <c r="ESX136" s="8" t="s">
        <v>105</v>
      </c>
    </row>
    <row r="137" spans="1:1002 1030:2043 2049:3034 3128:4090 4122:4280 8736:8744">
      <c r="A137" s="8" t="s">
        <v>1291</v>
      </c>
      <c r="B137" s="10" t="s">
        <v>10533</v>
      </c>
      <c r="C137" s="8">
        <v>977.54</v>
      </c>
      <c r="D137" s="15">
        <v>16.63</v>
      </c>
      <c r="ALN137" s="8" t="s">
        <v>10533</v>
      </c>
      <c r="BAV137" s="8" t="s">
        <v>5211</v>
      </c>
      <c r="BLX137" s="8" t="s">
        <v>84</v>
      </c>
      <c r="BNT137" s="8" t="s">
        <v>84</v>
      </c>
      <c r="ENH137" s="8" t="s">
        <v>1877</v>
      </c>
      <c r="EPD137" s="8" t="s">
        <v>1446</v>
      </c>
      <c r="ESV137" s="8" t="s">
        <v>106</v>
      </c>
      <c r="EUR137" s="8" t="s">
        <v>106</v>
      </c>
      <c r="EWN137" s="8" t="s">
        <v>106</v>
      </c>
      <c r="EYJ137" s="8" t="s">
        <v>106</v>
      </c>
    </row>
    <row r="138" spans="1:1002 1030:2043 2049:3034 3128:4090 4122:4280 8736:8744">
      <c r="A138" s="8" t="s">
        <v>1291</v>
      </c>
      <c r="B138" s="10" t="s">
        <v>10534</v>
      </c>
      <c r="C138" s="8">
        <v>995.17</v>
      </c>
      <c r="D138" s="15">
        <v>26.67</v>
      </c>
      <c r="AMP138" s="8" t="s">
        <v>10534</v>
      </c>
      <c r="BAV138" s="8" t="s">
        <v>5212</v>
      </c>
      <c r="BXS138" s="8" t="s">
        <v>85</v>
      </c>
      <c r="BZO138" s="8" t="s">
        <v>85</v>
      </c>
      <c r="EUT138" s="8" t="s">
        <v>1878</v>
      </c>
      <c r="EWP138" s="8" t="s">
        <v>1447</v>
      </c>
      <c r="FAH138" s="8" t="s">
        <v>1312</v>
      </c>
      <c r="FCD138" s="8" t="s">
        <v>1312</v>
      </c>
      <c r="FDZ138" s="8" t="s">
        <v>1312</v>
      </c>
      <c r="FFV138" s="8" t="s">
        <v>1312</v>
      </c>
    </row>
    <row r="139" spans="1:1002 1030:2043 2049:3034 3128:4090 4122:4280 8736:8744">
      <c r="A139" s="8" t="s">
        <v>1291</v>
      </c>
      <c r="B139" s="10" t="s">
        <v>13819</v>
      </c>
      <c r="C139" s="8">
        <v>1022.83</v>
      </c>
      <c r="D139" s="15">
        <v>4.71</v>
      </c>
      <c r="AMV139" s="8" t="s">
        <v>13819</v>
      </c>
      <c r="AYZ139" s="8" t="s">
        <v>5213</v>
      </c>
      <c r="AZE139" s="8" t="s">
        <v>10031</v>
      </c>
      <c r="BCR139" s="8" t="s">
        <v>5213</v>
      </c>
      <c r="BYA139" s="8" t="s">
        <v>86</v>
      </c>
      <c r="BZW139" s="8" t="s">
        <v>86</v>
      </c>
      <c r="EWN139" s="8" t="s">
        <v>1879</v>
      </c>
      <c r="EYJ139" s="8" t="s">
        <v>1448</v>
      </c>
      <c r="FCB139" s="8" t="s">
        <v>1313</v>
      </c>
      <c r="FDX139" s="8" t="s">
        <v>1313</v>
      </c>
      <c r="FFT139" s="8" t="s">
        <v>1313</v>
      </c>
      <c r="FHP139" s="8" t="s">
        <v>1313</v>
      </c>
    </row>
    <row r="140" spans="1:1002 1030:2043 2049:3034 3128:4090 4122:4280 8736:8744">
      <c r="A140" s="8" t="s">
        <v>1291</v>
      </c>
      <c r="B140" s="10" t="s">
        <v>13820</v>
      </c>
      <c r="C140" s="8">
        <v>1028.54</v>
      </c>
      <c r="D140" s="15">
        <v>16.16</v>
      </c>
      <c r="ANM140" s="8" t="s">
        <v>13820</v>
      </c>
      <c r="AYZ140" s="8" t="s">
        <v>5214</v>
      </c>
      <c r="BBA140" s="8" t="s">
        <v>10543</v>
      </c>
      <c r="BCR140" s="8" t="s">
        <v>5214</v>
      </c>
      <c r="BCW140" s="8" t="s">
        <v>10032</v>
      </c>
      <c r="BYX140" s="8" t="s">
        <v>87</v>
      </c>
      <c r="CAT140" s="8" t="s">
        <v>87</v>
      </c>
    </row>
    <row r="141" spans="1:1002 1030:2043 2049:3034 3128:4090 4122:4280 8736:8744">
      <c r="A141" s="8" t="s">
        <v>1291</v>
      </c>
      <c r="B141" s="10" t="s">
        <v>10535</v>
      </c>
      <c r="C141" s="8">
        <v>1045.7</v>
      </c>
      <c r="D141" s="15">
        <v>4.8499999999999996</v>
      </c>
      <c r="ANS141" s="8" t="s">
        <v>10535</v>
      </c>
      <c r="BAV141" s="8" t="s">
        <v>5215</v>
      </c>
      <c r="BDS141" s="8" t="s">
        <v>10544</v>
      </c>
      <c r="BEN141" s="8" t="s">
        <v>5215</v>
      </c>
      <c r="BFO141" s="8" t="s">
        <v>10033</v>
      </c>
      <c r="CGF141" s="8" t="s">
        <v>88</v>
      </c>
      <c r="CIB141" s="8" t="s">
        <v>88</v>
      </c>
    </row>
    <row r="142" spans="1:1002 1030:2043 2049:3034 3128:4090 4122:4280 8736:8744">
      <c r="A142" s="8" t="s">
        <v>1291</v>
      </c>
      <c r="B142" s="10" t="s">
        <v>10536</v>
      </c>
      <c r="C142" s="8">
        <v>1051.54</v>
      </c>
      <c r="D142" s="15">
        <v>8.08</v>
      </c>
      <c r="AOB142" s="8" t="s">
        <v>10536</v>
      </c>
      <c r="BAV142" s="8" t="s">
        <v>5216</v>
      </c>
      <c r="BDW142" s="8" t="s">
        <v>10545</v>
      </c>
      <c r="BEN142" s="8" t="s">
        <v>5216</v>
      </c>
      <c r="BFS142" s="8" t="s">
        <v>10034</v>
      </c>
      <c r="CRY142" s="8" t="s">
        <v>89</v>
      </c>
      <c r="CTU142" s="8" t="s">
        <v>89</v>
      </c>
    </row>
    <row r="143" spans="1:1002 1030:2043 2049:3034 3128:4090 4122:4280 8736:8744">
      <c r="A143" s="8" t="s">
        <v>1291</v>
      </c>
      <c r="B143" s="10" t="s">
        <v>10537</v>
      </c>
      <c r="C143" s="8">
        <v>1060.6199999999999</v>
      </c>
      <c r="D143" s="15">
        <v>4.71</v>
      </c>
      <c r="AOG143" s="8" t="s">
        <v>10537</v>
      </c>
      <c r="BAZ143" s="8" t="s">
        <v>4294</v>
      </c>
      <c r="BCR143" s="8" t="s">
        <v>5217</v>
      </c>
      <c r="BEN143" s="8" t="s">
        <v>10546</v>
      </c>
      <c r="BGJ143" s="8" t="s">
        <v>10035</v>
      </c>
      <c r="CSP143" s="8" t="s">
        <v>90</v>
      </c>
      <c r="CUL143" s="8" t="s">
        <v>90</v>
      </c>
    </row>
    <row r="144" spans="1:1002 1030:2043 2049:3034 3128:4090 4122:4280 8736:8744">
      <c r="A144" s="8" t="s">
        <v>1291</v>
      </c>
      <c r="B144" s="10" t="s">
        <v>10538</v>
      </c>
      <c r="C144" s="8">
        <v>1066.33</v>
      </c>
      <c r="D144" s="15">
        <v>9.69</v>
      </c>
      <c r="AOR144" s="8" t="s">
        <v>10538</v>
      </c>
      <c r="BBS144" s="8" t="s">
        <v>4295</v>
      </c>
      <c r="BHW144" s="8" t="s">
        <v>10547</v>
      </c>
      <c r="BJS144" s="8" t="s">
        <v>10036</v>
      </c>
      <c r="CTF144" s="8" t="s">
        <v>91</v>
      </c>
      <c r="CVB144" s="8" t="s">
        <v>91</v>
      </c>
    </row>
    <row r="145" spans="1:4 1117:2024 2600:3063 3080:3946">
      <c r="A145" s="8" t="s">
        <v>1291</v>
      </c>
      <c r="B145" s="10" t="s">
        <v>10539</v>
      </c>
      <c r="C145" s="8">
        <v>1077.02</v>
      </c>
      <c r="D145" s="15">
        <v>32.31</v>
      </c>
      <c r="APY145" s="8" t="s">
        <v>10539</v>
      </c>
      <c r="BIF145" s="8" t="s">
        <v>10548</v>
      </c>
      <c r="BKB145" s="8" t="s">
        <v>10037</v>
      </c>
      <c r="CXM145" s="8" t="s">
        <v>92</v>
      </c>
      <c r="CZI145" s="8" t="s">
        <v>92</v>
      </c>
    </row>
    <row r="146" spans="1:4 1117:2024 2600:3063 3080:3946">
      <c r="A146" s="8" t="s">
        <v>1291</v>
      </c>
      <c r="B146" s="10" t="s">
        <v>13821</v>
      </c>
      <c r="C146" s="8">
        <v>1110.3399999999999</v>
      </c>
      <c r="D146" s="15">
        <v>16.16</v>
      </c>
      <c r="AQP146" s="8" t="s">
        <v>13821</v>
      </c>
      <c r="BIF146" s="8" t="s">
        <v>4298</v>
      </c>
      <c r="BUA146" s="8" t="s">
        <v>10549</v>
      </c>
      <c r="BVW146" s="8" t="s">
        <v>10038</v>
      </c>
      <c r="CYD146" s="8" t="s">
        <v>93</v>
      </c>
      <c r="CZZ146" s="8" t="s">
        <v>93</v>
      </c>
    </row>
    <row r="147" spans="1:4 1117:2024 2600:3063 3080:3946">
      <c r="A147" s="8" t="s">
        <v>1291</v>
      </c>
      <c r="B147" s="10" t="s">
        <v>10540</v>
      </c>
      <c r="C147" s="8">
        <v>1127.49</v>
      </c>
      <c r="D147" s="15">
        <v>8.08</v>
      </c>
      <c r="AQZ147" s="8" t="s">
        <v>10540</v>
      </c>
      <c r="AYZ147" s="8" t="s">
        <v>3059</v>
      </c>
      <c r="BIR147" s="8" t="s">
        <v>4299</v>
      </c>
      <c r="BUJ147" s="8" t="s">
        <v>10550</v>
      </c>
      <c r="BWF147" s="8" t="s">
        <v>10039</v>
      </c>
      <c r="CYT147" s="8" t="s">
        <v>94</v>
      </c>
      <c r="DAP147" s="8" t="s">
        <v>94</v>
      </c>
    </row>
    <row r="148" spans="1:4 1117:2024 2600:3063 3080:3946">
      <c r="A148" s="8" t="s">
        <v>1291</v>
      </c>
      <c r="B148" s="10" t="s">
        <v>10541</v>
      </c>
      <c r="C148" s="8">
        <v>1136.57</v>
      </c>
      <c r="D148" s="15">
        <v>31.37</v>
      </c>
      <c r="ASF148" s="8" t="s">
        <v>10541</v>
      </c>
      <c r="AYZ148" s="8" t="s">
        <v>3060</v>
      </c>
      <c r="BJU148" s="8" t="s">
        <v>4300</v>
      </c>
      <c r="BVD148" s="8" t="s">
        <v>10551</v>
      </c>
      <c r="BWZ148" s="8" t="s">
        <v>10040</v>
      </c>
      <c r="DHZ148" s="8" t="s">
        <v>95</v>
      </c>
      <c r="DJV148" s="8" t="s">
        <v>95</v>
      </c>
    </row>
    <row r="149" spans="1:4 1117:2024 2600:3063 3080:3946">
      <c r="A149" s="8" t="s">
        <v>1291</v>
      </c>
      <c r="B149" s="10" t="s">
        <v>10542</v>
      </c>
      <c r="C149" s="8">
        <v>1168.94</v>
      </c>
      <c r="D149" s="15">
        <v>31.37</v>
      </c>
      <c r="ATL149" s="8" t="s">
        <v>10542</v>
      </c>
      <c r="AZT149" s="8" t="s">
        <v>3057</v>
      </c>
      <c r="BAK149" s="8" t="s">
        <v>3061</v>
      </c>
      <c r="BKM149" s="8" t="s">
        <v>4623</v>
      </c>
      <c r="BWQ149" s="8" t="s">
        <v>10552</v>
      </c>
      <c r="BYM149" s="8" t="s">
        <v>10041</v>
      </c>
      <c r="DJT149" s="8" t="s">
        <v>96</v>
      </c>
      <c r="DLP149" s="8" t="s">
        <v>96</v>
      </c>
    </row>
    <row r="150" spans="1:4 1117:2024 2600:3063 3080:3946">
      <c r="A150" s="8" t="s">
        <v>1291</v>
      </c>
      <c r="B150" s="10" t="s">
        <v>10543</v>
      </c>
      <c r="C150" s="8">
        <v>1225.98</v>
      </c>
      <c r="D150" s="15">
        <v>26.67</v>
      </c>
      <c r="AVM150" s="8" t="s">
        <v>10543</v>
      </c>
      <c r="AYZ150" s="8" t="s">
        <v>3058</v>
      </c>
      <c r="BAV150" s="8" t="s">
        <v>3062</v>
      </c>
      <c r="BLX150" s="8" t="s">
        <v>4301</v>
      </c>
      <c r="CUZ150" s="8" t="s">
        <v>10553</v>
      </c>
      <c r="CWV150" s="8" t="s">
        <v>10042</v>
      </c>
      <c r="DKY150" s="8" t="s">
        <v>97</v>
      </c>
      <c r="DMU150" s="8" t="s">
        <v>97</v>
      </c>
    </row>
    <row r="151" spans="1:4 1117:2024 2600:3063 3080:3946">
      <c r="A151" s="8" t="s">
        <v>1291</v>
      </c>
      <c r="B151" s="10" t="s">
        <v>10545</v>
      </c>
      <c r="C151" s="8">
        <v>1324.18</v>
      </c>
      <c r="D151" s="15">
        <v>3.14</v>
      </c>
      <c r="AYI151" s="8" t="s">
        <v>10545</v>
      </c>
      <c r="AYZ151" s="8" t="s">
        <v>3059</v>
      </c>
      <c r="BAV151" s="8" t="s">
        <v>3059</v>
      </c>
      <c r="BBT151" s="8" t="s">
        <v>3063</v>
      </c>
      <c r="BLX151" s="8" t="s">
        <v>4302</v>
      </c>
      <c r="DEF151" s="8" t="s">
        <v>10554</v>
      </c>
      <c r="DGB151" s="8" t="s">
        <v>10043</v>
      </c>
      <c r="DLP151" s="8" t="s">
        <v>98</v>
      </c>
      <c r="DNL151" s="8" t="s">
        <v>98</v>
      </c>
    </row>
    <row r="152" spans="1:4 1117:2024 2600:3063 3080:3946">
      <c r="A152" s="8" t="s">
        <v>1291</v>
      </c>
      <c r="B152" s="10" t="s">
        <v>10546</v>
      </c>
      <c r="C152" s="8">
        <v>1328.31</v>
      </c>
      <c r="D152" s="15">
        <v>15.69</v>
      </c>
      <c r="AYZ152" s="8" t="s">
        <v>10546</v>
      </c>
      <c r="BAV152" s="8" t="s">
        <v>3060</v>
      </c>
      <c r="BCN152" s="8" t="s">
        <v>3064</v>
      </c>
      <c r="BNT152" s="8" t="s">
        <v>4303</v>
      </c>
      <c r="DTE152" s="8" t="s">
        <v>99</v>
      </c>
      <c r="DTP152" s="8" t="s">
        <v>10555</v>
      </c>
      <c r="DVA152" s="8" t="s">
        <v>99</v>
      </c>
      <c r="DVL152" s="8" t="s">
        <v>10044</v>
      </c>
    </row>
    <row r="153" spans="1:4 1117:2024 2600:3063 3080:3946">
      <c r="A153" s="8" t="s">
        <v>1291</v>
      </c>
      <c r="B153" s="10" t="s">
        <v>13822</v>
      </c>
      <c r="C153" s="8">
        <v>1416.83</v>
      </c>
      <c r="D153" s="15">
        <v>8.48</v>
      </c>
      <c r="AZF153" s="8" t="s">
        <v>3865</v>
      </c>
      <c r="BAK153" s="8" t="s">
        <v>3061</v>
      </c>
      <c r="BCC153" s="8" t="s">
        <v>13822</v>
      </c>
      <c r="BCG153" s="8" t="s">
        <v>3061</v>
      </c>
      <c r="BCX153" s="8" t="s">
        <v>3065</v>
      </c>
      <c r="BPP153" s="8" t="s">
        <v>4304</v>
      </c>
      <c r="DUV153" s="8" t="s">
        <v>10556</v>
      </c>
      <c r="DUX153" s="8" t="s">
        <v>100</v>
      </c>
      <c r="DWR153" s="8" t="s">
        <v>10045</v>
      </c>
      <c r="DWT153" s="8" t="s">
        <v>100</v>
      </c>
    </row>
    <row r="154" spans="1:4 1117:2024 2600:3063 3080:3946">
      <c r="A154" s="8" t="s">
        <v>1291</v>
      </c>
      <c r="B154" s="10" t="s">
        <v>10547</v>
      </c>
      <c r="C154" s="8">
        <v>1426.31</v>
      </c>
      <c r="D154" s="15">
        <v>4.8499999999999996</v>
      </c>
      <c r="BAI154" s="8" t="s">
        <v>3866</v>
      </c>
      <c r="BBD154" s="8" t="s">
        <v>3062</v>
      </c>
      <c r="BCI154" s="8" t="s">
        <v>10547</v>
      </c>
      <c r="BCZ154" s="8" t="s">
        <v>3062</v>
      </c>
      <c r="BEA154" s="8" t="s">
        <v>3066</v>
      </c>
      <c r="BYV154" s="8" t="s">
        <v>4305</v>
      </c>
      <c r="DUV154" s="8" t="s">
        <v>10557</v>
      </c>
      <c r="DWR154" s="8" t="s">
        <v>10046</v>
      </c>
      <c r="EAJ154" s="8" t="s">
        <v>101</v>
      </c>
      <c r="ECF154" s="8" t="s">
        <v>101</v>
      </c>
    </row>
    <row r="155" spans="1:4 1117:2024 2600:3063 3080:3946">
      <c r="A155" s="8" t="s">
        <v>1291</v>
      </c>
      <c r="B155" s="10" t="s">
        <v>10548</v>
      </c>
      <c r="C155" s="8">
        <v>1432.16</v>
      </c>
      <c r="D155" s="15">
        <v>7.84</v>
      </c>
      <c r="AYZ155" s="8" t="s">
        <v>4723</v>
      </c>
      <c r="AZA155" s="8" t="s">
        <v>4723</v>
      </c>
      <c r="BAV155" s="8" t="s">
        <v>3545</v>
      </c>
      <c r="BBT155" s="8" t="s">
        <v>3063</v>
      </c>
      <c r="BCR155" s="8" t="s">
        <v>10548</v>
      </c>
      <c r="BDP155" s="8" t="s">
        <v>3063</v>
      </c>
      <c r="BEN155" s="8" t="s">
        <v>3067</v>
      </c>
      <c r="BYV155" s="8" t="s">
        <v>4306</v>
      </c>
      <c r="DWR155" s="8" t="s">
        <v>10558</v>
      </c>
      <c r="DYN155" s="8" t="s">
        <v>10047</v>
      </c>
      <c r="EHV155" s="8" t="s">
        <v>102</v>
      </c>
      <c r="EJR155" s="8" t="s">
        <v>102</v>
      </c>
    </row>
    <row r="156" spans="1:4 1117:2024 2600:3063 3080:3946">
      <c r="A156" s="8" t="s">
        <v>1291</v>
      </c>
      <c r="B156" s="10" t="s">
        <v>10549</v>
      </c>
      <c r="C156" s="8">
        <v>1731.17</v>
      </c>
      <c r="D156" s="15">
        <v>15.69</v>
      </c>
      <c r="AYZ156" s="8" t="s">
        <v>4172</v>
      </c>
      <c r="BAV156" s="8" t="s">
        <v>3546</v>
      </c>
      <c r="BCJ156" s="8" t="s">
        <v>4724</v>
      </c>
      <c r="BCK156" s="8" t="s">
        <v>4724</v>
      </c>
      <c r="BCN156" s="8" t="s">
        <v>3064</v>
      </c>
      <c r="BEJ156" s="8" t="s">
        <v>3064</v>
      </c>
      <c r="BEN156" s="8" t="s">
        <v>3068</v>
      </c>
      <c r="BOM156" s="8" t="s">
        <v>10549</v>
      </c>
      <c r="CUZ156" s="8" t="s">
        <v>4307</v>
      </c>
      <c r="DYN156" s="8" t="s">
        <v>10559</v>
      </c>
      <c r="EAJ156" s="8" t="s">
        <v>10048</v>
      </c>
      <c r="EIJ156" s="8" t="s">
        <v>73</v>
      </c>
      <c r="EKF156" s="8" t="s">
        <v>73</v>
      </c>
    </row>
    <row r="157" spans="1:4 1117:2024 2600:3063 3080:3946">
      <c r="A157" s="8" t="s">
        <v>1291</v>
      </c>
      <c r="B157" s="10" t="s">
        <v>13823</v>
      </c>
      <c r="C157" s="8">
        <v>1748.19</v>
      </c>
      <c r="D157" s="15">
        <v>7.84</v>
      </c>
      <c r="AZY157" s="8" t="s">
        <v>3918</v>
      </c>
      <c r="BBU157" s="8" t="s">
        <v>3547</v>
      </c>
      <c r="BCX157" s="8" t="s">
        <v>3065</v>
      </c>
      <c r="BDJ157" s="8" t="s">
        <v>5282</v>
      </c>
      <c r="BDK157" s="8" t="s">
        <v>5282</v>
      </c>
      <c r="BET157" s="8" t="s">
        <v>3065</v>
      </c>
      <c r="BFM157" s="8" t="s">
        <v>3069</v>
      </c>
      <c r="BOV157" s="8" t="s">
        <v>13823</v>
      </c>
      <c r="DNL157" s="8" t="s">
        <v>4308</v>
      </c>
      <c r="EAJ157" s="8" t="s">
        <v>10560</v>
      </c>
      <c r="ECF157" s="8" t="s">
        <v>10049</v>
      </c>
      <c r="EJB157" s="8" t="s">
        <v>72</v>
      </c>
      <c r="EKX157" s="8" t="s">
        <v>72</v>
      </c>
    </row>
    <row r="158" spans="1:4 1117:2024 2600:3063 3080:3946">
      <c r="A158" s="8" t="s">
        <v>1291</v>
      </c>
      <c r="B158" s="10" t="s">
        <v>10551</v>
      </c>
      <c r="C158" s="8">
        <v>1760.31</v>
      </c>
      <c r="D158" s="15">
        <v>15.69</v>
      </c>
      <c r="BAZ158" s="8" t="s">
        <v>4294</v>
      </c>
      <c r="BCV158" s="8" t="s">
        <v>4173</v>
      </c>
      <c r="BEA158" s="8" t="s">
        <v>3066</v>
      </c>
      <c r="BEN158" s="8" t="s">
        <v>4725</v>
      </c>
      <c r="BEO158" s="8" t="s">
        <v>4725</v>
      </c>
      <c r="BER158" s="8" t="s">
        <v>3548</v>
      </c>
      <c r="BFW158" s="8" t="s">
        <v>3066</v>
      </c>
      <c r="BIJ158" s="8" t="s">
        <v>3070</v>
      </c>
      <c r="BPP158" s="8" t="s">
        <v>10551</v>
      </c>
      <c r="DUV158" s="8" t="s">
        <v>4309</v>
      </c>
      <c r="EAZ158" s="8" t="s">
        <v>10561</v>
      </c>
      <c r="ECV158" s="8" t="s">
        <v>10050</v>
      </c>
      <c r="EQG158" s="8" t="s">
        <v>103</v>
      </c>
      <c r="ESC158" s="8" t="s">
        <v>103</v>
      </c>
    </row>
    <row r="159" spans="1:4 1117:2024 2600:3063 3080:3946">
      <c r="A159" s="8" t="s">
        <v>1291</v>
      </c>
      <c r="B159" s="10" t="s">
        <v>10552</v>
      </c>
      <c r="C159" s="8">
        <v>1811.92</v>
      </c>
      <c r="D159" s="15">
        <v>3.23</v>
      </c>
      <c r="AYZ159" s="8" t="s">
        <v>0</v>
      </c>
      <c r="BBS159" s="8" t="s">
        <v>4295</v>
      </c>
      <c r="BDO159" s="8" t="s">
        <v>3919</v>
      </c>
      <c r="BEN159" s="8" t="s">
        <v>3067</v>
      </c>
      <c r="BFK159" s="8" t="s">
        <v>3549</v>
      </c>
      <c r="BGJ159" s="8" t="s">
        <v>3067</v>
      </c>
      <c r="BJC159" s="8" t="s">
        <v>3071</v>
      </c>
      <c r="BKW159" s="8" t="s">
        <v>4726</v>
      </c>
      <c r="BKX159" s="8" t="s">
        <v>4726</v>
      </c>
      <c r="BRC159" s="8" t="s">
        <v>10552</v>
      </c>
      <c r="ECF159" s="8" t="s">
        <v>10562</v>
      </c>
      <c r="EEB159" s="8" t="s">
        <v>10051</v>
      </c>
      <c r="ESH159" s="8" t="s">
        <v>104</v>
      </c>
      <c r="EUD159" s="8" t="s">
        <v>104</v>
      </c>
    </row>
    <row r="160" spans="1:4 1117:2024 2600:3063 3080:3946">
      <c r="A160" s="8" t="s">
        <v>1291</v>
      </c>
      <c r="B160" s="10" t="s">
        <v>13824</v>
      </c>
      <c r="C160" s="8">
        <v>1820.86</v>
      </c>
      <c r="D160" s="15">
        <v>3.14</v>
      </c>
      <c r="BAL160" s="8" t="s">
        <v>1</v>
      </c>
      <c r="BAM160" s="8" t="s">
        <v>4724</v>
      </c>
      <c r="BAN160" s="8" t="s">
        <v>4724</v>
      </c>
      <c r="BAO160" s="8" t="s">
        <v>4724</v>
      </c>
      <c r="BAP160" s="8" t="s">
        <v>1</v>
      </c>
      <c r="BAT160" s="8" t="s">
        <v>1</v>
      </c>
      <c r="BEN160" s="8" t="s">
        <v>3068</v>
      </c>
      <c r="BGJ160" s="8" t="s">
        <v>4296</v>
      </c>
      <c r="BIF160" s="8" t="s">
        <v>4174</v>
      </c>
      <c r="BKB160" s="8" t="s">
        <v>3550</v>
      </c>
      <c r="BMC160" s="8" t="s">
        <v>4727</v>
      </c>
      <c r="BMD160" s="8" t="s">
        <v>4727</v>
      </c>
      <c r="BNT160" s="8" t="s">
        <v>3072</v>
      </c>
      <c r="BRL160" s="8" t="s">
        <v>13824</v>
      </c>
      <c r="EFX160" s="8" t="s">
        <v>10563</v>
      </c>
      <c r="EHT160" s="8" t="s">
        <v>10052</v>
      </c>
      <c r="ESX160" s="8" t="s">
        <v>105</v>
      </c>
      <c r="EUT160" s="8" t="s">
        <v>105</v>
      </c>
    </row>
    <row r="161" spans="1:8 1349:2024 2072:3032 3080:4088 4136:4328">
      <c r="A161" s="8" t="s">
        <v>1291</v>
      </c>
      <c r="B161" s="10" t="s">
        <v>10553</v>
      </c>
      <c r="C161" s="8">
        <v>2432.31</v>
      </c>
      <c r="D161" s="15">
        <v>15.69</v>
      </c>
      <c r="AYZ161" s="8" t="s">
        <v>6179</v>
      </c>
      <c r="AZR161" s="8" t="s">
        <v>5421</v>
      </c>
      <c r="AZS161" s="8" t="s">
        <v>5421</v>
      </c>
      <c r="BBM161" s="8" t="s">
        <v>5282</v>
      </c>
      <c r="BBN161" s="8" t="s">
        <v>5282</v>
      </c>
      <c r="BBO161" s="8" t="s">
        <v>5282</v>
      </c>
      <c r="BFM161" s="8" t="s">
        <v>3069</v>
      </c>
      <c r="BHI161" s="8" t="s">
        <v>3069</v>
      </c>
      <c r="BHK161" s="8" t="s">
        <v>2</v>
      </c>
      <c r="BHO161" s="8" t="s">
        <v>2</v>
      </c>
      <c r="BHS161" s="8" t="s">
        <v>2</v>
      </c>
      <c r="BIF161" s="8" t="s">
        <v>4297</v>
      </c>
      <c r="BKB161" s="8" t="s">
        <v>4175</v>
      </c>
      <c r="BLX161" s="8" t="s">
        <v>3551</v>
      </c>
      <c r="BPP161" s="8" t="s">
        <v>3073</v>
      </c>
      <c r="BPT161" s="8" t="s">
        <v>4728</v>
      </c>
      <c r="BPU161" s="8" t="s">
        <v>4728</v>
      </c>
      <c r="CPL161" s="8" t="s">
        <v>10553</v>
      </c>
      <c r="EUR161" s="8" t="s">
        <v>10564</v>
      </c>
      <c r="EWN161" s="8" t="s">
        <v>10053</v>
      </c>
      <c r="EYJ161" s="8" t="s">
        <v>106</v>
      </c>
      <c r="FAF161" s="8" t="s">
        <v>106</v>
      </c>
    </row>
    <row r="162" spans="1:8 1349:2024 2072:3032 3080:4088 4136:4328">
      <c r="A162" s="8" t="s">
        <v>1291</v>
      </c>
      <c r="B162" s="10" t="s">
        <v>13825</v>
      </c>
      <c r="C162" s="8">
        <v>2489.54</v>
      </c>
      <c r="D162" s="15">
        <v>6.46</v>
      </c>
      <c r="AYZ162" s="8" t="s">
        <v>6180</v>
      </c>
      <c r="BAV162" s="8" t="s">
        <v>5422</v>
      </c>
      <c r="BAW162" s="8" t="s">
        <v>5422</v>
      </c>
      <c r="BCQ162" s="8" t="s">
        <v>4725</v>
      </c>
      <c r="BCR162" s="8" t="s">
        <v>4725</v>
      </c>
      <c r="BCS162" s="8" t="s">
        <v>4725</v>
      </c>
      <c r="BHX162" s="8" t="s">
        <v>3</v>
      </c>
      <c r="BIB162" s="8" t="s">
        <v>3</v>
      </c>
      <c r="BIF162" s="8" t="s">
        <v>4298</v>
      </c>
      <c r="BIJ162" s="8" t="s">
        <v>3070</v>
      </c>
      <c r="BKB162" s="8" t="s">
        <v>4176</v>
      </c>
      <c r="BKF162" s="8" t="s">
        <v>3070</v>
      </c>
      <c r="BLX162" s="8" t="s">
        <v>3552</v>
      </c>
      <c r="BPP162" s="8" t="s">
        <v>3074</v>
      </c>
      <c r="BQK162" s="8" t="s">
        <v>4729</v>
      </c>
      <c r="BQL162" s="8" t="s">
        <v>4729</v>
      </c>
      <c r="CRH162" s="8" t="s">
        <v>13825</v>
      </c>
      <c r="FFV162" s="8" t="s">
        <v>1312</v>
      </c>
      <c r="FHP162" s="8" t="s">
        <v>10565</v>
      </c>
      <c r="FHR162" s="8" t="s">
        <v>1312</v>
      </c>
      <c r="FJL162" s="8" t="s">
        <v>10054</v>
      </c>
    </row>
    <row r="163" spans="1:8 1349:2024 2072:3032 3080:4088 4136:4328">
      <c r="A163" s="8" t="s">
        <v>1291</v>
      </c>
      <c r="B163" s="10" t="s">
        <v>10554</v>
      </c>
      <c r="C163" s="8">
        <v>2684.86</v>
      </c>
      <c r="D163" s="15">
        <v>3.14</v>
      </c>
      <c r="AZL163" s="17" t="s">
        <v>6181</v>
      </c>
      <c r="BAI163" s="8" t="s">
        <v>2295</v>
      </c>
      <c r="BHE163" s="8" t="s">
        <v>5423</v>
      </c>
      <c r="BIR163" s="8" t="s">
        <v>4299</v>
      </c>
      <c r="BIZ163" s="8" t="s">
        <v>4726</v>
      </c>
      <c r="BJA163" s="8" t="s">
        <v>4726</v>
      </c>
      <c r="BJB163" s="8" t="s">
        <v>4726</v>
      </c>
      <c r="BJC163" s="8" t="s">
        <v>3071</v>
      </c>
      <c r="BJF163" s="8" t="s">
        <v>4</v>
      </c>
      <c r="BJJ163" s="8" t="s">
        <v>4</v>
      </c>
      <c r="BKN163" s="8" t="s">
        <v>4177</v>
      </c>
      <c r="BKY163" s="8" t="s">
        <v>3071</v>
      </c>
      <c r="BMJ163" s="8" t="s">
        <v>3553</v>
      </c>
      <c r="BQB163" s="8" t="s">
        <v>3153</v>
      </c>
      <c r="BSM163" s="8" t="s">
        <v>5283</v>
      </c>
      <c r="BSN163" s="8" t="s">
        <v>5283</v>
      </c>
      <c r="CYR163" s="8" t="s">
        <v>10554</v>
      </c>
      <c r="FHP163" s="8" t="s">
        <v>1313</v>
      </c>
      <c r="FJL163" s="8" t="s">
        <v>1313</v>
      </c>
    </row>
    <row r="164" spans="1:8 1349:2024 2072:3032 3080:4088 4136:4328">
      <c r="A164" s="8" t="s">
        <v>1291</v>
      </c>
      <c r="B164" s="10" t="s">
        <v>10555</v>
      </c>
      <c r="C164" s="8">
        <v>3082.92</v>
      </c>
      <c r="D164" s="15">
        <v>4.71</v>
      </c>
      <c r="BAM164" s="8" t="s">
        <v>2296</v>
      </c>
      <c r="BAO164" s="8" t="s">
        <v>6182</v>
      </c>
      <c r="BIK164" s="8" t="s">
        <v>5424</v>
      </c>
      <c r="BJH164" s="8" t="s">
        <v>5</v>
      </c>
      <c r="BJL164" s="8" t="s">
        <v>5</v>
      </c>
      <c r="BJP164" s="8" t="s">
        <v>5</v>
      </c>
      <c r="BJU164" s="8" t="s">
        <v>4300</v>
      </c>
      <c r="BKF164" s="8" t="s">
        <v>4727</v>
      </c>
      <c r="BKG164" s="8" t="s">
        <v>4727</v>
      </c>
      <c r="BKH164" s="8" t="s">
        <v>4727</v>
      </c>
      <c r="BLQ164" s="8" t="s">
        <v>3920</v>
      </c>
      <c r="BNM164" s="8" t="s">
        <v>3554</v>
      </c>
      <c r="BNT164" s="8" t="s">
        <v>3072</v>
      </c>
      <c r="BPP164" s="8" t="s">
        <v>3072</v>
      </c>
      <c r="BRE164" s="8" t="s">
        <v>3075</v>
      </c>
      <c r="BSR164" s="8" t="s">
        <v>5284</v>
      </c>
      <c r="BSS164" s="8" t="s">
        <v>5284</v>
      </c>
      <c r="DOB164" s="8" t="s">
        <v>10555</v>
      </c>
    </row>
    <row r="165" spans="1:8 1349:2024 2072:3032 3080:4088 4136:4328">
      <c r="A165" s="8" t="s">
        <v>1291</v>
      </c>
      <c r="B165" s="10" t="s">
        <v>10556</v>
      </c>
      <c r="C165" s="8">
        <v>3088.63</v>
      </c>
      <c r="D165" s="15">
        <v>31.37</v>
      </c>
      <c r="AYZ165" s="8" t="s">
        <v>2668</v>
      </c>
      <c r="BAV165" s="8" t="s">
        <v>2297</v>
      </c>
      <c r="BCR165" s="8" t="s">
        <v>6183</v>
      </c>
      <c r="BJP165" s="8" t="s">
        <v>6</v>
      </c>
      <c r="BJT165" s="8" t="s">
        <v>6</v>
      </c>
      <c r="BJX165" s="8" t="s">
        <v>6</v>
      </c>
      <c r="BLX165" s="8" t="s">
        <v>4301</v>
      </c>
      <c r="BMC165" s="8" t="s">
        <v>5425</v>
      </c>
      <c r="BNT165" s="8" t="s">
        <v>3921</v>
      </c>
      <c r="BNW165" s="8" t="s">
        <v>4728</v>
      </c>
      <c r="BNY165" s="8" t="s">
        <v>4728</v>
      </c>
      <c r="BPP165" s="8" t="s">
        <v>3503</v>
      </c>
      <c r="BRL165" s="8" t="s">
        <v>3073</v>
      </c>
      <c r="BTH165" s="8" t="s">
        <v>4730</v>
      </c>
      <c r="BTI165" s="8" t="s">
        <v>4730</v>
      </c>
      <c r="DPH165" s="8" t="s">
        <v>10556</v>
      </c>
    </row>
    <row r="166" spans="1:8 1349:2024 2072:3032 3080:4088 4136:4328">
      <c r="A166" s="8" t="s">
        <v>1291</v>
      </c>
      <c r="B166" s="10" t="s">
        <v>13826</v>
      </c>
      <c r="C166" s="8">
        <v>3116.86</v>
      </c>
      <c r="D166" s="15">
        <v>3.14</v>
      </c>
      <c r="AYZ166" s="8" t="s">
        <v>2896</v>
      </c>
      <c r="BAV166" s="8" t="s">
        <v>2298</v>
      </c>
      <c r="BCR166" s="8" t="s">
        <v>6184</v>
      </c>
      <c r="BJT166" s="8" t="s">
        <v>7</v>
      </c>
      <c r="BJX166" s="8" t="s">
        <v>7</v>
      </c>
      <c r="BKB166" s="8" t="s">
        <v>7</v>
      </c>
      <c r="BLX166" s="8" t="s">
        <v>4302</v>
      </c>
      <c r="BMS166" s="8" t="s">
        <v>5426</v>
      </c>
      <c r="BMT166" s="8" t="s">
        <v>5426</v>
      </c>
      <c r="BNT166" s="8" t="s">
        <v>4178</v>
      </c>
      <c r="BON166" s="8" t="s">
        <v>4729</v>
      </c>
      <c r="BOO166" s="8" t="s">
        <v>4729</v>
      </c>
      <c r="BOP166" s="8" t="s">
        <v>4729</v>
      </c>
      <c r="BPP166" s="8" t="s">
        <v>3555</v>
      </c>
      <c r="BQA166" s="8" t="s">
        <v>3074</v>
      </c>
      <c r="BRW166" s="8" t="s">
        <v>3074</v>
      </c>
      <c r="BTH166" s="8" t="s">
        <v>3077</v>
      </c>
      <c r="BWZ166" s="8" t="s">
        <v>4731</v>
      </c>
      <c r="BXA166" s="8" t="s">
        <v>4731</v>
      </c>
      <c r="DPH166" s="8" t="s">
        <v>13826</v>
      </c>
    </row>
    <row r="167" spans="1:8 1349:2024 2072:3032 3080:4088 4136:4328">
      <c r="A167" s="8" t="s">
        <v>1291</v>
      </c>
      <c r="B167" s="10" t="s">
        <v>10558</v>
      </c>
      <c r="C167" s="8">
        <v>3136.63</v>
      </c>
      <c r="D167" s="15">
        <v>31.37</v>
      </c>
      <c r="AYZ167" s="8" t="s">
        <v>2669</v>
      </c>
      <c r="BAV167" s="8" t="s">
        <v>2299</v>
      </c>
      <c r="BEN167" s="8" t="s">
        <v>6185</v>
      </c>
      <c r="BLG167" s="8" t="s">
        <v>8</v>
      </c>
      <c r="BLK167" s="8" t="s">
        <v>8</v>
      </c>
      <c r="BLO167" s="8" t="s">
        <v>8</v>
      </c>
      <c r="BNT167" s="8" t="s">
        <v>4303</v>
      </c>
      <c r="BOU167" s="8" t="s">
        <v>5427</v>
      </c>
      <c r="BOV167" s="8" t="s">
        <v>5427</v>
      </c>
      <c r="BPP167" s="8" t="s">
        <v>3922</v>
      </c>
      <c r="BQP167" s="8" t="s">
        <v>5283</v>
      </c>
      <c r="BQQ167" s="8" t="s">
        <v>5283</v>
      </c>
      <c r="BQR167" s="8" t="s">
        <v>5283</v>
      </c>
      <c r="BRE167" s="8" t="s">
        <v>3075</v>
      </c>
      <c r="BRL167" s="8" t="s">
        <v>3556</v>
      </c>
      <c r="BTA167" s="8" t="s">
        <v>3075</v>
      </c>
      <c r="BVD167" s="8" t="s">
        <v>3078</v>
      </c>
      <c r="CIU167" s="8" t="s">
        <v>4732</v>
      </c>
      <c r="CIV167" s="8" t="s">
        <v>4732</v>
      </c>
      <c r="DRD167" s="8" t="s">
        <v>10558</v>
      </c>
    </row>
    <row r="168" spans="1:8 1349:2024 2072:3032 3080:4088 4136:4328">
      <c r="A168" s="8" t="s">
        <v>1291</v>
      </c>
      <c r="B168" s="10" t="s">
        <v>10559</v>
      </c>
      <c r="C168" s="8">
        <v>3184.63</v>
      </c>
      <c r="D168" s="15">
        <v>31.37</v>
      </c>
      <c r="AYZ168" s="8" t="s">
        <v>4304</v>
      </c>
      <c r="BAV168" s="8" t="s">
        <v>2300</v>
      </c>
      <c r="BGJ168" s="8" t="s">
        <v>6186</v>
      </c>
      <c r="BLP168" s="8" t="s">
        <v>9</v>
      </c>
      <c r="BLT168" s="8" t="s">
        <v>9</v>
      </c>
      <c r="BLX168" s="8" t="s">
        <v>9</v>
      </c>
      <c r="BOY168" s="8" t="s">
        <v>5428</v>
      </c>
      <c r="BOZ168" s="8" t="s">
        <v>5428</v>
      </c>
      <c r="BPP168" s="8" t="s">
        <v>4304</v>
      </c>
      <c r="BQU168" s="8" t="s">
        <v>5284</v>
      </c>
      <c r="BQW168" s="8" t="s">
        <v>5284</v>
      </c>
      <c r="BRL168" s="8" t="s">
        <v>3923</v>
      </c>
      <c r="BTH168" s="8" t="s">
        <v>3504</v>
      </c>
      <c r="BVD168" s="8" t="s">
        <v>3076</v>
      </c>
      <c r="BWZ168" s="8" t="s">
        <v>3079</v>
      </c>
      <c r="CJD168" s="8" t="s">
        <v>4733</v>
      </c>
      <c r="CJE168" s="8" t="s">
        <v>4733</v>
      </c>
      <c r="DSZ168" s="8" t="s">
        <v>10559</v>
      </c>
    </row>
    <row r="169" spans="1:8 1349:2024 2072:3032 3080:4088 4136:4328">
      <c r="A169" s="8" t="s">
        <v>1291</v>
      </c>
      <c r="B169" s="10" t="s">
        <v>10560</v>
      </c>
      <c r="C169" s="8">
        <v>3232.63</v>
      </c>
      <c r="D169" s="15">
        <v>31.37</v>
      </c>
      <c r="BAV169" s="8" t="s">
        <v>2670</v>
      </c>
      <c r="BCR169" s="8" t="s">
        <v>2301</v>
      </c>
      <c r="BIF169" s="8" t="s">
        <v>6105</v>
      </c>
      <c r="BMY169" s="8" t="s">
        <v>10</v>
      </c>
      <c r="BNC169" s="8" t="s">
        <v>10</v>
      </c>
      <c r="BNG169" s="8" t="s">
        <v>10</v>
      </c>
      <c r="BPP169" s="8" t="s">
        <v>6187</v>
      </c>
      <c r="BPQ169" s="8" t="s">
        <v>5429</v>
      </c>
      <c r="BRK169" s="8" t="s">
        <v>4730</v>
      </c>
      <c r="BRL169" s="8" t="s">
        <v>4730</v>
      </c>
      <c r="BRM169" s="8" t="s">
        <v>4730</v>
      </c>
      <c r="BTH169" s="8" t="s">
        <v>3077</v>
      </c>
      <c r="BVD169" s="8" t="s">
        <v>3077</v>
      </c>
      <c r="BYV169" s="8" t="s">
        <v>4305</v>
      </c>
      <c r="CAR169" s="8" t="s">
        <v>4179</v>
      </c>
      <c r="CCN169" s="8" t="s">
        <v>3557</v>
      </c>
      <c r="CGF169" s="8" t="s">
        <v>3080</v>
      </c>
      <c r="CJX169" s="8" t="s">
        <v>4734</v>
      </c>
      <c r="CJY169" s="8" t="s">
        <v>4734</v>
      </c>
      <c r="DUV169" s="8" t="s">
        <v>10560</v>
      </c>
    </row>
    <row r="170" spans="1:8 1349:2024 2072:3032 3080:4088 4136:4328">
      <c r="A170" s="8" t="s">
        <v>1291</v>
      </c>
      <c r="B170" s="10" t="s">
        <v>13827</v>
      </c>
      <c r="C170" s="8">
        <v>3276.4</v>
      </c>
      <c r="D170" s="15">
        <v>3.35</v>
      </c>
      <c r="BCR170" s="8" t="s">
        <v>2671</v>
      </c>
      <c r="BEN170" s="8" t="s">
        <v>2302</v>
      </c>
      <c r="BIF170" s="8" t="s">
        <v>6106</v>
      </c>
      <c r="BNC170" s="8" t="s">
        <v>11</v>
      </c>
      <c r="BNG170" s="8" t="s">
        <v>11</v>
      </c>
      <c r="BNK170" s="8" t="s">
        <v>11</v>
      </c>
      <c r="BPP170" s="8" t="s">
        <v>6188</v>
      </c>
      <c r="BTH170" s="8" t="s">
        <v>5430</v>
      </c>
      <c r="BTI170" s="8" t="s">
        <v>5430</v>
      </c>
      <c r="BVC170" s="8" t="s">
        <v>4731</v>
      </c>
      <c r="BVD170" s="8" t="s">
        <v>4731</v>
      </c>
      <c r="BVE170" s="8" t="s">
        <v>4731</v>
      </c>
      <c r="BWZ170" s="8" t="s">
        <v>3078</v>
      </c>
      <c r="BYV170" s="8" t="s">
        <v>4306</v>
      </c>
      <c r="CAR170" s="8" t="s">
        <v>4180</v>
      </c>
      <c r="CCN170" s="8" t="s">
        <v>3558</v>
      </c>
      <c r="CGF170" s="8" t="s">
        <v>3081</v>
      </c>
      <c r="CLT170" s="8" t="s">
        <v>4735</v>
      </c>
      <c r="CLU170" s="8" t="s">
        <v>4735</v>
      </c>
      <c r="DVL170" s="8" t="s">
        <v>13827</v>
      </c>
    </row>
    <row r="171" spans="1:8 1349:2024 2072:3032 3080:4088 4136:4328">
      <c r="A171" s="8" t="s">
        <v>1291</v>
      </c>
      <c r="B171" s="10" t="s">
        <v>10562</v>
      </c>
      <c r="C171" s="8">
        <v>3280.63</v>
      </c>
      <c r="D171" s="15">
        <v>31.37</v>
      </c>
      <c r="BIF171" s="8" t="s">
        <v>2897</v>
      </c>
      <c r="BKB171" s="8" t="s">
        <v>2303</v>
      </c>
      <c r="BOP171" s="8" t="s">
        <v>12</v>
      </c>
      <c r="BOT171" s="8" t="s">
        <v>12</v>
      </c>
      <c r="BOX171" s="8" t="s">
        <v>12</v>
      </c>
      <c r="BWZ171" s="8" t="s">
        <v>3079</v>
      </c>
      <c r="BYV171" s="8" t="s">
        <v>3079</v>
      </c>
      <c r="CEJ171" s="8" t="s">
        <v>6107</v>
      </c>
      <c r="CFC171" s="8" t="s">
        <v>5431</v>
      </c>
      <c r="CFD171" s="8" t="s">
        <v>5431</v>
      </c>
      <c r="CGX171" s="8" t="s">
        <v>4732</v>
      </c>
      <c r="CGY171" s="8" t="s">
        <v>4732</v>
      </c>
      <c r="CGZ171" s="8" t="s">
        <v>4732</v>
      </c>
      <c r="CLT171" s="8" t="s">
        <v>6189</v>
      </c>
      <c r="CUZ171" s="8" t="s">
        <v>4307</v>
      </c>
      <c r="CWV171" s="8" t="s">
        <v>4181</v>
      </c>
      <c r="CYR171" s="8" t="s">
        <v>3559</v>
      </c>
      <c r="DCJ171" s="8" t="s">
        <v>3082</v>
      </c>
      <c r="DJT171" s="8" t="s">
        <v>4736</v>
      </c>
      <c r="DJU171" s="8" t="s">
        <v>4736</v>
      </c>
      <c r="DWR171" s="8" t="s">
        <v>10562</v>
      </c>
    </row>
    <row r="172" spans="1:8 1349:2024 2072:3032 3080:4088 4136:4328">
      <c r="A172" s="8" t="s">
        <v>1291</v>
      </c>
      <c r="B172" s="10" t="s">
        <v>13828</v>
      </c>
      <c r="C172" s="8">
        <v>3404.86</v>
      </c>
      <c r="D172" s="15">
        <v>3.14</v>
      </c>
      <c r="AYW172" s="8" t="s">
        <v>4717</v>
      </c>
      <c r="BLO172" s="8" t="s">
        <v>2672</v>
      </c>
      <c r="BNK172" s="8" t="s">
        <v>2304</v>
      </c>
      <c r="BOX172" s="8" t="s">
        <v>13</v>
      </c>
      <c r="BPB172" s="8" t="s">
        <v>13</v>
      </c>
      <c r="BPF172" s="8" t="s">
        <v>13</v>
      </c>
      <c r="CFL172" s="8" t="s">
        <v>5432</v>
      </c>
      <c r="CFM172" s="8" t="s">
        <v>5432</v>
      </c>
      <c r="CGF172" s="8" t="s">
        <v>3080</v>
      </c>
      <c r="CHG172" s="8" t="s">
        <v>4733</v>
      </c>
      <c r="CHH172" s="8" t="s">
        <v>4733</v>
      </c>
      <c r="CHI172" s="8" t="s">
        <v>4733</v>
      </c>
      <c r="CIB172" s="8" t="s">
        <v>3080</v>
      </c>
      <c r="CWV172" s="8" t="s">
        <v>6108</v>
      </c>
      <c r="DEF172" s="8" t="s">
        <v>6190</v>
      </c>
      <c r="DNL172" s="8" t="s">
        <v>4308</v>
      </c>
      <c r="DPH172" s="8" t="s">
        <v>4182</v>
      </c>
      <c r="DRD172" s="8" t="s">
        <v>3560</v>
      </c>
      <c r="DSZ172" s="8" t="s">
        <v>4737</v>
      </c>
      <c r="DTA172" s="8" t="s">
        <v>4737</v>
      </c>
      <c r="DUV172" s="8" t="s">
        <v>3083</v>
      </c>
      <c r="EAJ172" s="8" t="s">
        <v>13828</v>
      </c>
    </row>
    <row r="173" spans="1:8 1349:2024 2072:3032 3080:4088 4136:4328">
      <c r="A173" s="8" t="s">
        <v>1291</v>
      </c>
      <c r="B173" s="10" t="s">
        <v>10564</v>
      </c>
      <c r="C173" s="8">
        <v>3760.63</v>
      </c>
      <c r="D173" s="15">
        <v>31.37</v>
      </c>
      <c r="AYZ173" s="8" t="s">
        <v>4718</v>
      </c>
      <c r="AZA173" s="8" t="s">
        <v>4718</v>
      </c>
      <c r="BPF173" s="8" t="s">
        <v>14</v>
      </c>
      <c r="BPJ173" s="8" t="s">
        <v>14</v>
      </c>
      <c r="BPN173" s="8" t="s">
        <v>14</v>
      </c>
      <c r="BTH173" s="8" t="s">
        <v>2898</v>
      </c>
      <c r="BVD173" s="8" t="s">
        <v>2305</v>
      </c>
      <c r="CGF173" s="8" t="s">
        <v>5433</v>
      </c>
      <c r="CGG173" s="8" t="s">
        <v>5433</v>
      </c>
      <c r="CIA173" s="8" t="s">
        <v>4734</v>
      </c>
      <c r="CIB173" s="8" t="s">
        <v>4734</v>
      </c>
      <c r="CIC173" s="8" t="s">
        <v>4734</v>
      </c>
      <c r="DEF173" s="8" t="s">
        <v>4309</v>
      </c>
      <c r="DLP173" s="8" t="s">
        <v>6191</v>
      </c>
      <c r="DUV173" s="8" t="s">
        <v>4309</v>
      </c>
      <c r="DWR173" s="8" t="s">
        <v>3924</v>
      </c>
      <c r="DYN173" s="8" t="s">
        <v>3561</v>
      </c>
      <c r="ECF173" s="8" t="s">
        <v>3084</v>
      </c>
      <c r="EFX173" s="8" t="s">
        <v>4718</v>
      </c>
      <c r="EFY173" s="8" t="s">
        <v>4718</v>
      </c>
      <c r="EPD173" s="8" t="s">
        <v>10564</v>
      </c>
    </row>
    <row r="174" spans="1:8 1349:2024 2072:3032 3080:4088 4136:4328">
      <c r="A174" s="8" t="s">
        <v>1291</v>
      </c>
      <c r="B174" s="10" t="s">
        <v>10565</v>
      </c>
      <c r="C174" s="8">
        <v>4096.63</v>
      </c>
      <c r="D174" s="15">
        <v>31.37</v>
      </c>
      <c r="AYZ174" s="8" t="s">
        <v>4719</v>
      </c>
      <c r="BAV174" s="8" t="s">
        <v>4719</v>
      </c>
      <c r="BAW174" s="8" t="s">
        <v>4719</v>
      </c>
      <c r="BPK174" s="8" t="s">
        <v>15</v>
      </c>
      <c r="BPO174" s="8" t="s">
        <v>15</v>
      </c>
      <c r="BPS174" s="8" t="s">
        <v>15</v>
      </c>
      <c r="BWZ174" s="8" t="s">
        <v>2899</v>
      </c>
      <c r="BYV174" s="8" t="s">
        <v>2306</v>
      </c>
      <c r="CIB174" s="8" t="s">
        <v>5434</v>
      </c>
      <c r="CIC174" s="8" t="s">
        <v>5434</v>
      </c>
      <c r="CJW174" s="8" t="s">
        <v>4735</v>
      </c>
      <c r="CJX174" s="8" t="s">
        <v>4735</v>
      </c>
      <c r="CJY174" s="8" t="s">
        <v>4735</v>
      </c>
      <c r="DCJ174" s="8" t="s">
        <v>3082</v>
      </c>
      <c r="DEF174" s="8" t="s">
        <v>3082</v>
      </c>
      <c r="EJP174" s="8" t="s">
        <v>5285</v>
      </c>
      <c r="EJQ174" s="8" t="s">
        <v>5285</v>
      </c>
      <c r="FCB174" s="8" t="s">
        <v>10565</v>
      </c>
    </row>
    <row r="175" spans="1:8 1349:2024 2072:3032 3080:4088 4136:4328">
      <c r="A175" s="8" t="s">
        <v>1292</v>
      </c>
      <c r="B175" s="10" t="s">
        <v>13829</v>
      </c>
      <c r="C175" s="8">
        <v>-109.56</v>
      </c>
      <c r="D175" s="15">
        <v>16.16</v>
      </c>
      <c r="H175" s="8" t="s">
        <v>13829</v>
      </c>
      <c r="BAF175" s="8" t="s">
        <v>4720</v>
      </c>
      <c r="BAG175" s="8" t="s">
        <v>4720</v>
      </c>
      <c r="BCB175" s="8" t="s">
        <v>4720</v>
      </c>
      <c r="BCC175" s="8" t="s">
        <v>4720</v>
      </c>
      <c r="BVL175" s="8" t="s">
        <v>16</v>
      </c>
      <c r="BVP175" s="8" t="s">
        <v>16</v>
      </c>
      <c r="BVT175" s="8" t="s">
        <v>16</v>
      </c>
      <c r="BYV175" s="8" t="s">
        <v>2673</v>
      </c>
      <c r="CAR175" s="8" t="s">
        <v>2307</v>
      </c>
      <c r="DGB175" s="8" t="s">
        <v>5435</v>
      </c>
      <c r="DGC175" s="8" t="s">
        <v>5435</v>
      </c>
      <c r="DHW175" s="8" t="s">
        <v>4736</v>
      </c>
      <c r="DHX175" s="8" t="s">
        <v>4736</v>
      </c>
      <c r="DHY175" s="8" t="s">
        <v>4736</v>
      </c>
      <c r="DVV175" s="8" t="s">
        <v>3083</v>
      </c>
      <c r="DXR175" s="8" t="s">
        <v>3083</v>
      </c>
      <c r="ELL175" s="8" t="s">
        <v>5286</v>
      </c>
      <c r="ELM175" s="8" t="s">
        <v>5286</v>
      </c>
    </row>
    <row r="176" spans="1:8 1349:2024 2072:3032 3080:4088 4136:4328">
      <c r="A176" s="8" t="s">
        <v>1292</v>
      </c>
      <c r="B176" s="10" t="s">
        <v>10566</v>
      </c>
      <c r="C176" s="8">
        <v>-92.4</v>
      </c>
      <c r="D176" s="15">
        <v>16.16</v>
      </c>
      <c r="H176" s="8" t="s">
        <v>10566</v>
      </c>
      <c r="BAM176" s="8" t="s">
        <v>4721</v>
      </c>
      <c r="BAN176" s="8" t="s">
        <v>4721</v>
      </c>
      <c r="BCI176" s="8" t="s">
        <v>4721</v>
      </c>
      <c r="BCJ176" s="8" t="s">
        <v>4721</v>
      </c>
      <c r="BWR176" s="8" t="s">
        <v>17</v>
      </c>
      <c r="BWV176" s="8" t="s">
        <v>17</v>
      </c>
      <c r="BWZ176" s="8" t="s">
        <v>17</v>
      </c>
      <c r="CAR176" s="8" t="s">
        <v>2674</v>
      </c>
      <c r="CCN176" s="8" t="s">
        <v>2308</v>
      </c>
      <c r="DPH176" s="8" t="s">
        <v>5436</v>
      </c>
      <c r="DRC176" s="8" t="s">
        <v>4737</v>
      </c>
      <c r="DRD176" s="8" t="s">
        <v>4737</v>
      </c>
      <c r="DRE176" s="8" t="s">
        <v>4737</v>
      </c>
      <c r="ECF176" s="8" t="s">
        <v>3084</v>
      </c>
      <c r="EEB176" s="8" t="s">
        <v>3084</v>
      </c>
      <c r="ENH176" s="8" t="s">
        <v>5287</v>
      </c>
      <c r="ENI176" s="8" t="s">
        <v>5287</v>
      </c>
    </row>
    <row r="177" spans="1:758 1352:2025 2072:2937 3080:3945 4232:4329">
      <c r="A177" s="8" t="s">
        <v>1292</v>
      </c>
      <c r="B177" s="10" t="s">
        <v>13830</v>
      </c>
      <c r="C177" s="8">
        <v>49</v>
      </c>
      <c r="D177" s="15">
        <v>16.16</v>
      </c>
      <c r="BU177" s="8" t="s">
        <v>13830</v>
      </c>
      <c r="BAV177" s="8" t="s">
        <v>4722</v>
      </c>
      <c r="BAW177" s="8" t="s">
        <v>4722</v>
      </c>
      <c r="BCR177" s="8" t="s">
        <v>4722</v>
      </c>
      <c r="BCS177" s="8" t="s">
        <v>4722</v>
      </c>
      <c r="BYN177" s="8" t="s">
        <v>18</v>
      </c>
      <c r="BYR177" s="8" t="s">
        <v>18</v>
      </c>
      <c r="BYV177" s="8" t="s">
        <v>18</v>
      </c>
      <c r="CGF177" s="8" t="s">
        <v>2675</v>
      </c>
      <c r="CIB177" s="8" t="s">
        <v>2309</v>
      </c>
      <c r="EFX177" s="8" t="s">
        <v>5437</v>
      </c>
      <c r="EHS177" s="8" t="s">
        <v>5285</v>
      </c>
      <c r="EHT177" s="8" t="s">
        <v>5285</v>
      </c>
      <c r="EHU177" s="8" t="s">
        <v>5285</v>
      </c>
      <c r="EPD177" s="8" t="s">
        <v>5288</v>
      </c>
      <c r="EPE177" s="8" t="s">
        <v>5288</v>
      </c>
    </row>
    <row r="178" spans="1:758 1352:2025 2072:2937 3080:3945 4232:4329">
      <c r="A178" s="8" t="s">
        <v>1292</v>
      </c>
      <c r="B178" s="10" t="s">
        <v>13831</v>
      </c>
      <c r="C178" s="8">
        <v>66.16</v>
      </c>
      <c r="D178" s="15">
        <v>32.31</v>
      </c>
      <c r="DB178" s="8" t="s">
        <v>13831</v>
      </c>
      <c r="AYZ178" s="8" t="s">
        <v>5218</v>
      </c>
      <c r="BCR178" s="8" t="s">
        <v>4723</v>
      </c>
      <c r="BCS178" s="8" t="s">
        <v>4723</v>
      </c>
      <c r="BEN178" s="8" t="s">
        <v>4723</v>
      </c>
      <c r="BEO178" s="8" t="s">
        <v>4723</v>
      </c>
      <c r="CIO178" s="8" t="s">
        <v>19</v>
      </c>
      <c r="CIS178" s="8" t="s">
        <v>19</v>
      </c>
      <c r="CIW178" s="8" t="s">
        <v>19</v>
      </c>
      <c r="CJX178" s="8" t="s">
        <v>2676</v>
      </c>
      <c r="CLT178" s="8" t="s">
        <v>2310</v>
      </c>
      <c r="EFX178" s="8" t="s">
        <v>5438</v>
      </c>
      <c r="EHS178" s="8" t="s">
        <v>4718</v>
      </c>
      <c r="EHT178" s="8" t="s">
        <v>4718</v>
      </c>
      <c r="EHU178" s="8" t="s">
        <v>4718</v>
      </c>
      <c r="EQZ178" s="8" t="s">
        <v>5289</v>
      </c>
      <c r="ERA178" s="8" t="s">
        <v>5289</v>
      </c>
    </row>
    <row r="179" spans="1:758 1352:2025 2072:2937 3080:3945 4232:4329">
      <c r="A179" s="8" t="s">
        <v>1292</v>
      </c>
      <c r="B179" s="10" t="s">
        <v>13832</v>
      </c>
      <c r="C179" s="8">
        <v>99.47</v>
      </c>
      <c r="D179" s="15">
        <v>16.04</v>
      </c>
      <c r="DT179" s="8" t="s">
        <v>13832</v>
      </c>
      <c r="BAV179" s="8" t="s">
        <v>5219</v>
      </c>
      <c r="BGB179" s="8" t="s">
        <v>4724</v>
      </c>
      <c r="BHX179" s="8" t="s">
        <v>4724</v>
      </c>
      <c r="BHY179" s="8" t="s">
        <v>4724</v>
      </c>
      <c r="CIT179" s="8" t="s">
        <v>20</v>
      </c>
      <c r="CIX179" s="8" t="s">
        <v>20</v>
      </c>
      <c r="CJB179" s="8" t="s">
        <v>20</v>
      </c>
      <c r="CJX179" s="8" t="s">
        <v>2900</v>
      </c>
      <c r="CLT179" s="8" t="s">
        <v>2311</v>
      </c>
      <c r="EHT179" s="8" t="s">
        <v>5439</v>
      </c>
      <c r="EJO179" s="8" t="s">
        <v>5286</v>
      </c>
      <c r="EJP179" s="8" t="s">
        <v>5286</v>
      </c>
      <c r="EJQ179" s="8" t="s">
        <v>5286</v>
      </c>
      <c r="EUR179" s="8" t="s">
        <v>4738</v>
      </c>
      <c r="EUS179" s="8" t="s">
        <v>4738</v>
      </c>
    </row>
    <row r="180" spans="1:758 1352:2025 2072:2937 3080:3945 4232:4329">
      <c r="A180" s="8" t="s">
        <v>1292</v>
      </c>
      <c r="B180" s="10" t="s">
        <v>13833</v>
      </c>
      <c r="C180" s="8">
        <v>116.51</v>
      </c>
      <c r="D180" s="15">
        <v>16.16</v>
      </c>
      <c r="EK180" s="8" t="s">
        <v>13833</v>
      </c>
      <c r="BAV180" s="8" t="s">
        <v>5220</v>
      </c>
      <c r="BEN180" s="8" t="s">
        <v>5220</v>
      </c>
      <c r="BIF180" s="8" t="s">
        <v>4725</v>
      </c>
      <c r="BKB180" s="8" t="s">
        <v>4725</v>
      </c>
      <c r="BKC180" s="8" t="s">
        <v>4725</v>
      </c>
      <c r="CPD180" s="8" t="s">
        <v>21</v>
      </c>
      <c r="CPH180" s="8" t="s">
        <v>21</v>
      </c>
      <c r="CPL180" s="8" t="s">
        <v>21</v>
      </c>
      <c r="EFX180" s="8" t="s">
        <v>2677</v>
      </c>
      <c r="EHT180" s="8" t="s">
        <v>2312</v>
      </c>
      <c r="EJP180" s="8" t="s">
        <v>5440</v>
      </c>
      <c r="ELK180" s="8" t="s">
        <v>5287</v>
      </c>
      <c r="ELL180" s="8" t="s">
        <v>5287</v>
      </c>
      <c r="ELM180" s="8" t="s">
        <v>5287</v>
      </c>
      <c r="FJL180" s="8" t="s">
        <v>5290</v>
      </c>
      <c r="FJM180" s="8" t="s">
        <v>5290</v>
      </c>
    </row>
    <row r="181" spans="1:758 1352:2025 2072:2937 3080:3945 4232:4329">
      <c r="A181" s="8" t="s">
        <v>1292</v>
      </c>
      <c r="B181" s="10" t="s">
        <v>10567</v>
      </c>
      <c r="C181" s="8">
        <v>178.31</v>
      </c>
      <c r="D181" s="15">
        <v>16.16</v>
      </c>
      <c r="GT181" s="8" t="s">
        <v>10567</v>
      </c>
      <c r="BFI181" s="8" t="e">
        <v>#N/A</v>
      </c>
      <c r="BJA181" s="8" t="e">
        <v>#N/A</v>
      </c>
      <c r="BOO181" s="8" t="s">
        <v>4726</v>
      </c>
      <c r="BOP181" s="8" t="s">
        <v>4726</v>
      </c>
      <c r="BQK181" s="8" t="s">
        <v>4726</v>
      </c>
      <c r="BQL181" s="8" t="s">
        <v>4726</v>
      </c>
      <c r="CSX181" s="8" t="s">
        <v>22</v>
      </c>
      <c r="CTB181" s="8" t="s">
        <v>22</v>
      </c>
      <c r="CTF181" s="8" t="s">
        <v>22</v>
      </c>
      <c r="ELL181" s="8" t="s">
        <v>5441</v>
      </c>
      <c r="ENG181" s="8" t="s">
        <v>5288</v>
      </c>
      <c r="ENH181" s="8" t="s">
        <v>5288</v>
      </c>
      <c r="ENI181" s="8" t="s">
        <v>5288</v>
      </c>
    </row>
    <row r="182" spans="1:758 1352:2025 2072:2937 3080:3945 4232:4329">
      <c r="A182" s="8" t="s">
        <v>1292</v>
      </c>
      <c r="B182" s="10" t="s">
        <v>10568</v>
      </c>
      <c r="C182" s="8">
        <v>195.47</v>
      </c>
      <c r="D182" s="15">
        <v>6.46</v>
      </c>
      <c r="HB182" s="8" t="s">
        <v>10568</v>
      </c>
      <c r="BPU182" s="8" t="s">
        <v>4727</v>
      </c>
      <c r="BRQ182" s="8" t="s">
        <v>4727</v>
      </c>
      <c r="BRR182" s="8" t="s">
        <v>4727</v>
      </c>
      <c r="DHQ182" s="8" t="s">
        <v>23</v>
      </c>
      <c r="DHU182" s="8" t="s">
        <v>23</v>
      </c>
      <c r="DHY182" s="8" t="s">
        <v>23</v>
      </c>
      <c r="ENH182" s="8" t="s">
        <v>5442</v>
      </c>
      <c r="EPC182" s="8" t="s">
        <v>5289</v>
      </c>
      <c r="EPD182" s="8" t="s">
        <v>5289</v>
      </c>
      <c r="EPE182" s="8" t="s">
        <v>5289</v>
      </c>
    </row>
    <row r="183" spans="1:758 1352:2025 2072:2937 3080:3945 4232:4329">
      <c r="A183" s="8" t="s">
        <v>1292</v>
      </c>
      <c r="B183" s="10" t="s">
        <v>10573</v>
      </c>
      <c r="C183" s="8">
        <v>195.47</v>
      </c>
      <c r="D183" s="15">
        <v>16.16</v>
      </c>
      <c r="HL183" s="8" t="s">
        <v>10573</v>
      </c>
      <c r="BTM183" s="8" t="s">
        <v>4728</v>
      </c>
      <c r="BVH183" s="8" t="s">
        <v>4728</v>
      </c>
      <c r="BVI183" s="8" t="s">
        <v>4728</v>
      </c>
      <c r="EBX183" s="8" t="s">
        <v>24</v>
      </c>
      <c r="ECB183" s="8" t="s">
        <v>24</v>
      </c>
      <c r="ECF183" s="8" t="s">
        <v>24</v>
      </c>
      <c r="EQZ183" s="8" t="s">
        <v>5443</v>
      </c>
      <c r="ESU183" s="8" t="s">
        <v>4738</v>
      </c>
      <c r="ESV183" s="8" t="s">
        <v>4738</v>
      </c>
      <c r="ESW183" s="8" t="s">
        <v>4738</v>
      </c>
    </row>
    <row r="184" spans="1:758 1352:2025 2072:2937 3080:3945 4232:4329">
      <c r="A184" s="8" t="s">
        <v>1292</v>
      </c>
      <c r="B184" s="10" t="s">
        <v>13834</v>
      </c>
      <c r="C184" s="8">
        <v>220</v>
      </c>
      <c r="D184" s="15">
        <v>32.31</v>
      </c>
      <c r="IZ184" s="17" t="s">
        <v>13834</v>
      </c>
      <c r="BUC184" s="8" t="s">
        <v>4729</v>
      </c>
      <c r="BUD184" s="8" t="s">
        <v>4729</v>
      </c>
      <c r="BVY184" s="8" t="s">
        <v>4729</v>
      </c>
      <c r="BVZ184" s="8" t="s">
        <v>4729</v>
      </c>
      <c r="EQR184" s="8" t="s">
        <v>25</v>
      </c>
      <c r="EQV184" s="8" t="s">
        <v>25</v>
      </c>
      <c r="EQZ184" s="8" t="s">
        <v>25</v>
      </c>
      <c r="FFT184" s="8" t="s">
        <v>5444</v>
      </c>
      <c r="FHO184" s="8" t="s">
        <v>5290</v>
      </c>
      <c r="FHP184" s="8" t="s">
        <v>5290</v>
      </c>
      <c r="FHQ184" s="8" t="s">
        <v>5290</v>
      </c>
    </row>
    <row r="185" spans="1:758 1352:2025 2072:2937 3080:3945 4232:4329">
      <c r="A185" s="8" t="s">
        <v>1292</v>
      </c>
      <c r="B185" s="10" t="s">
        <v>13835</v>
      </c>
      <c r="C185" s="8">
        <v>245.22</v>
      </c>
      <c r="D185" s="15">
        <v>32.31</v>
      </c>
      <c r="JZ185" s="8" t="s">
        <v>13835</v>
      </c>
      <c r="BWZ185" s="8" t="s">
        <v>4730</v>
      </c>
      <c r="BYV185" s="8" t="s">
        <v>4730</v>
      </c>
      <c r="BYW185" s="8" t="s">
        <v>4730</v>
      </c>
    </row>
    <row r="186" spans="1:758 1352:2025 2072:2937 3080:3945 4232:4329">
      <c r="A186" s="8" t="s">
        <v>1292</v>
      </c>
      <c r="B186" s="10" t="s">
        <v>10569</v>
      </c>
      <c r="C186" s="8">
        <v>259.16000000000003</v>
      </c>
      <c r="D186" s="15">
        <v>32.31</v>
      </c>
      <c r="KM186" s="8" t="s">
        <v>10569</v>
      </c>
      <c r="CAR186" s="8" t="s">
        <v>4731</v>
      </c>
      <c r="CCN186" s="8" t="s">
        <v>4731</v>
      </c>
      <c r="CCO186" s="8" t="s">
        <v>4731</v>
      </c>
    </row>
    <row r="187" spans="1:758 1352:2025 2072:2937 3080:3945 4232:4329">
      <c r="A187" s="8" t="s">
        <v>1292</v>
      </c>
      <c r="B187" s="10" t="s">
        <v>10570</v>
      </c>
      <c r="C187" s="8">
        <v>292.47000000000003</v>
      </c>
      <c r="D187" s="15">
        <v>32.31</v>
      </c>
      <c r="LU187" s="8" t="s">
        <v>10570</v>
      </c>
      <c r="CMM187" s="8" t="s">
        <v>4732</v>
      </c>
      <c r="COI187" s="8" t="s">
        <v>4732</v>
      </c>
      <c r="COJ187" s="8" t="s">
        <v>4732</v>
      </c>
    </row>
    <row r="188" spans="1:758 1352:2025 2072:2937 3080:3945 4232:4329">
      <c r="A188" s="8" t="s">
        <v>1292</v>
      </c>
      <c r="B188" s="10" t="s">
        <v>13836</v>
      </c>
      <c r="C188" s="8">
        <v>385.49</v>
      </c>
      <c r="D188" s="15">
        <v>31.37</v>
      </c>
      <c r="PI188" s="8" t="s">
        <v>13836</v>
      </c>
      <c r="CMV188" s="8" t="s">
        <v>4733</v>
      </c>
      <c r="COR188" s="8" t="s">
        <v>4733</v>
      </c>
      <c r="COS188" s="8" t="s">
        <v>4733</v>
      </c>
    </row>
    <row r="189" spans="1:758 1352:2025 2072:2937 3080:3945 4232:4329">
      <c r="A189" s="8" t="s">
        <v>1292</v>
      </c>
      <c r="B189" s="10" t="s">
        <v>10571</v>
      </c>
      <c r="C189" s="8">
        <v>625</v>
      </c>
      <c r="D189" s="15">
        <v>32.31</v>
      </c>
      <c r="YO189" s="8" t="s">
        <v>10571</v>
      </c>
      <c r="BGJ189" s="8" t="s">
        <v>10578</v>
      </c>
      <c r="BIF189" s="8" t="s">
        <v>10055</v>
      </c>
      <c r="CNP189" s="8" t="s">
        <v>4734</v>
      </c>
      <c r="CPL189" s="8" t="s">
        <v>4734</v>
      </c>
      <c r="CPM189" s="8" t="s">
        <v>4734</v>
      </c>
    </row>
    <row r="190" spans="1:758 1352:2025 2072:2937 3080:3945 4232:4329">
      <c r="A190" s="8" t="s">
        <v>1292</v>
      </c>
      <c r="B190" s="10" t="s">
        <v>10574</v>
      </c>
      <c r="C190" s="8">
        <v>691.63</v>
      </c>
      <c r="D190" s="15">
        <v>16.16</v>
      </c>
      <c r="AAN190" s="8" t="s">
        <v>10574</v>
      </c>
      <c r="BRL190" s="8" t="s">
        <v>10579</v>
      </c>
      <c r="BTH190" s="8" t="s">
        <v>10056</v>
      </c>
      <c r="CPL190" s="8" t="s">
        <v>4735</v>
      </c>
      <c r="CRH190" s="8" t="s">
        <v>4735</v>
      </c>
      <c r="CRI190" s="8" t="s">
        <v>4735</v>
      </c>
    </row>
    <row r="191" spans="1:758 1352:2025 2072:2937 3080:3945 4232:4329">
      <c r="A191" s="8" t="s">
        <v>1292</v>
      </c>
      <c r="B191" s="10" t="s">
        <v>10572</v>
      </c>
      <c r="C191" s="8">
        <v>708.78</v>
      </c>
      <c r="D191" s="15">
        <v>7.84</v>
      </c>
      <c r="AAW191" s="8" t="s">
        <v>10572</v>
      </c>
      <c r="AYZ191" s="8" t="s">
        <v>117</v>
      </c>
      <c r="BAV191" s="8" t="s">
        <v>117</v>
      </c>
      <c r="BWZ191" s="8" t="s">
        <v>10580</v>
      </c>
      <c r="BYV191" s="8" t="s">
        <v>10057</v>
      </c>
      <c r="DNL191" s="8" t="s">
        <v>4736</v>
      </c>
      <c r="DPH191" s="8" t="s">
        <v>4736</v>
      </c>
      <c r="DPI191" s="8" t="s">
        <v>4736</v>
      </c>
    </row>
    <row r="192" spans="1:758 1352:2025 2072:2937 3080:3945 4232:4329">
      <c r="A192" s="8" t="s">
        <v>1292</v>
      </c>
      <c r="B192" s="10" t="s">
        <v>13837</v>
      </c>
      <c r="C192" s="8">
        <v>717.63</v>
      </c>
      <c r="D192" s="15">
        <v>32.31</v>
      </c>
      <c r="ACD192" s="8" t="s">
        <v>13837</v>
      </c>
      <c r="AYZ192" s="8" t="s">
        <v>118</v>
      </c>
      <c r="BAV192" s="8" t="s">
        <v>118</v>
      </c>
      <c r="BCR192" s="8" t="s">
        <v>118</v>
      </c>
      <c r="BEN192" s="8" t="s">
        <v>118</v>
      </c>
      <c r="CUZ192" s="8" t="s">
        <v>10581</v>
      </c>
      <c r="CWV192" s="8" t="s">
        <v>10058</v>
      </c>
      <c r="DWR192" s="8" t="s">
        <v>4737</v>
      </c>
      <c r="DWS192" s="8" t="s">
        <v>4737</v>
      </c>
      <c r="DYN192" s="8" t="s">
        <v>4737</v>
      </c>
      <c r="DYO192" s="8" t="s">
        <v>4737</v>
      </c>
    </row>
    <row r="193" spans="1:1016 1112:2024 2093:3032 4040:4089">
      <c r="A193" s="8" t="s">
        <v>1292</v>
      </c>
      <c r="B193" s="10" t="s">
        <v>13838</v>
      </c>
      <c r="C193" s="8">
        <v>751.94</v>
      </c>
      <c r="D193" s="15">
        <v>31.37</v>
      </c>
      <c r="ADK193" s="8" t="s">
        <v>13838</v>
      </c>
      <c r="BAF193" s="8" t="s">
        <v>119</v>
      </c>
      <c r="BCB193" s="8" t="s">
        <v>119</v>
      </c>
      <c r="BDX193" s="8" t="s">
        <v>119</v>
      </c>
      <c r="BFT193" s="8" t="s">
        <v>119</v>
      </c>
      <c r="DHX193" s="8" t="s">
        <v>10582</v>
      </c>
      <c r="DJT193" s="8" t="s">
        <v>10059</v>
      </c>
      <c r="EYJ193" s="8" t="s">
        <v>4738</v>
      </c>
      <c r="EYK193" s="8" t="s">
        <v>4738</v>
      </c>
      <c r="FAF193" s="8" t="s">
        <v>4738</v>
      </c>
      <c r="FAG193" s="8" t="s">
        <v>4738</v>
      </c>
    </row>
    <row r="194" spans="1:1016 1112:2024 2093:3032 4040:4089">
      <c r="A194" s="8" t="s">
        <v>1292</v>
      </c>
      <c r="B194" s="10" t="s">
        <v>13839</v>
      </c>
      <c r="C194" s="8">
        <v>784.31</v>
      </c>
      <c r="D194" s="15">
        <v>32.31</v>
      </c>
      <c r="AES194" s="8" t="s">
        <v>13839</v>
      </c>
      <c r="BAV194" s="8" t="s">
        <v>120</v>
      </c>
      <c r="BCR194" s="8" t="s">
        <v>120</v>
      </c>
      <c r="BEN194" s="8" t="s">
        <v>120</v>
      </c>
      <c r="BGJ194" s="8" t="s">
        <v>120</v>
      </c>
    </row>
    <row r="195" spans="1:1016 1112:2024 2093:3032 4040:4089">
      <c r="A195" s="8" t="s">
        <v>1292</v>
      </c>
      <c r="B195" s="10" t="s">
        <v>10575</v>
      </c>
      <c r="C195" s="8">
        <v>817.63</v>
      </c>
      <c r="D195" s="15">
        <v>32.31</v>
      </c>
      <c r="AFZ195" s="8" t="s">
        <v>10575</v>
      </c>
      <c r="AYZ195" s="8" t="s">
        <v>1449</v>
      </c>
      <c r="BCR195" s="8" t="s">
        <v>121</v>
      </c>
      <c r="BEN195" s="8" t="s">
        <v>121</v>
      </c>
      <c r="BGJ195" s="8" t="s">
        <v>121</v>
      </c>
      <c r="BIF195" s="8" t="s">
        <v>121</v>
      </c>
    </row>
    <row r="196" spans="1:1016 1112:2024 2093:3032 4040:4089">
      <c r="A196" s="8" t="s">
        <v>1292</v>
      </c>
      <c r="B196" s="10" t="s">
        <v>10576</v>
      </c>
      <c r="C196" s="8">
        <v>850.94</v>
      </c>
      <c r="D196" s="15">
        <v>32.31</v>
      </c>
      <c r="AHG196" s="8" t="s">
        <v>10576</v>
      </c>
      <c r="AZR196" s="8" t="s">
        <v>108</v>
      </c>
      <c r="BKB196" s="8" t="s">
        <v>1880</v>
      </c>
      <c r="BLX196" s="8" t="s">
        <v>1450</v>
      </c>
      <c r="BPP196" s="8" t="s">
        <v>122</v>
      </c>
      <c r="BRL196" s="8" t="s">
        <v>122</v>
      </c>
      <c r="BTH196" s="8" t="s">
        <v>122</v>
      </c>
      <c r="BVD196" s="8" t="s">
        <v>122</v>
      </c>
    </row>
    <row r="197" spans="1:1016 1112:2024 2093:3032 4040:4089">
      <c r="A197" s="8" t="s">
        <v>1292</v>
      </c>
      <c r="B197" s="10" t="s">
        <v>13840</v>
      </c>
      <c r="C197" s="8">
        <v>904.44</v>
      </c>
      <c r="D197" s="15">
        <v>16.600000000000001</v>
      </c>
      <c r="AIS197" s="8" t="s">
        <v>13840</v>
      </c>
      <c r="BAV197" s="8" t="s">
        <v>109</v>
      </c>
      <c r="BND197" s="8" t="s">
        <v>1881</v>
      </c>
      <c r="BOZ197" s="8" t="s">
        <v>1451</v>
      </c>
      <c r="BSR197" s="8" t="s">
        <v>124</v>
      </c>
      <c r="BUN197" s="8" t="s">
        <v>124</v>
      </c>
      <c r="BWJ197" s="8" t="s">
        <v>124</v>
      </c>
      <c r="BYF197" s="8" t="s">
        <v>124</v>
      </c>
    </row>
    <row r="198" spans="1:1016 1112:2024 2093:3032 4040:4089">
      <c r="A198" s="8" t="s">
        <v>1292</v>
      </c>
      <c r="B198" s="10" t="s">
        <v>13841</v>
      </c>
      <c r="C198" s="8">
        <v>943.31</v>
      </c>
      <c r="D198" s="15">
        <v>32.31</v>
      </c>
      <c r="AKV198" s="8" t="s">
        <v>13841</v>
      </c>
      <c r="BCN198" s="8" t="s">
        <v>110</v>
      </c>
      <c r="BNT198" s="8" t="s">
        <v>1882</v>
      </c>
      <c r="BPP198" s="8" t="s">
        <v>1452</v>
      </c>
      <c r="BTH198" s="8" t="s">
        <v>125</v>
      </c>
      <c r="BVD198" s="8" t="s">
        <v>125</v>
      </c>
      <c r="BWZ198" s="8" t="s">
        <v>125</v>
      </c>
      <c r="BYV198" s="8" t="s">
        <v>125</v>
      </c>
    </row>
    <row r="199" spans="1:1016 1112:2024 2093:3032 4040:4089">
      <c r="A199" s="8" t="s">
        <v>1292</v>
      </c>
      <c r="B199" s="10" t="s">
        <v>13842</v>
      </c>
      <c r="C199" s="8">
        <v>976.63</v>
      </c>
      <c r="D199" s="15">
        <v>31.37</v>
      </c>
      <c r="AMB199" s="8" t="s">
        <v>13842</v>
      </c>
      <c r="AYZ199" s="8" t="s">
        <v>4310</v>
      </c>
      <c r="BCR199" s="8" t="s">
        <v>111</v>
      </c>
      <c r="CBM199" s="8" t="s">
        <v>1883</v>
      </c>
      <c r="CDI199" s="8" t="s">
        <v>1453</v>
      </c>
      <c r="CHA199" s="8" t="s">
        <v>126</v>
      </c>
      <c r="CIW199" s="8" t="s">
        <v>126</v>
      </c>
      <c r="CKS199" s="8" t="s">
        <v>126</v>
      </c>
      <c r="CMO199" s="8" t="s">
        <v>126</v>
      </c>
    </row>
    <row r="200" spans="1:1016 1112:2024 2093:3032 4040:4089">
      <c r="A200" s="8" t="s">
        <v>1292</v>
      </c>
      <c r="B200" s="10" t="s">
        <v>10577</v>
      </c>
      <c r="C200" s="8">
        <v>1072.6300000000001</v>
      </c>
      <c r="D200" s="15">
        <v>31.37</v>
      </c>
      <c r="APT200" s="8" t="s">
        <v>10577</v>
      </c>
      <c r="AYZ200" s="8" t="s">
        <v>4311</v>
      </c>
      <c r="BDJ200" s="8" t="s">
        <v>112</v>
      </c>
      <c r="CCS200" s="8" t="s">
        <v>1884</v>
      </c>
      <c r="CEO200" s="8" t="s">
        <v>1454</v>
      </c>
      <c r="CIG200" s="8" t="s">
        <v>127</v>
      </c>
      <c r="CKC200" s="8" t="s">
        <v>127</v>
      </c>
      <c r="CLY200" s="8" t="s">
        <v>127</v>
      </c>
      <c r="CNU200" s="8" t="s">
        <v>127</v>
      </c>
    </row>
    <row r="201" spans="1:1016 1112:2024 2093:3032 4040:4089">
      <c r="A201" s="8" t="s">
        <v>1292</v>
      </c>
      <c r="B201" s="10" t="s">
        <v>13843</v>
      </c>
      <c r="C201" s="8">
        <v>1371.66</v>
      </c>
      <c r="D201" s="15">
        <v>16.16</v>
      </c>
      <c r="AZR201" s="8" t="s">
        <v>757</v>
      </c>
      <c r="BAR201" s="19" t="s">
        <v>13843</v>
      </c>
      <c r="BAV201" s="8" t="s">
        <v>4312</v>
      </c>
      <c r="BEP201" s="8" t="s">
        <v>113</v>
      </c>
      <c r="CHA201" s="8" t="s">
        <v>1885</v>
      </c>
      <c r="CIW201" s="8" t="s">
        <v>1455</v>
      </c>
      <c r="CMO201" s="8" t="s">
        <v>128</v>
      </c>
      <c r="COK201" s="8" t="s">
        <v>128</v>
      </c>
      <c r="CQG201" s="8" t="s">
        <v>128</v>
      </c>
      <c r="CSC201" s="8" t="s">
        <v>128</v>
      </c>
    </row>
    <row r="202" spans="1:1016 1112:2024 2093:3032 4040:4089">
      <c r="A202" s="8" t="s">
        <v>1292</v>
      </c>
      <c r="B202" s="10" t="s">
        <v>10578</v>
      </c>
      <c r="C202" s="8">
        <v>1388.86</v>
      </c>
      <c r="D202" s="15">
        <v>3.14</v>
      </c>
      <c r="AYZ202" s="8" t="s">
        <v>758</v>
      </c>
      <c r="AZR202" s="8" t="s">
        <v>109</v>
      </c>
      <c r="BAV202" s="8" t="s">
        <v>10578</v>
      </c>
      <c r="BFW202" s="8" t="s">
        <v>114</v>
      </c>
      <c r="CNP202" s="8" t="s">
        <v>1886</v>
      </c>
      <c r="CPL202" s="8" t="s">
        <v>1456</v>
      </c>
      <c r="CTD202" s="8" t="s">
        <v>129</v>
      </c>
      <c r="CUZ202" s="8" t="s">
        <v>129</v>
      </c>
      <c r="CWV202" s="8" t="s">
        <v>129</v>
      </c>
      <c r="CYR202" s="8" t="s">
        <v>129</v>
      </c>
    </row>
    <row r="203" spans="1:1016 1112:2024 2093:3032 4040:4089">
      <c r="A203" s="8" t="s">
        <v>1292</v>
      </c>
      <c r="B203" s="10" t="s">
        <v>13844</v>
      </c>
      <c r="C203" s="8">
        <v>1648.63</v>
      </c>
      <c r="D203" s="15">
        <v>31.37</v>
      </c>
      <c r="AYZ203" s="8" t="s">
        <v>759</v>
      </c>
      <c r="BAR203" s="19" t="s">
        <v>759</v>
      </c>
      <c r="BAV203" s="8" t="s">
        <v>110</v>
      </c>
      <c r="BCN203" s="8" t="s">
        <v>759</v>
      </c>
      <c r="BCR203" s="8" t="s">
        <v>4314</v>
      </c>
      <c r="BGJ203" s="8" t="s">
        <v>115</v>
      </c>
      <c r="BLX203" s="8" t="s">
        <v>13844</v>
      </c>
      <c r="CZT203" s="8" t="s">
        <v>1887</v>
      </c>
      <c r="DBP203" s="8" t="s">
        <v>1457</v>
      </c>
      <c r="DFH203" s="8" t="s">
        <v>107</v>
      </c>
      <c r="DHD203" s="8" t="s">
        <v>107</v>
      </c>
      <c r="DIZ203" s="8" t="s">
        <v>107</v>
      </c>
      <c r="DKV203" s="8" t="s">
        <v>107</v>
      </c>
    </row>
    <row r="204" spans="1:1016 1112:2024 2093:3032 4040:4089">
      <c r="A204" s="8" t="s">
        <v>1292</v>
      </c>
      <c r="B204" s="10" t="s">
        <v>13845</v>
      </c>
      <c r="C204" s="8">
        <v>1759.31</v>
      </c>
      <c r="D204" s="15">
        <v>32.31</v>
      </c>
      <c r="BAV204" s="8" t="s">
        <v>5221</v>
      </c>
      <c r="BCN204" s="8" t="s">
        <v>760</v>
      </c>
      <c r="BCR204" s="8" t="s">
        <v>4315</v>
      </c>
      <c r="BDP204" s="8" t="s">
        <v>111</v>
      </c>
      <c r="BKB204" s="8" t="s">
        <v>116</v>
      </c>
      <c r="BQF204" s="8" t="s">
        <v>13845</v>
      </c>
      <c r="DAN204" s="8" t="s">
        <v>1888</v>
      </c>
      <c r="DCJ204" s="8" t="s">
        <v>1458</v>
      </c>
      <c r="DGB204" s="8" t="s">
        <v>130</v>
      </c>
      <c r="DHX204" s="8" t="s">
        <v>130</v>
      </c>
      <c r="DJT204" s="8" t="s">
        <v>130</v>
      </c>
      <c r="DLP204" s="8" t="s">
        <v>130</v>
      </c>
    </row>
    <row r="205" spans="1:1016 1112:2024 2093:3032 4040:4089">
      <c r="A205" s="8" t="s">
        <v>1292</v>
      </c>
      <c r="B205" s="10" t="s">
        <v>13846</v>
      </c>
      <c r="C205" s="8">
        <v>1792.63</v>
      </c>
      <c r="D205" s="15">
        <v>31.37</v>
      </c>
      <c r="AZP205" s="8" t="s">
        <v>112</v>
      </c>
      <c r="AZR205" s="8" t="s">
        <v>108</v>
      </c>
      <c r="BAV205" s="8" t="s">
        <v>5222</v>
      </c>
      <c r="BBN205" s="8" t="s">
        <v>761</v>
      </c>
      <c r="BCR205" s="8" t="s">
        <v>112</v>
      </c>
      <c r="BDJ205" s="8" t="s">
        <v>761</v>
      </c>
      <c r="BEN205" s="8" t="s">
        <v>5222</v>
      </c>
      <c r="BNT205" s="8" t="s">
        <v>117</v>
      </c>
      <c r="BRL205" s="8" t="s">
        <v>13846</v>
      </c>
    </row>
    <row r="206" spans="1:1016 1112:2024 2093:3032 4040:4089">
      <c r="A206" s="8" t="s">
        <v>1292</v>
      </c>
      <c r="B206" s="10" t="s">
        <v>13847</v>
      </c>
      <c r="C206" s="8">
        <v>2091</v>
      </c>
      <c r="D206" s="15">
        <v>21</v>
      </c>
      <c r="AYZ206" s="8" t="s">
        <v>3085</v>
      </c>
      <c r="BAV206" s="8" t="s">
        <v>109</v>
      </c>
      <c r="BCT206" s="8" t="s">
        <v>762</v>
      </c>
      <c r="BDJ206" s="8" t="s">
        <v>762</v>
      </c>
      <c r="BDO206" s="8" t="s">
        <v>113</v>
      </c>
      <c r="BEP206" s="8" t="s">
        <v>762</v>
      </c>
      <c r="BGJ206" s="8" t="s">
        <v>4317</v>
      </c>
      <c r="BOZ206" s="8" t="s">
        <v>118</v>
      </c>
      <c r="CCN206" s="8" t="s">
        <v>13847</v>
      </c>
    </row>
    <row r="207" spans="1:1016 1112:2024 2093:3032 4040:4089">
      <c r="A207" s="8" t="s">
        <v>1292</v>
      </c>
      <c r="B207" s="10" t="s">
        <v>13848</v>
      </c>
      <c r="C207" s="8">
        <v>2416.63</v>
      </c>
      <c r="D207" s="15">
        <v>31.37</v>
      </c>
      <c r="AYZ207" s="8" t="s">
        <v>3086</v>
      </c>
      <c r="AZB207" s="8" t="s">
        <v>114</v>
      </c>
      <c r="BCD207" s="8" t="s">
        <v>114</v>
      </c>
      <c r="BCN207" s="8" t="s">
        <v>110</v>
      </c>
      <c r="BCT207" s="8" t="s">
        <v>763</v>
      </c>
      <c r="BEA207" s="8" t="s">
        <v>763</v>
      </c>
      <c r="BEP207" s="8" t="s">
        <v>114</v>
      </c>
      <c r="BFW207" s="8" t="s">
        <v>763</v>
      </c>
      <c r="BIF207" s="8" t="s">
        <v>4318</v>
      </c>
      <c r="BPP207" s="8" t="s">
        <v>119</v>
      </c>
      <c r="CPL207" s="8" t="s">
        <v>13848</v>
      </c>
    </row>
    <row r="208" spans="1:1016 1112:2024 2093:3032 4040:4089">
      <c r="A208" s="8" t="s">
        <v>1292</v>
      </c>
      <c r="B208" s="10" t="s">
        <v>13849</v>
      </c>
      <c r="C208" s="8">
        <v>2752.63</v>
      </c>
      <c r="D208" s="15">
        <v>31.37</v>
      </c>
      <c r="AYZ208" s="8" t="s">
        <v>3087</v>
      </c>
      <c r="BAI208" s="8" t="s">
        <v>115</v>
      </c>
      <c r="BAV208" s="8" t="s">
        <v>3087</v>
      </c>
      <c r="BCR208" s="8" t="s">
        <v>111</v>
      </c>
      <c r="BEN208" s="8" t="s">
        <v>764</v>
      </c>
      <c r="BFW208" s="8" t="s">
        <v>764</v>
      </c>
      <c r="BGJ208" s="8" t="s">
        <v>764</v>
      </c>
      <c r="BHM208" s="8" t="s">
        <v>115</v>
      </c>
      <c r="BLX208" s="8" t="s">
        <v>4319</v>
      </c>
      <c r="BRL208" s="8" t="s">
        <v>120</v>
      </c>
      <c r="DCJ208" s="8" t="s">
        <v>13849</v>
      </c>
    </row>
    <row r="209" spans="1:362 1352:2024 2063:2936 3128:3272 6649:6680">
      <c r="A209" s="8" t="s">
        <v>1293</v>
      </c>
      <c r="B209" s="10" t="s">
        <v>10583</v>
      </c>
      <c r="C209" s="8">
        <v>-108.34</v>
      </c>
      <c r="D209" s="15">
        <v>3.5</v>
      </c>
      <c r="H209" s="8" t="s">
        <v>10583</v>
      </c>
      <c r="AYZ209" s="8" t="s">
        <v>3088</v>
      </c>
      <c r="BAV209" s="8" t="s">
        <v>3088</v>
      </c>
      <c r="BCV209" s="8" t="s">
        <v>116</v>
      </c>
      <c r="BCZ209" s="8" t="s">
        <v>5291</v>
      </c>
      <c r="BDA209" s="8" t="s">
        <v>5291</v>
      </c>
      <c r="BDJ209" s="8" t="s">
        <v>112</v>
      </c>
      <c r="BEN209" s="8" t="s">
        <v>765</v>
      </c>
      <c r="BFU209" s="8" t="s">
        <v>765</v>
      </c>
      <c r="BGJ209" s="8" t="s">
        <v>116</v>
      </c>
      <c r="BHQ209" s="8" t="s">
        <v>765</v>
      </c>
      <c r="BRL209" s="8" t="s">
        <v>4320</v>
      </c>
      <c r="CEJ209" s="8" t="s">
        <v>121</v>
      </c>
    </row>
    <row r="210" spans="1:362 1352:2024 2063:2936 3128:3272 6649:6680">
      <c r="A210" s="8" t="s">
        <v>1293</v>
      </c>
      <c r="B210" s="10" t="s">
        <v>13850</v>
      </c>
      <c r="C210" s="8">
        <v>-95</v>
      </c>
      <c r="D210" s="15">
        <v>3.45</v>
      </c>
      <c r="H210" s="8" t="s">
        <v>13850</v>
      </c>
      <c r="AYZ210" s="8" t="s">
        <v>3087</v>
      </c>
      <c r="BAV210" s="8" t="s">
        <v>3089</v>
      </c>
      <c r="BCC210" s="8" t="s">
        <v>693</v>
      </c>
      <c r="BEP210" s="8" t="s">
        <v>113</v>
      </c>
      <c r="BFU210" s="8" t="s">
        <v>766</v>
      </c>
      <c r="BGK210" s="8" t="s">
        <v>693</v>
      </c>
      <c r="BHQ210" s="8" t="s">
        <v>693</v>
      </c>
      <c r="BIF210" s="8" t="s">
        <v>766</v>
      </c>
      <c r="BKB210" s="8" t="s">
        <v>4741</v>
      </c>
      <c r="BKC210" s="8" t="s">
        <v>4741</v>
      </c>
      <c r="BSY210" s="8" t="s">
        <v>4321</v>
      </c>
      <c r="CGW210" s="8" t="s">
        <v>122</v>
      </c>
    </row>
    <row r="211" spans="1:362 1352:2024 2063:2936 3128:3272 6649:6680">
      <c r="A211" s="8" t="s">
        <v>1293</v>
      </c>
      <c r="B211" s="10" t="s">
        <v>13851</v>
      </c>
      <c r="C211" s="8">
        <v>151.94999999999999</v>
      </c>
      <c r="D211" s="15">
        <v>3.45</v>
      </c>
      <c r="FG211" s="8" t="s">
        <v>13851</v>
      </c>
      <c r="AYZ211" s="8" t="s">
        <v>3088</v>
      </c>
      <c r="BAV211" s="8" t="s">
        <v>3090</v>
      </c>
      <c r="BCR211" s="8" t="s">
        <v>3090</v>
      </c>
      <c r="BEN211" s="8" t="s">
        <v>117</v>
      </c>
      <c r="BFW211" s="8" t="s">
        <v>114</v>
      </c>
      <c r="BGJ211" s="8" t="s">
        <v>767</v>
      </c>
      <c r="BHK211" s="8" t="s">
        <v>117</v>
      </c>
      <c r="BKB211" s="8" t="s">
        <v>117</v>
      </c>
      <c r="BLX211" s="8" t="s">
        <v>767</v>
      </c>
      <c r="BNT211" s="8" t="s">
        <v>767</v>
      </c>
      <c r="BTH211" s="8" t="s">
        <v>4742</v>
      </c>
      <c r="BTI211" s="8" t="s">
        <v>4742</v>
      </c>
      <c r="BVD211" s="8" t="s">
        <v>4322</v>
      </c>
      <c r="CHL211" s="8" t="s">
        <v>123</v>
      </c>
    </row>
    <row r="212" spans="1:362 1352:2024 2063:2936 3128:3272 6649:6680">
      <c r="A212" s="8" t="s">
        <v>1293</v>
      </c>
      <c r="B212" s="10" t="s">
        <v>10584</v>
      </c>
      <c r="C212" s="8">
        <v>175.73</v>
      </c>
      <c r="D212" s="15">
        <v>10</v>
      </c>
      <c r="GL212" s="8" t="s">
        <v>10584</v>
      </c>
      <c r="AYZ212" s="8" t="s">
        <v>3089</v>
      </c>
      <c r="BAV212" s="8" t="s">
        <v>3091</v>
      </c>
      <c r="BCR212" s="8" t="s">
        <v>3091</v>
      </c>
      <c r="BGJ212" s="8" t="s">
        <v>115</v>
      </c>
      <c r="BIF212" s="8" t="s">
        <v>118</v>
      </c>
      <c r="BLJ212" s="8" t="s">
        <v>118</v>
      </c>
      <c r="BLX212" s="8" t="s">
        <v>768</v>
      </c>
      <c r="BND212" s="8" t="s">
        <v>768</v>
      </c>
      <c r="BNT212" s="8" t="s">
        <v>118</v>
      </c>
      <c r="BOZ212" s="8" t="s">
        <v>768</v>
      </c>
      <c r="BVD212" s="8" t="s">
        <v>4743</v>
      </c>
      <c r="BVE212" s="8" t="s">
        <v>4743</v>
      </c>
      <c r="CIB212" s="8" t="s">
        <v>124</v>
      </c>
    </row>
    <row r="213" spans="1:362 1352:2024 2063:2936 3128:3272 6649:6680">
      <c r="A213" s="8" t="s">
        <v>1293</v>
      </c>
      <c r="B213" s="10" t="s">
        <v>13852</v>
      </c>
      <c r="C213" s="8">
        <v>181.4</v>
      </c>
      <c r="D213" s="15">
        <v>10.6</v>
      </c>
      <c r="GR213" s="8" t="s">
        <v>13852</v>
      </c>
      <c r="BAV213" s="8" t="s">
        <v>3090</v>
      </c>
      <c r="BCR213" s="8" t="s">
        <v>3092</v>
      </c>
      <c r="BEN213" s="8" t="s">
        <v>3092</v>
      </c>
      <c r="BJL213" s="8" t="s">
        <v>119</v>
      </c>
      <c r="BKB213" s="8" t="s">
        <v>116</v>
      </c>
      <c r="BNT213" s="8" t="s">
        <v>769</v>
      </c>
      <c r="BOZ213" s="8" t="s">
        <v>769</v>
      </c>
      <c r="BPC213" s="8" t="s">
        <v>119</v>
      </c>
      <c r="BPP213" s="8" t="s">
        <v>769</v>
      </c>
      <c r="BVD213" s="8" t="s">
        <v>4324</v>
      </c>
      <c r="CGF213" s="8" t="s">
        <v>4744</v>
      </c>
      <c r="CGG213" s="8" t="s">
        <v>4744</v>
      </c>
      <c r="CVU213" s="8" t="s">
        <v>125</v>
      </c>
    </row>
    <row r="214" spans="1:362 1352:2024 2063:2936 3128:3272 6649:6680">
      <c r="A214" s="8" t="s">
        <v>1293</v>
      </c>
      <c r="B214" s="10" t="s">
        <v>10585</v>
      </c>
      <c r="C214" s="8">
        <v>241</v>
      </c>
      <c r="D214" s="15">
        <v>2.65</v>
      </c>
      <c r="IR214" s="8" t="s">
        <v>10585</v>
      </c>
      <c r="BAV214" s="8" t="s">
        <v>3091</v>
      </c>
      <c r="BCR214" s="8" t="s">
        <v>3093</v>
      </c>
      <c r="BEN214" s="8" t="s">
        <v>3093</v>
      </c>
      <c r="BKB214" s="8" t="s">
        <v>120</v>
      </c>
      <c r="BNT214" s="8" t="s">
        <v>770</v>
      </c>
      <c r="BOG214" s="8" t="s">
        <v>120</v>
      </c>
      <c r="BPP214" s="8" t="s">
        <v>770</v>
      </c>
      <c r="BRL214" s="8" t="s">
        <v>770</v>
      </c>
      <c r="BWZ214" s="8" t="s">
        <v>4325</v>
      </c>
      <c r="CLT214" s="8" t="s">
        <v>4745</v>
      </c>
      <c r="CLU214" s="8" t="s">
        <v>4745</v>
      </c>
      <c r="CXA214" s="8" t="s">
        <v>126</v>
      </c>
    </row>
    <row r="215" spans="1:362 1352:2024 2063:2936 3128:3272 6649:6680">
      <c r="A215" s="8" t="s">
        <v>1293</v>
      </c>
      <c r="B215" s="10" t="s">
        <v>10586</v>
      </c>
      <c r="C215" s="8">
        <v>256.64999999999998</v>
      </c>
      <c r="D215" s="15">
        <v>10</v>
      </c>
      <c r="JO215" s="8" t="s">
        <v>10586</v>
      </c>
      <c r="AYZ215" s="8" t="s">
        <v>3867</v>
      </c>
      <c r="BCR215" s="8" t="s">
        <v>3092</v>
      </c>
      <c r="BEN215" s="8" t="s">
        <v>3094</v>
      </c>
      <c r="BGJ215" s="8" t="s">
        <v>3094</v>
      </c>
      <c r="BLX215" s="8" t="s">
        <v>121</v>
      </c>
      <c r="BOZ215" s="8" t="s">
        <v>118</v>
      </c>
      <c r="BRL215" s="8" t="s">
        <v>121</v>
      </c>
      <c r="BWZ215" s="8" t="s">
        <v>4326</v>
      </c>
      <c r="CCN215" s="8" t="s">
        <v>771</v>
      </c>
      <c r="CEJ215" s="8" t="s">
        <v>771</v>
      </c>
      <c r="DBI215" s="8" t="s">
        <v>127</v>
      </c>
    </row>
    <row r="216" spans="1:362 1352:2024 2063:2936 3128:3272 6649:6680">
      <c r="A216" s="8" t="s">
        <v>1293</v>
      </c>
      <c r="B216" s="10" t="s">
        <v>13853</v>
      </c>
      <c r="C216" s="8">
        <v>267.64999999999998</v>
      </c>
      <c r="D216" s="15">
        <v>10.6</v>
      </c>
      <c r="JZ216" s="8" t="s">
        <v>13853</v>
      </c>
      <c r="AYZ216" s="8" t="s">
        <v>3868</v>
      </c>
      <c r="BCR216" s="8" t="s">
        <v>3093</v>
      </c>
      <c r="BEN216" s="8" t="s">
        <v>3095</v>
      </c>
      <c r="BGJ216" s="8" t="s">
        <v>3095</v>
      </c>
      <c r="BPP216" s="8" t="s">
        <v>119</v>
      </c>
      <c r="BWZ216" s="8" t="s">
        <v>4327</v>
      </c>
      <c r="BYV216" s="8" t="s">
        <v>122</v>
      </c>
      <c r="CCB216" s="8" t="s">
        <v>122</v>
      </c>
      <c r="CCN216" s="8" t="s">
        <v>772</v>
      </c>
      <c r="CEJ216" s="8" t="s">
        <v>122</v>
      </c>
      <c r="CFA216" s="8" t="s">
        <v>772</v>
      </c>
      <c r="CGW216" s="8" t="s">
        <v>772</v>
      </c>
      <c r="DHX216" s="8" t="s">
        <v>128</v>
      </c>
    </row>
    <row r="217" spans="1:362 1352:2024 2063:2936 3128:3272 6649:6680">
      <c r="A217" s="8" t="s">
        <v>1293</v>
      </c>
      <c r="B217" s="10" t="s">
        <v>10587</v>
      </c>
      <c r="C217" s="8">
        <v>279.25</v>
      </c>
      <c r="D217" s="15">
        <v>5.3</v>
      </c>
      <c r="KG217" s="8" t="s">
        <v>10587</v>
      </c>
      <c r="AYZ217" s="8" t="s">
        <v>3925</v>
      </c>
      <c r="AZH217" s="8" t="s">
        <v>5445</v>
      </c>
      <c r="AZI217" s="8" t="s">
        <v>5445</v>
      </c>
      <c r="BAV217" s="8" t="s">
        <v>3562</v>
      </c>
      <c r="BBC217" s="8" t="s">
        <v>5291</v>
      </c>
      <c r="BBD217" s="8" t="s">
        <v>5291</v>
      </c>
      <c r="BBE217" s="8" t="s">
        <v>5291</v>
      </c>
      <c r="BEN217" s="8" t="s">
        <v>3094</v>
      </c>
      <c r="BGJ217" s="8" t="s">
        <v>3096</v>
      </c>
      <c r="BIF217" s="8" t="s">
        <v>3096</v>
      </c>
      <c r="BRL217" s="8" t="s">
        <v>120</v>
      </c>
      <c r="CBI217" s="8" t="s">
        <v>123</v>
      </c>
      <c r="CCN217" s="8" t="s">
        <v>4328</v>
      </c>
      <c r="CEJ217" s="8" t="s">
        <v>123</v>
      </c>
      <c r="CFA217" s="8" t="s">
        <v>773</v>
      </c>
      <c r="CFP217" s="8" t="s">
        <v>773</v>
      </c>
      <c r="CGW217" s="8" t="s">
        <v>123</v>
      </c>
      <c r="CHL217" s="8" t="s">
        <v>773</v>
      </c>
      <c r="DUV217" s="8" t="s">
        <v>129</v>
      </c>
    </row>
    <row r="218" spans="1:362 1352:2024 2063:2936 3128:3272 6649:6680">
      <c r="A218" s="8" t="s">
        <v>1293</v>
      </c>
      <c r="B218" s="10" t="s">
        <v>13854</v>
      </c>
      <c r="C218" s="8">
        <v>283.8</v>
      </c>
      <c r="D218" s="15">
        <v>6.89</v>
      </c>
      <c r="KM218" s="8" t="s">
        <v>13854</v>
      </c>
      <c r="AYZ218" s="8" t="s">
        <v>3926</v>
      </c>
      <c r="BAV218" s="8" t="s">
        <v>3563</v>
      </c>
      <c r="BEN218" s="8" t="s">
        <v>3095</v>
      </c>
      <c r="BGJ218" s="8" t="s">
        <v>5375</v>
      </c>
      <c r="BIE218" s="8" t="s">
        <v>4741</v>
      </c>
      <c r="BIF218" s="8" t="s">
        <v>4741</v>
      </c>
      <c r="BIG218" s="8" t="s">
        <v>4741</v>
      </c>
      <c r="CBX218" s="8" t="s">
        <v>124</v>
      </c>
      <c r="CCN218" s="8" t="s">
        <v>4329</v>
      </c>
      <c r="CEJ218" s="8" t="s">
        <v>121</v>
      </c>
      <c r="CGF218" s="8" t="s">
        <v>774</v>
      </c>
      <c r="CHL218" s="8" t="s">
        <v>774</v>
      </c>
      <c r="CIB218" s="8" t="s">
        <v>774</v>
      </c>
      <c r="CII218" s="8" t="s">
        <v>124</v>
      </c>
    </row>
    <row r="219" spans="1:362 1352:2024 2063:2936 3128:3272 6649:6680">
      <c r="A219" s="8" t="s">
        <v>1293</v>
      </c>
      <c r="B219" s="10" t="s">
        <v>13855</v>
      </c>
      <c r="C219" s="8">
        <v>291.69</v>
      </c>
      <c r="D219" s="15">
        <v>10.6</v>
      </c>
      <c r="KX219" s="8" t="s">
        <v>13855</v>
      </c>
      <c r="AYZ219" s="8" t="s">
        <v>4310</v>
      </c>
      <c r="BAV219" s="8" t="s">
        <v>3927</v>
      </c>
      <c r="BCR219" s="8" t="s">
        <v>3564</v>
      </c>
      <c r="BGJ219" s="8" t="s">
        <v>3096</v>
      </c>
      <c r="BIF219" s="8" t="s">
        <v>3098</v>
      </c>
      <c r="BKB219" s="8" t="s">
        <v>3098</v>
      </c>
      <c r="BPP219" s="8" t="s">
        <v>5446</v>
      </c>
      <c r="BRK219" s="8" t="s">
        <v>4742</v>
      </c>
      <c r="BRL219" s="8" t="s">
        <v>4742</v>
      </c>
      <c r="BRM219" s="8" t="s">
        <v>4742</v>
      </c>
      <c r="BVB219" s="8" t="s">
        <v>125</v>
      </c>
      <c r="BVD219" s="8" t="s">
        <v>775</v>
      </c>
      <c r="CCN219" s="8" t="s">
        <v>4330</v>
      </c>
      <c r="CGW219" s="8" t="s">
        <v>122</v>
      </c>
      <c r="CIB219" s="8" t="s">
        <v>125</v>
      </c>
      <c r="CTY219" s="8" t="s">
        <v>775</v>
      </c>
      <c r="CVU219" s="8" t="s">
        <v>775</v>
      </c>
    </row>
    <row r="220" spans="1:362 1352:2024 2063:2936 3128:3272 6649:6680">
      <c r="A220" s="8" t="s">
        <v>1293</v>
      </c>
      <c r="B220" s="10" t="s">
        <v>10590</v>
      </c>
      <c r="C220" s="8">
        <v>303.29000000000002</v>
      </c>
      <c r="D220" s="15">
        <v>2.12</v>
      </c>
      <c r="LA220" s="8" t="s">
        <v>10590</v>
      </c>
      <c r="AYZ220" s="8" t="s">
        <v>4311</v>
      </c>
      <c r="BAV220" s="8" t="s">
        <v>3928</v>
      </c>
      <c r="BCR220" s="8" t="s">
        <v>3565</v>
      </c>
      <c r="BGJ220" s="8" t="s">
        <v>3097</v>
      </c>
      <c r="BIF220" s="8" t="s">
        <v>3099</v>
      </c>
      <c r="BKB220" s="8" t="s">
        <v>3099</v>
      </c>
      <c r="BRL220" s="8" t="s">
        <v>5447</v>
      </c>
      <c r="BTG220" s="8" t="s">
        <v>4743</v>
      </c>
      <c r="BTH220" s="8" t="s">
        <v>4743</v>
      </c>
      <c r="BTI220" s="8" t="s">
        <v>4743</v>
      </c>
      <c r="CEJ220" s="8" t="s">
        <v>4331</v>
      </c>
      <c r="CHL220" s="8" t="s">
        <v>123</v>
      </c>
      <c r="CQG220" s="8" t="s">
        <v>126</v>
      </c>
      <c r="CTI220" s="8" t="s">
        <v>126</v>
      </c>
      <c r="CTY220" s="8" t="s">
        <v>776</v>
      </c>
      <c r="CVE220" s="8" t="s">
        <v>776</v>
      </c>
      <c r="CVU220" s="8" t="s">
        <v>126</v>
      </c>
      <c r="CXA220" s="8" t="s">
        <v>776</v>
      </c>
    </row>
    <row r="221" spans="1:362 1352:2024 2063:2936 3128:3272 6649:6680">
      <c r="A221" s="8" t="s">
        <v>1293</v>
      </c>
      <c r="B221" s="10" t="s">
        <v>10588</v>
      </c>
      <c r="C221" s="8">
        <v>306.41000000000003</v>
      </c>
      <c r="D221" s="15">
        <v>10</v>
      </c>
      <c r="LL221" s="17" t="s">
        <v>10588</v>
      </c>
      <c r="BAV221" s="8" t="s">
        <v>4312</v>
      </c>
      <c r="BCR221" s="8" t="s">
        <v>3929</v>
      </c>
      <c r="BEN221" s="8" t="s">
        <v>3566</v>
      </c>
      <c r="BIF221" s="8" t="s">
        <v>3098</v>
      </c>
      <c r="BKB221" s="8" t="s">
        <v>3100</v>
      </c>
      <c r="BLX221" s="8" t="s">
        <v>3100</v>
      </c>
      <c r="CCN221" s="8" t="s">
        <v>5448</v>
      </c>
      <c r="CEI221" s="8" t="s">
        <v>4744</v>
      </c>
      <c r="CEJ221" s="8" t="s">
        <v>4744</v>
      </c>
      <c r="CEK221" s="8" t="s">
        <v>4744</v>
      </c>
      <c r="CGF221" s="8" t="s">
        <v>4332</v>
      </c>
      <c r="CIB221" s="8" t="s">
        <v>124</v>
      </c>
      <c r="CQW221" s="8" t="s">
        <v>127</v>
      </c>
      <c r="CRM221" s="8" t="s">
        <v>127</v>
      </c>
      <c r="CXA221" s="8" t="s">
        <v>127</v>
      </c>
      <c r="CZM221" s="8" t="s">
        <v>777</v>
      </c>
      <c r="DBI221" s="8" t="s">
        <v>777</v>
      </c>
    </row>
    <row r="222" spans="1:362 1352:2024 2063:2936 3128:3272 6649:6680">
      <c r="A222" s="8" t="s">
        <v>1293</v>
      </c>
      <c r="B222" s="10" t="s">
        <v>10589</v>
      </c>
      <c r="C222" s="8">
        <v>317.41000000000003</v>
      </c>
      <c r="D222" s="15">
        <v>5</v>
      </c>
      <c r="LR222" s="8" t="s">
        <v>10589</v>
      </c>
      <c r="AZK222" s="8" t="s">
        <v>778</v>
      </c>
      <c r="BAV222" s="8" t="s">
        <v>4313</v>
      </c>
      <c r="BCR222" s="8" t="s">
        <v>3930</v>
      </c>
      <c r="BEN222" s="8" t="s">
        <v>3567</v>
      </c>
      <c r="BIF222" s="8" t="s">
        <v>3099</v>
      </c>
      <c r="BKB222" s="8" t="s">
        <v>3101</v>
      </c>
      <c r="BLX222" s="8" t="s">
        <v>3101</v>
      </c>
      <c r="CGF222" s="8" t="s">
        <v>4333</v>
      </c>
      <c r="CIB222" s="8" t="s">
        <v>5449</v>
      </c>
      <c r="CJW222" s="8" t="s">
        <v>4745</v>
      </c>
      <c r="CJX222" s="8" t="s">
        <v>4745</v>
      </c>
      <c r="CJY222" s="8" t="s">
        <v>4745</v>
      </c>
      <c r="CVU222" s="8" t="s">
        <v>128</v>
      </c>
      <c r="CXD222" s="8" t="s">
        <v>128</v>
      </c>
      <c r="DBI222" s="8" t="s">
        <v>128</v>
      </c>
      <c r="DGB222" s="8" t="s">
        <v>778</v>
      </c>
      <c r="DHX222" s="8" t="s">
        <v>778</v>
      </c>
    </row>
    <row r="223" spans="1:362 1352:2024 2063:2936 3128:3272 6649:6680">
      <c r="A223" s="8" t="s">
        <v>1293</v>
      </c>
      <c r="B223" s="10" t="s">
        <v>13856</v>
      </c>
      <c r="C223" s="8">
        <v>338</v>
      </c>
      <c r="D223" s="15">
        <v>5.3</v>
      </c>
      <c r="MM223" s="8" t="s">
        <v>13856</v>
      </c>
      <c r="BAV223" s="8" t="s">
        <v>129</v>
      </c>
      <c r="BBT223" s="8" t="s">
        <v>129</v>
      </c>
      <c r="BCR223" s="8" t="s">
        <v>4314</v>
      </c>
      <c r="BEN223" s="8" t="s">
        <v>3931</v>
      </c>
      <c r="BGJ223" s="8" t="s">
        <v>3568</v>
      </c>
      <c r="BKB223" s="8" t="s">
        <v>3100</v>
      </c>
      <c r="BYV223" s="8" t="s">
        <v>3102</v>
      </c>
      <c r="CAR223" s="8" t="s">
        <v>3102</v>
      </c>
      <c r="CGF223" s="8" t="s">
        <v>4334</v>
      </c>
      <c r="CTD223" s="8" t="s">
        <v>5450</v>
      </c>
      <c r="CUR223" s="8" t="s">
        <v>129</v>
      </c>
      <c r="CUY223" s="8" t="s">
        <v>5354</v>
      </c>
      <c r="CUZ223" s="8" t="s">
        <v>5354</v>
      </c>
      <c r="CVA223" s="8" t="s">
        <v>5354</v>
      </c>
      <c r="CXA223" s="8" t="s">
        <v>126</v>
      </c>
      <c r="DCJ223" s="8" t="s">
        <v>129</v>
      </c>
      <c r="DHX223" s="8" t="s">
        <v>129</v>
      </c>
      <c r="DSZ223" s="8" t="s">
        <v>779</v>
      </c>
      <c r="DUV223" s="8" t="s">
        <v>779</v>
      </c>
    </row>
    <row r="224" spans="1:362 1352:2024 2063:2936 3128:3272 6649:6680">
      <c r="A224" s="8" t="s">
        <v>1293</v>
      </c>
      <c r="B224" s="10" t="s">
        <v>10601</v>
      </c>
      <c r="C224" s="8">
        <v>344.3</v>
      </c>
      <c r="D224" s="15">
        <v>10</v>
      </c>
      <c r="MX224" s="8" t="s">
        <v>10601</v>
      </c>
      <c r="BCR224" s="8" t="s">
        <v>4315</v>
      </c>
      <c r="BEN224" s="8" t="s">
        <v>3932</v>
      </c>
      <c r="BGJ224" s="8" t="s">
        <v>3569</v>
      </c>
      <c r="BHH224" s="8" t="s">
        <v>130</v>
      </c>
      <c r="BIF224" s="8" t="s">
        <v>130</v>
      </c>
      <c r="BJD224" s="8" t="s">
        <v>1259</v>
      </c>
      <c r="BKB224" s="8" t="s">
        <v>3101</v>
      </c>
      <c r="CAI224" s="8" t="s">
        <v>3103</v>
      </c>
      <c r="CCE224" s="8" t="s">
        <v>3103</v>
      </c>
      <c r="CTD224" s="8" t="s">
        <v>5451</v>
      </c>
      <c r="CUY224" s="8" t="s">
        <v>5355</v>
      </c>
      <c r="CUZ224" s="8" t="s">
        <v>5355</v>
      </c>
      <c r="CVA224" s="8" t="s">
        <v>5355</v>
      </c>
      <c r="DBI224" s="8" t="s">
        <v>127</v>
      </c>
      <c r="DPH224" s="8" t="s">
        <v>130</v>
      </c>
      <c r="DUV224" s="8" t="s">
        <v>130</v>
      </c>
      <c r="IUS224" s="8" t="s">
        <v>130</v>
      </c>
      <c r="IVX224" s="8" t="s">
        <v>1259</v>
      </c>
    </row>
    <row r="225" spans="1:677 1352:2025 2049:2937 3224:3273">
      <c r="A225" s="8" t="s">
        <v>1293</v>
      </c>
      <c r="B225" s="10" t="s">
        <v>10592</v>
      </c>
      <c r="C225" s="8">
        <v>355.3</v>
      </c>
      <c r="D225" s="15">
        <v>5.3</v>
      </c>
      <c r="NE225" s="8" t="s">
        <v>10592</v>
      </c>
      <c r="AYZ225" s="8" t="s">
        <v>4739</v>
      </c>
      <c r="AZA225" s="8" t="s">
        <v>4739</v>
      </c>
      <c r="BFM225" s="8" t="s">
        <v>4316</v>
      </c>
      <c r="BHI225" s="8" t="s">
        <v>3933</v>
      </c>
      <c r="BJE225" s="8" t="s">
        <v>3570</v>
      </c>
      <c r="BMW225" s="8" t="s">
        <v>3454</v>
      </c>
      <c r="CCN225" s="8" t="s">
        <v>3104</v>
      </c>
      <c r="CEJ225" s="8" t="s">
        <v>3104</v>
      </c>
      <c r="DGB225" s="8" t="s">
        <v>5452</v>
      </c>
      <c r="DHW225" s="8" t="s">
        <v>5356</v>
      </c>
      <c r="DHX225" s="8" t="s">
        <v>5356</v>
      </c>
      <c r="DHY225" s="8" t="s">
        <v>5356</v>
      </c>
    </row>
    <row r="226" spans="1:677 1352:2025 2049:2937 3224:3273">
      <c r="A226" s="8" t="s">
        <v>1293</v>
      </c>
      <c r="B226" s="10" t="s">
        <v>10591</v>
      </c>
      <c r="C226" s="8">
        <v>361.6</v>
      </c>
      <c r="D226" s="15">
        <v>6.36</v>
      </c>
      <c r="NL226" s="8" t="s">
        <v>10591</v>
      </c>
      <c r="BAV226" s="8" t="s">
        <v>4740</v>
      </c>
      <c r="BAW226" s="8" t="s">
        <v>4740</v>
      </c>
      <c r="BCR226" s="8" t="s">
        <v>4740</v>
      </c>
      <c r="BCS226" s="8" t="s">
        <v>4740</v>
      </c>
      <c r="BGK226" s="8" t="s">
        <v>4317</v>
      </c>
      <c r="BIG226" s="8" t="s">
        <v>3934</v>
      </c>
      <c r="BKC226" s="8" t="s">
        <v>3571</v>
      </c>
      <c r="BNU226" s="8" t="s">
        <v>3455</v>
      </c>
      <c r="CCN226" s="8" t="s">
        <v>3105</v>
      </c>
      <c r="CEJ226" s="8" t="s">
        <v>3105</v>
      </c>
      <c r="DSZ226" s="8" t="s">
        <v>5453</v>
      </c>
      <c r="DUU226" s="8" t="s">
        <v>5357</v>
      </c>
      <c r="DUV226" s="8" t="s">
        <v>5357</v>
      </c>
      <c r="DUW226" s="8" t="s">
        <v>5357</v>
      </c>
    </row>
    <row r="227" spans="1:677 1352:2025 2049:2937 3224:3273">
      <c r="A227" s="8" t="s">
        <v>1293</v>
      </c>
      <c r="B227" s="10" t="s">
        <v>13857</v>
      </c>
      <c r="C227" s="8">
        <v>373.4</v>
      </c>
      <c r="D227" s="15">
        <v>10.6</v>
      </c>
      <c r="OB227" s="8" t="s">
        <v>13857</v>
      </c>
      <c r="AZX227" s="8" t="s">
        <v>6192</v>
      </c>
      <c r="BJD227" s="8" t="s">
        <v>4318</v>
      </c>
      <c r="BKZ227" s="8" t="s">
        <v>3935</v>
      </c>
      <c r="BMV227" s="8" t="s">
        <v>3572</v>
      </c>
      <c r="BNT227" s="8" t="s">
        <v>4741</v>
      </c>
      <c r="BNU227" s="8" t="s">
        <v>4741</v>
      </c>
      <c r="BPP227" s="8" t="s">
        <v>4741</v>
      </c>
      <c r="BPQ227" s="8" t="s">
        <v>4741</v>
      </c>
      <c r="BQN227" s="8" t="s">
        <v>3456</v>
      </c>
      <c r="CEJ227" s="8" t="s">
        <v>3106</v>
      </c>
      <c r="CGF227" s="8" t="s">
        <v>3106</v>
      </c>
    </row>
    <row r="228" spans="1:677 1352:2025 2049:2937 3224:3273">
      <c r="A228" s="8" t="s">
        <v>1293</v>
      </c>
      <c r="B228" s="10" t="s">
        <v>10597</v>
      </c>
      <c r="C228" s="8">
        <v>385</v>
      </c>
      <c r="D228" s="15">
        <v>7.69</v>
      </c>
      <c r="OK228" s="8" t="s">
        <v>10597</v>
      </c>
      <c r="BCR228" s="8" t="s">
        <v>6193</v>
      </c>
      <c r="BLX228" s="8" t="s">
        <v>4319</v>
      </c>
      <c r="BNT228" s="8" t="s">
        <v>3936</v>
      </c>
      <c r="BPP228" s="8" t="s">
        <v>3573</v>
      </c>
      <c r="BTH228" s="8" t="s">
        <v>3457</v>
      </c>
      <c r="BWZ228" s="8" t="s">
        <v>4742</v>
      </c>
      <c r="BXA228" s="8" t="s">
        <v>4742</v>
      </c>
      <c r="BYV228" s="8" t="s">
        <v>4742</v>
      </c>
      <c r="BYW228" s="8" t="s">
        <v>4742</v>
      </c>
      <c r="CEJ228" s="8" t="s">
        <v>3107</v>
      </c>
      <c r="CGF228" s="8" t="s">
        <v>3107</v>
      </c>
    </row>
    <row r="229" spans="1:677 1352:2025 2049:2937 3224:3273">
      <c r="A229" s="8" t="s">
        <v>1293</v>
      </c>
      <c r="B229" s="10" t="s">
        <v>10602</v>
      </c>
      <c r="C229" s="8">
        <v>393.69</v>
      </c>
      <c r="D229" s="15">
        <v>10</v>
      </c>
      <c r="OV229" s="8" t="s">
        <v>10602</v>
      </c>
      <c r="BAV229" s="8" t="s">
        <v>4320</v>
      </c>
      <c r="BIF229" s="8" t="s">
        <v>6194</v>
      </c>
      <c r="BRL229" s="8" t="s">
        <v>4320</v>
      </c>
      <c r="BTH229" s="8" t="s">
        <v>3937</v>
      </c>
      <c r="BVD229" s="8" t="s">
        <v>3574</v>
      </c>
      <c r="BYV229" s="8" t="s">
        <v>4743</v>
      </c>
      <c r="BYW229" s="8" t="s">
        <v>4743</v>
      </c>
      <c r="CAR229" s="8" t="s">
        <v>4743</v>
      </c>
      <c r="CAS229" s="8" t="s">
        <v>4743</v>
      </c>
      <c r="CJX229" s="8" t="s">
        <v>3108</v>
      </c>
      <c r="CLT229" s="8" t="s">
        <v>3108</v>
      </c>
    </row>
    <row r="230" spans="1:677 1352:2025 2049:2937 3224:3273">
      <c r="A230" s="8" t="s">
        <v>1293</v>
      </c>
      <c r="B230" s="10" t="s">
        <v>13858</v>
      </c>
      <c r="C230" s="8">
        <v>404.69</v>
      </c>
      <c r="D230" s="15">
        <v>3.18</v>
      </c>
      <c r="OZ230" s="8" t="s">
        <v>13858</v>
      </c>
      <c r="BCI230" s="8" t="s">
        <v>4321</v>
      </c>
      <c r="BCR230" s="8" t="s">
        <v>2678</v>
      </c>
      <c r="BEN230" s="8" t="s">
        <v>2313</v>
      </c>
      <c r="BJS230" s="8" t="s">
        <v>6195</v>
      </c>
      <c r="BSY230" s="8" t="s">
        <v>4321</v>
      </c>
      <c r="BUU230" s="8" t="s">
        <v>3938</v>
      </c>
      <c r="BWQ230" s="8" t="s">
        <v>3575</v>
      </c>
      <c r="CAI230" s="8" t="s">
        <v>3103</v>
      </c>
      <c r="CJX230" s="8" t="s">
        <v>4744</v>
      </c>
      <c r="CJY230" s="8" t="s">
        <v>4744</v>
      </c>
      <c r="CLT230" s="8" t="s">
        <v>4744</v>
      </c>
      <c r="CLU230" s="8" t="s">
        <v>4744</v>
      </c>
    </row>
    <row r="231" spans="1:677 1352:2025 2049:2937 3224:3273">
      <c r="A231" s="8" t="s">
        <v>1293</v>
      </c>
      <c r="B231" s="10" t="s">
        <v>10596</v>
      </c>
      <c r="C231" s="8">
        <v>408.86</v>
      </c>
      <c r="D231" s="15">
        <v>5.3</v>
      </c>
      <c r="PF231" s="8" t="s">
        <v>10596</v>
      </c>
      <c r="BEN231" s="8" t="s">
        <v>4322</v>
      </c>
      <c r="BGJ231" s="8" t="s">
        <v>2314</v>
      </c>
      <c r="BLX231" s="8" t="s">
        <v>6196</v>
      </c>
      <c r="BVD231" s="8" t="s">
        <v>4322</v>
      </c>
      <c r="BWZ231" s="8" t="s">
        <v>3939</v>
      </c>
      <c r="BYV231" s="8" t="s">
        <v>3576</v>
      </c>
      <c r="CCN231" s="8" t="s">
        <v>3104</v>
      </c>
      <c r="CJX231" s="8" t="s">
        <v>3110</v>
      </c>
      <c r="CLT231" s="8" t="s">
        <v>3110</v>
      </c>
      <c r="CPL231" s="8" t="s">
        <v>4745</v>
      </c>
      <c r="CPM231" s="8" t="s">
        <v>4745</v>
      </c>
      <c r="CRH231" s="8" t="s">
        <v>4745</v>
      </c>
      <c r="CRI231" s="8" t="s">
        <v>4745</v>
      </c>
    </row>
    <row r="232" spans="1:677 1352:2025 2049:2937 3224:3273">
      <c r="A232" s="8" t="s">
        <v>1293</v>
      </c>
      <c r="B232" s="10" t="s">
        <v>10593</v>
      </c>
      <c r="C232" s="8">
        <v>415.16</v>
      </c>
      <c r="D232" s="15">
        <v>5.3</v>
      </c>
      <c r="PL232" s="8" t="s">
        <v>10593</v>
      </c>
      <c r="BEN232" s="8" t="s">
        <v>4323</v>
      </c>
      <c r="BGJ232" s="8" t="s">
        <v>2679</v>
      </c>
      <c r="BIF232" s="8" t="s">
        <v>2315</v>
      </c>
      <c r="BLX232" s="8" t="s">
        <v>6197</v>
      </c>
      <c r="BVD232" s="8" t="s">
        <v>4323</v>
      </c>
      <c r="BWZ232" s="8" t="s">
        <v>3940</v>
      </c>
      <c r="BYV232" s="8" t="s">
        <v>3577</v>
      </c>
      <c r="CCN232" s="8" t="s">
        <v>3105</v>
      </c>
      <c r="CLT232" s="8" t="s">
        <v>3111</v>
      </c>
      <c r="CNP232" s="8" t="s">
        <v>3111</v>
      </c>
    </row>
    <row r="233" spans="1:677 1352:2025 2049:2937 3224:3273">
      <c r="A233" s="8" t="s">
        <v>1293</v>
      </c>
      <c r="B233" s="10" t="s">
        <v>10603</v>
      </c>
      <c r="C233" s="8">
        <v>421.46</v>
      </c>
      <c r="D233" s="15">
        <v>5</v>
      </c>
      <c r="PR233" s="8" t="s">
        <v>10603</v>
      </c>
      <c r="AYZ233" s="8" t="s">
        <v>116</v>
      </c>
      <c r="BGJ233" s="8" t="s">
        <v>4324</v>
      </c>
      <c r="BIF233" s="8" t="s">
        <v>2680</v>
      </c>
      <c r="BKB233" s="8" t="s">
        <v>2316</v>
      </c>
      <c r="BNT233" s="8" t="s">
        <v>6198</v>
      </c>
      <c r="BWZ233" s="8" t="s">
        <v>4324</v>
      </c>
      <c r="BYV233" s="8" t="s">
        <v>3941</v>
      </c>
      <c r="CAR233" s="8" t="s">
        <v>3578</v>
      </c>
      <c r="CEJ233" s="8" t="s">
        <v>3458</v>
      </c>
      <c r="CNP233" s="8" t="s">
        <v>3112</v>
      </c>
      <c r="CPL233" s="8" t="s">
        <v>3112</v>
      </c>
    </row>
    <row r="234" spans="1:677 1352:2025 2049:2937 3224:3273">
      <c r="A234" s="8" t="s">
        <v>1293</v>
      </c>
      <c r="B234" s="10" t="s">
        <v>13859</v>
      </c>
      <c r="C234" s="8">
        <v>427.46</v>
      </c>
      <c r="D234" s="15">
        <v>2.65</v>
      </c>
      <c r="PV234" s="8" t="s">
        <v>13859</v>
      </c>
      <c r="BAG234" s="8" t="s">
        <v>693</v>
      </c>
      <c r="BGJ234" s="8" t="s">
        <v>4325</v>
      </c>
      <c r="BNT234" s="8" t="s">
        <v>6199</v>
      </c>
      <c r="BWZ234" s="8" t="s">
        <v>4325</v>
      </c>
      <c r="BYV234" s="8" t="s">
        <v>3942</v>
      </c>
      <c r="CAR234" s="8" t="s">
        <v>3579</v>
      </c>
      <c r="CCN234" s="8" t="s">
        <v>2681</v>
      </c>
      <c r="CEJ234" s="8" t="s">
        <v>3106</v>
      </c>
      <c r="CNP234" s="8" t="s">
        <v>3113</v>
      </c>
      <c r="CPL234" s="8" t="s">
        <v>3113</v>
      </c>
    </row>
    <row r="235" spans="1:677 1352:2025 2049:2937 3224:3273">
      <c r="A235" s="8" t="s">
        <v>1293</v>
      </c>
      <c r="B235" s="10" t="s">
        <v>10594</v>
      </c>
      <c r="C235" s="8">
        <v>625</v>
      </c>
      <c r="D235" s="15">
        <v>10.6</v>
      </c>
      <c r="XT235" s="17" t="s">
        <v>10594</v>
      </c>
      <c r="BAV235" s="8" t="s">
        <v>117</v>
      </c>
      <c r="BCR235" s="8" t="s">
        <v>117</v>
      </c>
      <c r="BGJ235" s="8" t="s">
        <v>4326</v>
      </c>
      <c r="BNT235" s="8" t="s">
        <v>6200</v>
      </c>
      <c r="BWZ235" s="8" t="s">
        <v>4326</v>
      </c>
      <c r="BYV235" s="8" t="s">
        <v>3943</v>
      </c>
      <c r="CAR235" s="8" t="s">
        <v>3580</v>
      </c>
      <c r="CEA235" s="8" t="s">
        <v>2682</v>
      </c>
      <c r="CEJ235" s="8" t="s">
        <v>3107</v>
      </c>
      <c r="CFW235" s="8" t="s">
        <v>2317</v>
      </c>
      <c r="CNP235" s="8" t="s">
        <v>3114</v>
      </c>
      <c r="CPL235" s="8" t="s">
        <v>3114</v>
      </c>
    </row>
    <row r="236" spans="1:677 1352:2025 2049:2937 3224:3273">
      <c r="A236" s="8" t="s">
        <v>1293</v>
      </c>
      <c r="B236" s="10" t="s">
        <v>13860</v>
      </c>
      <c r="C236" s="8">
        <v>636.6</v>
      </c>
      <c r="D236" s="15">
        <v>3.45</v>
      </c>
      <c r="XX236" s="8" t="s">
        <v>13860</v>
      </c>
      <c r="AZC236" s="8" t="s">
        <v>131</v>
      </c>
      <c r="BEN236" s="8" t="s">
        <v>118</v>
      </c>
      <c r="BGJ236" s="8" t="s">
        <v>118</v>
      </c>
      <c r="BHI236" s="8" t="s">
        <v>4327</v>
      </c>
      <c r="BOS236" s="8" t="s">
        <v>6201</v>
      </c>
      <c r="BXY236" s="8" t="s">
        <v>4327</v>
      </c>
      <c r="BZU236" s="8" t="s">
        <v>3944</v>
      </c>
      <c r="CBQ236" s="8" t="s">
        <v>3581</v>
      </c>
      <c r="CFI236" s="8" t="s">
        <v>3459</v>
      </c>
      <c r="CGF236" s="8" t="s">
        <v>2683</v>
      </c>
      <c r="CIB236" s="8" t="s">
        <v>2318</v>
      </c>
      <c r="CRH236" s="8" t="s">
        <v>3115</v>
      </c>
      <c r="CTD236" s="8" t="s">
        <v>3115</v>
      </c>
    </row>
    <row r="237" spans="1:677 1352:2025 2049:2937 3224:3273">
      <c r="A237" s="8" t="s">
        <v>1293</v>
      </c>
      <c r="B237" s="10" t="s">
        <v>13861</v>
      </c>
      <c r="C237" s="8">
        <v>646.5</v>
      </c>
      <c r="D237" s="15">
        <v>10.6</v>
      </c>
      <c r="YO237" s="8" t="s">
        <v>13861</v>
      </c>
      <c r="AYZ237" s="8" t="s">
        <v>1314</v>
      </c>
      <c r="BAV237" s="8" t="s">
        <v>1314</v>
      </c>
      <c r="BFT237" s="8" t="s">
        <v>119</v>
      </c>
      <c r="BHP237" s="8" t="s">
        <v>119</v>
      </c>
      <c r="BLX237" s="8" t="s">
        <v>4328</v>
      </c>
      <c r="BTH237" s="8" t="s">
        <v>6202</v>
      </c>
      <c r="CCN237" s="8" t="s">
        <v>4328</v>
      </c>
      <c r="CEJ237" s="8" t="s">
        <v>3945</v>
      </c>
      <c r="CGF237" s="8" t="s">
        <v>3505</v>
      </c>
      <c r="CIB237" s="8" t="s">
        <v>2319</v>
      </c>
      <c r="CJX237" s="8" t="s">
        <v>3108</v>
      </c>
      <c r="CRH237" s="8" t="s">
        <v>3116</v>
      </c>
      <c r="CTD237" s="8" t="s">
        <v>3116</v>
      </c>
    </row>
    <row r="238" spans="1:677 1352:2025 2049:2937 3224:3273">
      <c r="A238" s="8" t="s">
        <v>1293</v>
      </c>
      <c r="B238" s="10" t="s">
        <v>10605</v>
      </c>
      <c r="C238" s="8">
        <v>646.74</v>
      </c>
      <c r="D238" s="15">
        <v>5.3</v>
      </c>
      <c r="YJ238" s="17" t="s">
        <v>10605</v>
      </c>
      <c r="BAI238" s="8" t="s">
        <v>1889</v>
      </c>
      <c r="BCE238" s="8" t="s">
        <v>1459</v>
      </c>
      <c r="BFW238" s="8" t="s">
        <v>134</v>
      </c>
      <c r="BGJ238" s="8" t="s">
        <v>120</v>
      </c>
      <c r="BHS238" s="8" t="s">
        <v>134</v>
      </c>
      <c r="BIF238" s="8" t="s">
        <v>120</v>
      </c>
      <c r="BJO238" s="8" t="s">
        <v>134</v>
      </c>
      <c r="BLK238" s="8" t="s">
        <v>134</v>
      </c>
      <c r="BLX238" s="8" t="s">
        <v>4329</v>
      </c>
      <c r="BTH238" s="8" t="s">
        <v>6203</v>
      </c>
      <c r="CCN238" s="8" t="s">
        <v>4329</v>
      </c>
      <c r="CEJ238" s="8" t="s">
        <v>3946</v>
      </c>
      <c r="CGF238" s="8" t="s">
        <v>3582</v>
      </c>
      <c r="CIB238" s="8" t="s">
        <v>2684</v>
      </c>
      <c r="CJX238" s="8" t="s">
        <v>3109</v>
      </c>
    </row>
    <row r="239" spans="1:677 1352:2025 2049:2937 3224:3273">
      <c r="A239" s="8" t="s">
        <v>1293</v>
      </c>
      <c r="B239" s="10" t="s">
        <v>13862</v>
      </c>
      <c r="C239" s="8">
        <v>652.04</v>
      </c>
      <c r="D239" s="15">
        <v>5</v>
      </c>
      <c r="YO239" s="8" t="s">
        <v>13862</v>
      </c>
      <c r="BIF239" s="8" t="s">
        <v>121</v>
      </c>
      <c r="BKB239" s="8" t="s">
        <v>1890</v>
      </c>
      <c r="BLX239" s="8" t="s">
        <v>4330</v>
      </c>
      <c r="BPP239" s="8" t="s">
        <v>135</v>
      </c>
      <c r="BRL239" s="8" t="s">
        <v>135</v>
      </c>
      <c r="BTH239" s="8" t="s">
        <v>6204</v>
      </c>
      <c r="BVD239" s="8" t="s">
        <v>135</v>
      </c>
      <c r="CCN239" s="8" t="s">
        <v>4330</v>
      </c>
      <c r="CEJ239" s="8" t="s">
        <v>3947</v>
      </c>
      <c r="CGF239" s="8" t="s">
        <v>3583</v>
      </c>
      <c r="CIB239" s="8" t="s">
        <v>2685</v>
      </c>
      <c r="CJX239" s="8" t="s">
        <v>3110</v>
      </c>
    </row>
    <row r="240" spans="1:677 1352:2025 2049:2937 3224:3273">
      <c r="A240" s="8" t="s">
        <v>1293</v>
      </c>
      <c r="B240" s="10" t="s">
        <v>10595</v>
      </c>
      <c r="C240" s="8">
        <v>658.04</v>
      </c>
      <c r="D240" s="15">
        <v>10.6</v>
      </c>
      <c r="ZA240" s="8" t="s">
        <v>10595</v>
      </c>
      <c r="BNT240" s="8" t="s">
        <v>4331</v>
      </c>
      <c r="BVD240" s="8" t="s">
        <v>6205</v>
      </c>
      <c r="BWZ240" s="8" t="s">
        <v>122</v>
      </c>
      <c r="CEJ240" s="8" t="s">
        <v>4331</v>
      </c>
      <c r="CGF240" s="8" t="s">
        <v>3948</v>
      </c>
      <c r="CIB240" s="8" t="s">
        <v>3584</v>
      </c>
      <c r="CJX240" s="8" t="s">
        <v>1891</v>
      </c>
      <c r="CLT240" s="8" t="s">
        <v>3111</v>
      </c>
      <c r="CNP240" s="8" t="s">
        <v>2686</v>
      </c>
      <c r="CPL240" s="8" t="s">
        <v>2320</v>
      </c>
      <c r="CRH240" s="8" t="s">
        <v>1356</v>
      </c>
      <c r="CTD240" s="8" t="s">
        <v>1356</v>
      </c>
      <c r="CUZ240" s="8" t="s">
        <v>1356</v>
      </c>
    </row>
    <row r="241" spans="1:831 1352:2024 2056:3060 3080:3080">
      <c r="A241" s="8" t="s">
        <v>1293</v>
      </c>
      <c r="B241" s="10" t="s">
        <v>10600</v>
      </c>
      <c r="C241" s="8">
        <v>678.33</v>
      </c>
      <c r="D241" s="15">
        <v>10</v>
      </c>
      <c r="ZT241" s="8" t="s">
        <v>10600</v>
      </c>
      <c r="BPP241" s="8" t="s">
        <v>4332</v>
      </c>
      <c r="BWZ241" s="8" t="s">
        <v>6206</v>
      </c>
      <c r="BYF241" s="8" t="s">
        <v>124</v>
      </c>
      <c r="CAB241" s="8" t="s">
        <v>124</v>
      </c>
      <c r="CGF241" s="8" t="s">
        <v>4332</v>
      </c>
      <c r="CIB241" s="8" t="s">
        <v>3949</v>
      </c>
      <c r="CJX241" s="8" t="s">
        <v>3585</v>
      </c>
      <c r="CNP241" s="8" t="s">
        <v>3112</v>
      </c>
      <c r="CPL241" s="8" t="s">
        <v>2321</v>
      </c>
      <c r="CWV241" s="8" t="s">
        <v>1892</v>
      </c>
      <c r="CYR241" s="8" t="s">
        <v>1460</v>
      </c>
      <c r="DCJ241" s="8" t="s">
        <v>1357</v>
      </c>
      <c r="DEF241" s="8" t="s">
        <v>1357</v>
      </c>
      <c r="DGB241" s="8" t="s">
        <v>1357</v>
      </c>
      <c r="DHX241" s="8" t="s">
        <v>1357</v>
      </c>
    </row>
    <row r="242" spans="1:831 1352:2024 2056:3060 3080:3080">
      <c r="A242" s="8" t="s">
        <v>1293</v>
      </c>
      <c r="B242" s="10" t="s">
        <v>13863</v>
      </c>
      <c r="C242" s="8">
        <v>689.33</v>
      </c>
      <c r="D242" s="15">
        <v>5.3</v>
      </c>
      <c r="AAA242" s="8" t="s">
        <v>13863</v>
      </c>
      <c r="BPP242" s="8" t="s">
        <v>4333</v>
      </c>
      <c r="BWZ242" s="8" t="s">
        <v>6207</v>
      </c>
      <c r="BYV242" s="8" t="s">
        <v>125</v>
      </c>
      <c r="CAR242" s="8" t="s">
        <v>125</v>
      </c>
      <c r="CGF242" s="8" t="s">
        <v>4333</v>
      </c>
      <c r="CIB242" s="8" t="s">
        <v>3950</v>
      </c>
      <c r="CJX242" s="8" t="s">
        <v>3586</v>
      </c>
      <c r="CNP242" s="8" t="s">
        <v>3113</v>
      </c>
      <c r="CPL242" s="8" t="s">
        <v>2322</v>
      </c>
      <c r="DCJ242" s="8" t="s">
        <v>1893</v>
      </c>
      <c r="DEF242" s="8" t="s">
        <v>1461</v>
      </c>
      <c r="DHX242" s="8" t="s">
        <v>1358</v>
      </c>
      <c r="DJT242" s="8" t="s">
        <v>1358</v>
      </c>
      <c r="DLP242" s="8" t="s">
        <v>1358</v>
      </c>
      <c r="DNL242" s="8" t="s">
        <v>1358</v>
      </c>
    </row>
    <row r="243" spans="1:831 1352:2024 2056:3060 3080:3080">
      <c r="A243" s="8" t="s">
        <v>1293</v>
      </c>
      <c r="B243" s="10" t="s">
        <v>13864</v>
      </c>
      <c r="C243" s="8">
        <v>695.63</v>
      </c>
      <c r="D243" s="15">
        <v>10.6</v>
      </c>
      <c r="AAL243" s="8" t="s">
        <v>13864</v>
      </c>
      <c r="BPP243" s="8" t="s">
        <v>4334</v>
      </c>
      <c r="BWZ243" s="8" t="s">
        <v>6208</v>
      </c>
      <c r="CGF243" s="8" t="s">
        <v>4334</v>
      </c>
      <c r="CIB243" s="8" t="s">
        <v>3951</v>
      </c>
      <c r="CJX243" s="8" t="s">
        <v>3587</v>
      </c>
      <c r="CMO243" s="8" t="s">
        <v>126</v>
      </c>
      <c r="CNP243" s="8" t="s">
        <v>3114</v>
      </c>
      <c r="COK243" s="8" t="s">
        <v>126</v>
      </c>
      <c r="CPL243" s="8" t="s">
        <v>2687</v>
      </c>
      <c r="CRH243" s="8" t="s">
        <v>2323</v>
      </c>
    </row>
    <row r="244" spans="1:831 1352:2024 2056:3060 3080:3080" ht="14.25" customHeight="1">
      <c r="A244" s="8" t="s">
        <v>1293</v>
      </c>
      <c r="B244" s="10" t="s">
        <v>10598</v>
      </c>
      <c r="C244" s="8">
        <v>710.23</v>
      </c>
      <c r="D244" s="15">
        <v>10</v>
      </c>
      <c r="AAZ244" s="8" t="s">
        <v>10598</v>
      </c>
      <c r="AYZ244" s="8" t="s">
        <v>27</v>
      </c>
      <c r="CNU244" s="8" t="s">
        <v>127</v>
      </c>
      <c r="CPQ244" s="8" t="s">
        <v>127</v>
      </c>
      <c r="CRH244" s="8" t="s">
        <v>2688</v>
      </c>
      <c r="CTD244" s="8" t="s">
        <v>2324</v>
      </c>
    </row>
    <row r="245" spans="1:831 1352:2024 2056:3060 3080:3080">
      <c r="A245" s="8" t="s">
        <v>1293</v>
      </c>
      <c r="B245" s="10" t="s">
        <v>13865</v>
      </c>
      <c r="C245" s="8">
        <v>727.79</v>
      </c>
      <c r="D245" s="15">
        <v>5.3</v>
      </c>
      <c r="ABM245" s="8" t="s">
        <v>13865</v>
      </c>
      <c r="BCJ245" s="8" t="s">
        <v>28</v>
      </c>
      <c r="BCN245" s="8" t="s">
        <v>28</v>
      </c>
      <c r="BCR245" s="8" t="s">
        <v>28</v>
      </c>
      <c r="CRH245" s="8" t="s">
        <v>2689</v>
      </c>
      <c r="CSC245" s="8" t="s">
        <v>128</v>
      </c>
      <c r="CTD245" s="8" t="s">
        <v>2325</v>
      </c>
      <c r="CTY245" s="8" t="s">
        <v>128</v>
      </c>
    </row>
    <row r="246" spans="1:831 1352:2024 2056:3060 3080:3080">
      <c r="A246" s="8" t="s">
        <v>1293</v>
      </c>
      <c r="B246" s="10" t="s">
        <v>10604</v>
      </c>
      <c r="C246" s="8">
        <v>740.39</v>
      </c>
      <c r="D246" s="15">
        <v>3.44</v>
      </c>
      <c r="ABX246" s="8" t="s">
        <v>10604</v>
      </c>
      <c r="BCJ246" s="8" t="s">
        <v>29</v>
      </c>
      <c r="BCN246" s="8" t="s">
        <v>29</v>
      </c>
      <c r="BCR246" s="8" t="s">
        <v>29</v>
      </c>
      <c r="CRH246" s="8" t="s">
        <v>2690</v>
      </c>
      <c r="CTD246" s="8" t="s">
        <v>2326</v>
      </c>
      <c r="CYR246" s="8" t="s">
        <v>129</v>
      </c>
      <c r="DAN246" s="8" t="s">
        <v>129</v>
      </c>
    </row>
    <row r="247" spans="1:831 1352:2024 2056:3060 3080:3080">
      <c r="A247" s="8" t="s">
        <v>1293</v>
      </c>
      <c r="B247" s="10" t="s">
        <v>10599</v>
      </c>
      <c r="C247" s="8">
        <v>744.84</v>
      </c>
      <c r="D247" s="15">
        <v>10</v>
      </c>
      <c r="ACI247" s="8" t="s">
        <v>10599</v>
      </c>
      <c r="BGB247" s="8" t="s">
        <v>30</v>
      </c>
      <c r="BGF247" s="8" t="s">
        <v>30</v>
      </c>
      <c r="BGJ247" s="8" t="s">
        <v>30</v>
      </c>
      <c r="CUZ247" s="8" t="s">
        <v>2691</v>
      </c>
      <c r="CWV247" s="8" t="s">
        <v>2327</v>
      </c>
      <c r="DKV247" s="8" t="s">
        <v>107</v>
      </c>
      <c r="DMR247" s="8" t="s">
        <v>107</v>
      </c>
    </row>
    <row r="248" spans="1:831 1352:2024 2056:3060 3080:3080">
      <c r="A248" s="8" t="s">
        <v>1293</v>
      </c>
      <c r="B248" s="10" t="s">
        <v>13866</v>
      </c>
      <c r="C248" s="8">
        <v>755.84</v>
      </c>
      <c r="D248" s="15">
        <v>10.6</v>
      </c>
      <c r="ACT248" s="8" t="s">
        <v>13866</v>
      </c>
      <c r="BHX248" s="8" t="s">
        <v>31</v>
      </c>
      <c r="BIB248" s="8" t="s">
        <v>31</v>
      </c>
      <c r="BIF248" s="8" t="s">
        <v>31</v>
      </c>
      <c r="CVY248" s="8" t="s">
        <v>2692</v>
      </c>
      <c r="CXU248" s="8" t="s">
        <v>2328</v>
      </c>
      <c r="DLP248" s="8" t="s">
        <v>130</v>
      </c>
      <c r="DNL248" s="8" t="s">
        <v>130</v>
      </c>
    </row>
    <row r="249" spans="1:831 1352:2024 2056:3060 3080:3080">
      <c r="A249" s="8" t="s">
        <v>1293</v>
      </c>
      <c r="B249" s="10" t="s">
        <v>13867</v>
      </c>
      <c r="C249" s="8">
        <v>767.44</v>
      </c>
      <c r="D249" s="15">
        <v>5.3</v>
      </c>
      <c r="ADA249" s="8" t="s">
        <v>13867</v>
      </c>
      <c r="BJT249" s="8" t="s">
        <v>32</v>
      </c>
      <c r="BJX249" s="8" t="s">
        <v>32</v>
      </c>
      <c r="BKB249" s="8" t="s">
        <v>32</v>
      </c>
    </row>
    <row r="250" spans="1:831 1352:2024 2056:3060 3080:3080">
      <c r="A250" s="8" t="s">
        <v>1293</v>
      </c>
      <c r="B250" s="10" t="s">
        <v>10606</v>
      </c>
      <c r="C250" s="8">
        <v>773.74</v>
      </c>
      <c r="D250" s="15">
        <v>3</v>
      </c>
      <c r="ADE250" s="8" t="s">
        <v>10606</v>
      </c>
      <c r="BLP250" s="8" t="s">
        <v>33</v>
      </c>
      <c r="BLT250" s="8" t="s">
        <v>33</v>
      </c>
      <c r="BLX250" s="8" t="s">
        <v>33</v>
      </c>
    </row>
    <row r="251" spans="1:831 1352:2024 2056:3060 3080:3080">
      <c r="A251" s="8" t="s">
        <v>1293</v>
      </c>
      <c r="B251" s="10" t="s">
        <v>10607</v>
      </c>
      <c r="C251" s="8">
        <v>777.74</v>
      </c>
      <c r="D251" s="15">
        <v>5</v>
      </c>
      <c r="ADK251" s="8" t="s">
        <v>10607</v>
      </c>
      <c r="BNL251" s="8" t="s">
        <v>34</v>
      </c>
      <c r="BNP251" s="8" t="s">
        <v>34</v>
      </c>
      <c r="BNT251" s="8" t="s">
        <v>34</v>
      </c>
    </row>
    <row r="252" spans="1:831 1352:2024 2056:3060 3080:3080">
      <c r="A252" s="8" t="s">
        <v>1293</v>
      </c>
      <c r="B252" s="10" t="s">
        <v>10608</v>
      </c>
      <c r="C252" s="8">
        <v>783.74</v>
      </c>
      <c r="D252" s="15">
        <v>10</v>
      </c>
      <c r="ADV252" s="8" t="s">
        <v>10608</v>
      </c>
      <c r="BST252" s="8" t="s">
        <v>35</v>
      </c>
      <c r="BSX252" s="8" t="s">
        <v>35</v>
      </c>
      <c r="BTB252" s="8" t="s">
        <v>35</v>
      </c>
    </row>
    <row r="253" spans="1:831 1352:2024 2056:3060 3080:3080">
      <c r="A253" s="8" t="s">
        <v>1293</v>
      </c>
      <c r="B253" s="10" t="s">
        <v>13868</v>
      </c>
      <c r="C253" s="8">
        <v>794.74</v>
      </c>
      <c r="D253" s="15">
        <v>5.3</v>
      </c>
      <c r="AEB253" s="8" t="s">
        <v>13868</v>
      </c>
      <c r="AYZ253" s="8" t="s">
        <v>5223</v>
      </c>
      <c r="BTD253" s="8" t="s">
        <v>36</v>
      </c>
      <c r="BTH253" s="8" t="s">
        <v>36</v>
      </c>
      <c r="BTL253" s="8" t="s">
        <v>36</v>
      </c>
    </row>
    <row r="254" spans="1:831 1352:2024 2056:3060 3080:3080">
      <c r="A254" s="8" t="s">
        <v>1293</v>
      </c>
      <c r="B254" s="10" t="s">
        <v>10609</v>
      </c>
      <c r="C254" s="8">
        <v>801.04</v>
      </c>
      <c r="D254" s="15">
        <v>10</v>
      </c>
      <c r="AEM254" s="8" t="s">
        <v>10609</v>
      </c>
      <c r="BAC254" s="8" t="e">
        <v>#N/A</v>
      </c>
      <c r="BUM254" s="8" t="s">
        <v>37</v>
      </c>
      <c r="BUQ254" s="8" t="s">
        <v>37</v>
      </c>
      <c r="BUU254" s="8" t="s">
        <v>37</v>
      </c>
    </row>
    <row r="255" spans="1:831 1352:2024 2056:3060 3080:3080">
      <c r="A255" s="8" t="s">
        <v>1293</v>
      </c>
      <c r="B255" s="10" t="s">
        <v>10610</v>
      </c>
      <c r="C255" s="8">
        <v>812.04</v>
      </c>
      <c r="D255" s="15">
        <v>5</v>
      </c>
      <c r="AES255" s="8" t="s">
        <v>10610</v>
      </c>
      <c r="BAV255" s="8" t="s">
        <v>5224</v>
      </c>
      <c r="BEN255" s="8" t="s">
        <v>132</v>
      </c>
      <c r="BUV255" s="8" t="s">
        <v>38</v>
      </c>
      <c r="BUZ255" s="8" t="s">
        <v>38</v>
      </c>
      <c r="BVD255" s="8" t="s">
        <v>38</v>
      </c>
    </row>
    <row r="256" spans="1:831 1352:2024 2056:3060 3080:3080">
      <c r="A256" s="8" t="s">
        <v>1293</v>
      </c>
      <c r="B256" s="10" t="s">
        <v>10611</v>
      </c>
      <c r="C256" s="8">
        <v>818.04</v>
      </c>
      <c r="D256" s="15">
        <v>5</v>
      </c>
      <c r="AEY256" s="8" t="s">
        <v>10611</v>
      </c>
      <c r="BAV256" s="8" t="s">
        <v>5225</v>
      </c>
      <c r="BUQ256" s="8" t="s">
        <v>133</v>
      </c>
      <c r="BWM256" s="8" t="s">
        <v>39</v>
      </c>
      <c r="BWQ256" s="8" t="s">
        <v>39</v>
      </c>
      <c r="BWU256" s="8" t="s">
        <v>39</v>
      </c>
    </row>
    <row r="257" spans="1:955 1352:2047 2120:2792 3408:4040 4325:4328">
      <c r="A257" s="8" t="s">
        <v>1293</v>
      </c>
      <c r="B257" s="10" t="s">
        <v>10612</v>
      </c>
      <c r="C257" s="8">
        <v>824.04</v>
      </c>
      <c r="D257" s="15">
        <v>5</v>
      </c>
      <c r="AFE257" s="8" t="s">
        <v>10612</v>
      </c>
      <c r="BAV257" s="8" t="s">
        <v>5226</v>
      </c>
      <c r="BYR257" s="8" t="s">
        <v>40</v>
      </c>
      <c r="BYV257" s="8" t="s">
        <v>40</v>
      </c>
      <c r="BYZ257" s="8" t="s">
        <v>40</v>
      </c>
      <c r="CEJ257" s="8" t="s">
        <v>134</v>
      </c>
    </row>
    <row r="258" spans="1:955 1352:2047 2120:2792 3408:4040 4325:4328">
      <c r="A258" s="8" t="s">
        <v>1293</v>
      </c>
      <c r="B258" s="10" t="s">
        <v>10613</v>
      </c>
      <c r="C258" s="8">
        <v>830.04</v>
      </c>
      <c r="D258" s="15">
        <v>10</v>
      </c>
      <c r="AFP258" s="8" t="s">
        <v>10613</v>
      </c>
      <c r="BAV258" s="8" t="s">
        <v>5227</v>
      </c>
      <c r="BYV258" s="8" t="s">
        <v>41</v>
      </c>
      <c r="BYZ258" s="8" t="s">
        <v>41</v>
      </c>
      <c r="BZD258" s="8" t="s">
        <v>41</v>
      </c>
    </row>
    <row r="259" spans="1:955 1352:2047 2120:2792 3408:4040 4325:4328">
      <c r="A259" s="8" t="s">
        <v>1293</v>
      </c>
      <c r="B259" s="10" t="s">
        <v>10614</v>
      </c>
      <c r="C259" s="8">
        <v>841.04</v>
      </c>
      <c r="D259" s="15">
        <v>10</v>
      </c>
      <c r="AGA259" s="8" t="s">
        <v>10614</v>
      </c>
      <c r="AYZ259" s="8" t="s">
        <v>5228</v>
      </c>
      <c r="BCR259" s="8" t="s">
        <v>5228</v>
      </c>
      <c r="BYZ259" s="8" t="s">
        <v>42</v>
      </c>
      <c r="BZD259" s="8" t="s">
        <v>42</v>
      </c>
      <c r="BZH259" s="8" t="s">
        <v>42</v>
      </c>
    </row>
    <row r="260" spans="1:955 1352:2047 2120:2792 3408:4040 4325:4328">
      <c r="A260" s="8" t="s">
        <v>1293</v>
      </c>
      <c r="B260" s="10" t="s">
        <v>10615</v>
      </c>
      <c r="C260" s="8">
        <v>852.04</v>
      </c>
      <c r="D260" s="15">
        <v>6.75</v>
      </c>
      <c r="AGI260" s="8" t="s">
        <v>10615</v>
      </c>
      <c r="AYZ260" s="8" t="s">
        <v>5229</v>
      </c>
      <c r="BCR260" s="8" t="s">
        <v>5229</v>
      </c>
      <c r="BZC260" s="8" t="s">
        <v>43</v>
      </c>
      <c r="BZG260" s="8" t="s">
        <v>43</v>
      </c>
      <c r="BZK260" s="8" t="s">
        <v>43</v>
      </c>
    </row>
    <row r="261" spans="1:955 1352:2047 2120:2792 3408:4040 4325:4328">
      <c r="A261" s="8" t="s">
        <v>1293</v>
      </c>
      <c r="B261" s="10" t="s">
        <v>13869</v>
      </c>
      <c r="C261" s="8">
        <v>859.79</v>
      </c>
      <c r="D261" s="15">
        <v>3.18</v>
      </c>
      <c r="AGM261" s="8" t="s">
        <v>13869</v>
      </c>
      <c r="BAV261" s="8" t="s">
        <v>5230</v>
      </c>
      <c r="BCR261" s="8" t="s">
        <v>780</v>
      </c>
      <c r="BEN261" s="8" t="s">
        <v>5230</v>
      </c>
      <c r="BZG261" s="8" t="s">
        <v>44</v>
      </c>
      <c r="BZK261" s="8" t="s">
        <v>44</v>
      </c>
      <c r="BZO261" s="8" t="s">
        <v>44</v>
      </c>
    </row>
    <row r="262" spans="1:955 1352:2047 2120:2792 3408:4040 4325:4328">
      <c r="A262" s="8" t="s">
        <v>1293</v>
      </c>
      <c r="B262" s="10" t="s">
        <v>13870</v>
      </c>
      <c r="C262" s="8">
        <v>863.97</v>
      </c>
      <c r="D262" s="15">
        <v>5.3</v>
      </c>
      <c r="AGS262" s="8" t="s">
        <v>13870</v>
      </c>
      <c r="AYZ262" s="8" t="s">
        <v>133</v>
      </c>
      <c r="BEN262" s="8" t="s">
        <v>133</v>
      </c>
      <c r="BSU262" s="8" t="s">
        <v>781</v>
      </c>
      <c r="BUQ262" s="8" t="s">
        <v>781</v>
      </c>
      <c r="BZK262" s="8" t="s">
        <v>45</v>
      </c>
      <c r="BZO262" s="8" t="s">
        <v>45</v>
      </c>
      <c r="BZS262" s="8" t="s">
        <v>45</v>
      </c>
    </row>
    <row r="263" spans="1:955 1352:2047 2120:2792 3408:4040 4325:4328">
      <c r="A263" s="8" t="s">
        <v>1293</v>
      </c>
      <c r="B263" s="10" t="s">
        <v>10616</v>
      </c>
      <c r="C263" s="8">
        <v>870.27</v>
      </c>
      <c r="D263" s="15">
        <v>7.16</v>
      </c>
      <c r="AHA263" s="8" t="s">
        <v>10616</v>
      </c>
      <c r="BKZ263" s="8" t="s">
        <v>134</v>
      </c>
      <c r="BLK263" s="8" t="s">
        <v>782</v>
      </c>
      <c r="BPC263" s="8" t="s">
        <v>134</v>
      </c>
      <c r="BUQ263" s="8" t="s">
        <v>134</v>
      </c>
      <c r="CCN263" s="8" t="s">
        <v>782</v>
      </c>
      <c r="CEJ263" s="8" t="s">
        <v>782</v>
      </c>
      <c r="CLL263" s="8" t="s">
        <v>46</v>
      </c>
      <c r="CLP263" s="8" t="s">
        <v>46</v>
      </c>
      <c r="CLT263" s="8" t="s">
        <v>46</v>
      </c>
    </row>
    <row r="264" spans="1:955 1352:2047 2120:2792 3408:4040 4325:4328">
      <c r="A264" s="8" t="s">
        <v>1293</v>
      </c>
      <c r="B264" s="10" t="s">
        <v>10646</v>
      </c>
      <c r="C264" s="8">
        <v>878.42</v>
      </c>
      <c r="D264" s="15">
        <v>10</v>
      </c>
      <c r="AHL264" s="8" t="s">
        <v>10646</v>
      </c>
      <c r="BYV264" s="8" t="s">
        <v>135</v>
      </c>
      <c r="CEJ264" s="8" t="s">
        <v>135</v>
      </c>
      <c r="CNI264" s="8" t="s">
        <v>47</v>
      </c>
      <c r="CNM264" s="8" t="s">
        <v>47</v>
      </c>
      <c r="CNQ264" s="8" t="s">
        <v>47</v>
      </c>
      <c r="FJI264" s="8" t="s">
        <v>135</v>
      </c>
      <c r="FJL264" s="8" t="s">
        <v>1260</v>
      </c>
    </row>
    <row r="265" spans="1:955 1352:2047 2120:2792 3408:4040 4325:4328">
      <c r="A265" s="8" t="s">
        <v>1293</v>
      </c>
      <c r="B265" s="10" t="s">
        <v>10617</v>
      </c>
      <c r="C265" s="8">
        <v>889.42</v>
      </c>
      <c r="D265" s="15">
        <v>3.71</v>
      </c>
      <c r="AHQ265" s="8" t="s">
        <v>10617</v>
      </c>
      <c r="CUS265" s="8" t="s">
        <v>48</v>
      </c>
      <c r="CUW265" s="8" t="s">
        <v>48</v>
      </c>
      <c r="CVA265" s="8" t="s">
        <v>48</v>
      </c>
    </row>
    <row r="266" spans="1:955 1352:2047 2120:2792 3408:4040 4325:4328">
      <c r="A266" s="8" t="s">
        <v>1293</v>
      </c>
      <c r="B266" s="10" t="s">
        <v>10618</v>
      </c>
      <c r="C266" s="8">
        <v>894.13</v>
      </c>
      <c r="D266" s="15">
        <v>5</v>
      </c>
      <c r="AHW266" s="8" t="s">
        <v>10618</v>
      </c>
      <c r="BEN266" s="8" t="s">
        <v>132</v>
      </c>
      <c r="DCB266" s="8" t="s">
        <v>49</v>
      </c>
      <c r="DCF266" s="8" t="s">
        <v>49</v>
      </c>
      <c r="DCJ266" s="8" t="s">
        <v>49</v>
      </c>
    </row>
    <row r="267" spans="1:955 1352:2047 2120:2792 3408:4040 4325:4328">
      <c r="A267" s="8" t="s">
        <v>1293</v>
      </c>
      <c r="B267" s="10" t="s">
        <v>10619</v>
      </c>
      <c r="C267" s="8">
        <v>900.13</v>
      </c>
      <c r="D267" s="15">
        <v>5</v>
      </c>
      <c r="AIC267" s="8" t="s">
        <v>10619</v>
      </c>
      <c r="BUQ267" s="8" t="s">
        <v>133</v>
      </c>
      <c r="EAB267" s="8" t="s">
        <v>50</v>
      </c>
      <c r="EAF267" s="8" t="s">
        <v>50</v>
      </c>
      <c r="EAJ267" s="8" t="s">
        <v>50</v>
      </c>
    </row>
    <row r="268" spans="1:955 1352:2047 2120:2792 3408:4040 4325:4328">
      <c r="A268" s="8" t="s">
        <v>1293</v>
      </c>
      <c r="B268" s="10" t="s">
        <v>10620</v>
      </c>
      <c r="C268" s="8">
        <v>906.13</v>
      </c>
      <c r="D268" s="15">
        <v>2.5</v>
      </c>
      <c r="AIG268" s="8" t="s">
        <v>10620</v>
      </c>
      <c r="CEJ268" s="8" t="s">
        <v>134</v>
      </c>
      <c r="EHL268" s="8" t="s">
        <v>51</v>
      </c>
      <c r="EHP268" s="8" t="s">
        <v>51</v>
      </c>
      <c r="EHT268" s="8" t="s">
        <v>51</v>
      </c>
    </row>
    <row r="269" spans="1:955 1352:2047 2120:2792 3408:4040 4325:4328">
      <c r="A269" s="8" t="s">
        <v>1293</v>
      </c>
      <c r="B269" s="10" t="s">
        <v>10621</v>
      </c>
      <c r="C269" s="8">
        <v>909.63</v>
      </c>
      <c r="D269" s="15">
        <v>2</v>
      </c>
      <c r="AIJ269" s="8" t="s">
        <v>10621</v>
      </c>
      <c r="EUJ269" s="8" t="s">
        <v>52</v>
      </c>
      <c r="EUN269" s="8" t="s">
        <v>52</v>
      </c>
      <c r="EUR269" s="8" t="s">
        <v>52</v>
      </c>
    </row>
    <row r="270" spans="1:955 1352:2047 2120:2792 3408:4040 4325:4328">
      <c r="A270" s="8" t="s">
        <v>1293</v>
      </c>
      <c r="B270" s="10" t="s">
        <v>13871</v>
      </c>
      <c r="C270" s="8">
        <v>929.5</v>
      </c>
      <c r="D270" s="15">
        <v>10</v>
      </c>
      <c r="AJL270" s="17" t="s">
        <v>13871</v>
      </c>
      <c r="EYB270" s="8" t="s">
        <v>53</v>
      </c>
      <c r="EYF270" s="8" t="s">
        <v>53</v>
      </c>
      <c r="EYJ270" s="8" t="s">
        <v>53</v>
      </c>
    </row>
    <row r="271" spans="1:955 1352:2047 2120:2792 3408:4040 4325:4328">
      <c r="A271" s="8" t="s">
        <v>1293</v>
      </c>
      <c r="B271" s="10" t="s">
        <v>10622</v>
      </c>
      <c r="C271" s="8">
        <v>940.5</v>
      </c>
      <c r="D271" s="15">
        <v>5.3</v>
      </c>
      <c r="AJR271" s="8" t="s">
        <v>10622</v>
      </c>
    </row>
    <row r="272" spans="1:955 1352:2047 2120:2792 3408:4040 4325:4328">
      <c r="A272" s="8" t="s">
        <v>1293</v>
      </c>
      <c r="B272" s="10" t="s">
        <v>13872</v>
      </c>
      <c r="C272" s="8">
        <v>941.31</v>
      </c>
      <c r="D272" s="15">
        <v>5.3</v>
      </c>
      <c r="AJS272" s="8" t="s">
        <v>13872</v>
      </c>
    </row>
    <row r="273" spans="1:1010 1027:2044 2063:2552">
      <c r="A273" s="8" t="s">
        <v>1293</v>
      </c>
      <c r="B273" s="10" t="s">
        <v>10623</v>
      </c>
      <c r="C273" s="8">
        <v>946.8</v>
      </c>
      <c r="D273" s="15">
        <v>5.3</v>
      </c>
      <c r="AJX273" s="8" t="s">
        <v>10623</v>
      </c>
    </row>
    <row r="274" spans="1:1010 1027:2044 2063:2552">
      <c r="A274" s="8" t="s">
        <v>1293</v>
      </c>
      <c r="B274" s="10" t="s">
        <v>10624</v>
      </c>
      <c r="C274" s="8">
        <v>953.1</v>
      </c>
      <c r="D274" s="15">
        <v>10</v>
      </c>
      <c r="AKI274" s="8" t="s">
        <v>10624</v>
      </c>
      <c r="AYZ274" s="8" t="s">
        <v>4335</v>
      </c>
      <c r="BAV274" s="8" t="s">
        <v>10633</v>
      </c>
      <c r="BCR274" s="8" t="s">
        <v>10060</v>
      </c>
    </row>
    <row r="275" spans="1:1010 1027:2044 2063:2552">
      <c r="A275" s="8" t="s">
        <v>1293</v>
      </c>
      <c r="B275" s="10" t="s">
        <v>10625</v>
      </c>
      <c r="C275" s="8">
        <v>992</v>
      </c>
      <c r="D275" s="15">
        <v>10</v>
      </c>
      <c r="ALV275" s="8" t="s">
        <v>10625</v>
      </c>
      <c r="BCR275" s="8" t="s">
        <v>4336</v>
      </c>
      <c r="BIF275" s="8" t="s">
        <v>10634</v>
      </c>
      <c r="BKB275" s="8" t="s">
        <v>10061</v>
      </c>
    </row>
    <row r="276" spans="1:1010 1027:2044 2063:2552">
      <c r="A276" s="8" t="s">
        <v>1293</v>
      </c>
      <c r="B276" s="10" t="e">
        <v>#VALUE!</v>
      </c>
      <c r="C276" s="8">
        <v>1008.62</v>
      </c>
      <c r="D276" s="15">
        <v>10.6</v>
      </c>
      <c r="AMM276" s="8" t="e">
        <v>#VALUE!</v>
      </c>
      <c r="BIF276" s="8" t="s">
        <v>4337</v>
      </c>
      <c r="BJS276" s="8" t="s">
        <v>10635</v>
      </c>
      <c r="BLO276" s="8" t="s">
        <v>10062</v>
      </c>
    </row>
    <row r="277" spans="1:1010 1027:2044 2063:2552">
      <c r="A277" s="8" t="s">
        <v>1293</v>
      </c>
      <c r="B277" s="10" t="s">
        <v>13873</v>
      </c>
      <c r="C277" s="8">
        <v>1020.22</v>
      </c>
      <c r="D277" s="15">
        <v>3.18</v>
      </c>
      <c r="AMQ277" s="8" t="s">
        <v>13873</v>
      </c>
      <c r="BKB277" s="8" t="s">
        <v>4338</v>
      </c>
      <c r="BKD277" s="8" t="s">
        <v>10636</v>
      </c>
      <c r="BLZ277" s="8" t="s">
        <v>10063</v>
      </c>
    </row>
    <row r="278" spans="1:1010 1027:2044 2063:2552">
      <c r="A278" s="8" t="s">
        <v>1293</v>
      </c>
      <c r="B278" s="10" t="s">
        <v>13874</v>
      </c>
      <c r="C278" s="8">
        <v>1024.4000000000001</v>
      </c>
      <c r="D278" s="15">
        <v>5.3</v>
      </c>
      <c r="AMX278" s="8" t="s">
        <v>13874</v>
      </c>
      <c r="BKB278" s="8" t="s">
        <v>4340</v>
      </c>
      <c r="BPP278" s="8" t="s">
        <v>10637</v>
      </c>
      <c r="BRL278" s="8" t="s">
        <v>10064</v>
      </c>
    </row>
    <row r="279" spans="1:1010 1027:2044 2063:2552">
      <c r="A279" s="8" t="s">
        <v>1293</v>
      </c>
      <c r="B279" s="10" t="s">
        <v>10626</v>
      </c>
      <c r="C279" s="8">
        <v>1030.7</v>
      </c>
      <c r="D279" s="15">
        <v>5.3</v>
      </c>
      <c r="AND279" s="17" t="s">
        <v>10626</v>
      </c>
      <c r="BLH279" s="8" t="s">
        <v>4339</v>
      </c>
      <c r="BRF279" s="8" t="s">
        <v>10638</v>
      </c>
      <c r="BTB279" s="8" t="s">
        <v>10065</v>
      </c>
    </row>
    <row r="280" spans="1:1010 1027:2044 2063:2552">
      <c r="A280" s="8" t="s">
        <v>1293</v>
      </c>
      <c r="B280" s="10" t="s">
        <v>10627</v>
      </c>
      <c r="C280" s="8">
        <v>1037</v>
      </c>
      <c r="D280" s="15">
        <v>5</v>
      </c>
      <c r="ANJ280" s="8" t="s">
        <v>10627</v>
      </c>
      <c r="BLX280" s="8" t="s">
        <v>4341</v>
      </c>
      <c r="BRL280" s="8" t="s">
        <v>10639</v>
      </c>
      <c r="BTH280" s="8" t="s">
        <v>10066</v>
      </c>
    </row>
    <row r="281" spans="1:1010 1027:2044 2063:2552">
      <c r="A281" s="8" t="s">
        <v>1293</v>
      </c>
      <c r="B281" s="10" t="s">
        <v>10628</v>
      </c>
      <c r="C281" s="8">
        <v>1043</v>
      </c>
      <c r="D281" s="15">
        <v>10</v>
      </c>
      <c r="ANU281" s="8" t="s">
        <v>10628</v>
      </c>
      <c r="BNT281" s="8" t="s">
        <v>4342</v>
      </c>
      <c r="BVD281" s="8" t="s">
        <v>10640</v>
      </c>
      <c r="BWZ281" s="8" t="s">
        <v>10067</v>
      </c>
    </row>
    <row r="282" spans="1:1010 1027:2044 2063:2552">
      <c r="A282" s="8" t="s">
        <v>1293</v>
      </c>
      <c r="B282" s="10" t="s">
        <v>10629</v>
      </c>
      <c r="C282" s="8">
        <v>1054</v>
      </c>
      <c r="D282" s="15">
        <v>2</v>
      </c>
      <c r="ANX282" s="8" t="s">
        <v>10629</v>
      </c>
      <c r="BTH282" s="8" t="s">
        <v>4343</v>
      </c>
      <c r="BWZ282" s="8" t="s">
        <v>10641</v>
      </c>
      <c r="BYV282" s="8" t="s">
        <v>10068</v>
      </c>
    </row>
    <row r="283" spans="1:1010 1027:2044 2063:2552">
      <c r="A283" s="8" t="s">
        <v>1293</v>
      </c>
      <c r="B283" s="10" t="s">
        <v>13875</v>
      </c>
      <c r="C283" s="8">
        <v>1065.03</v>
      </c>
      <c r="D283" s="15">
        <v>5.3</v>
      </c>
      <c r="AOL283" s="8" t="s">
        <v>13875</v>
      </c>
      <c r="BVD283" s="8" t="s">
        <v>4344</v>
      </c>
      <c r="BYM283" s="8" t="s">
        <v>10642</v>
      </c>
      <c r="CAI283" s="8" t="s">
        <v>10069</v>
      </c>
    </row>
    <row r="284" spans="1:1010 1027:2044 2063:2552">
      <c r="A284" s="8" t="s">
        <v>1293</v>
      </c>
      <c r="B284" s="10" t="s">
        <v>10630</v>
      </c>
      <c r="C284" s="8">
        <v>1071.33</v>
      </c>
      <c r="D284" s="15">
        <v>10</v>
      </c>
      <c r="AOW284" s="8" t="s">
        <v>10630</v>
      </c>
      <c r="BWZ284" s="8" t="s">
        <v>4345</v>
      </c>
      <c r="BYX284" s="8" t="s">
        <v>10643</v>
      </c>
      <c r="CAT284" s="8" t="s">
        <v>10070</v>
      </c>
    </row>
    <row r="285" spans="1:1010 1027:2044 2063:2552">
      <c r="A285" s="8" t="s">
        <v>1293</v>
      </c>
      <c r="B285" s="10" t="s">
        <v>10632</v>
      </c>
      <c r="C285" s="8">
        <v>1094</v>
      </c>
      <c r="D285" s="15">
        <v>10</v>
      </c>
      <c r="APT285" s="8" t="s">
        <v>10632</v>
      </c>
      <c r="AZC285" s="8" t="s">
        <v>131</v>
      </c>
      <c r="BAY285" s="8" t="s">
        <v>131</v>
      </c>
      <c r="BZP285" s="8" t="s">
        <v>4346</v>
      </c>
      <c r="CED285" s="8" t="s">
        <v>10644</v>
      </c>
      <c r="CFZ285" s="8" t="s">
        <v>10071</v>
      </c>
    </row>
    <row r="286" spans="1:1010 1027:2044 2063:2552">
      <c r="A286" s="8" t="s">
        <v>1293</v>
      </c>
      <c r="B286" s="10" t="s">
        <v>10633</v>
      </c>
      <c r="C286" s="8">
        <v>1238</v>
      </c>
      <c r="D286" s="15">
        <v>10</v>
      </c>
      <c r="AVH286" s="8" t="s">
        <v>10633</v>
      </c>
      <c r="BAV286" s="8" t="s">
        <v>1314</v>
      </c>
      <c r="BCR286" s="8" t="s">
        <v>1314</v>
      </c>
      <c r="CEJ286" s="8" t="s">
        <v>10645</v>
      </c>
      <c r="CFK286" s="8" t="s">
        <v>4347</v>
      </c>
      <c r="CGF286" s="8" t="s">
        <v>10072</v>
      </c>
    </row>
    <row r="287" spans="1:1010 1027:2044 2063:2552">
      <c r="A287" s="8" t="s">
        <v>1293</v>
      </c>
      <c r="B287" s="10" t="s">
        <v>13876</v>
      </c>
      <c r="C287" s="8">
        <v>1290.7</v>
      </c>
      <c r="D287" s="15">
        <v>5.3</v>
      </c>
      <c r="AXD287" s="8" t="s">
        <v>13876</v>
      </c>
      <c r="BLK287" s="8" t="s">
        <v>134</v>
      </c>
      <c r="BNG287" s="8" t="s">
        <v>134</v>
      </c>
      <c r="CIB287" s="8" t="s">
        <v>10646</v>
      </c>
      <c r="CJX287" s="8" t="s">
        <v>10073</v>
      </c>
    </row>
    <row r="288" spans="1:1010 1027:2044 2063:2552">
      <c r="A288" s="8" t="s">
        <v>1293</v>
      </c>
      <c r="B288" s="10" t="s">
        <v>13877</v>
      </c>
      <c r="C288" s="8">
        <v>1386.7</v>
      </c>
      <c r="D288" s="15">
        <v>5.3</v>
      </c>
      <c r="BAV288" s="8" t="s">
        <v>13877</v>
      </c>
      <c r="BVD288" s="8" t="s">
        <v>135</v>
      </c>
      <c r="BWZ288" s="8" t="s">
        <v>135</v>
      </c>
      <c r="CRH288" s="8" t="s">
        <v>10647</v>
      </c>
      <c r="CTD288" s="8" t="s">
        <v>10074</v>
      </c>
    </row>
    <row r="289" spans="1:4 1352:2024 2072:2984 3128:3992 4136:4232">
      <c r="A289" s="8" t="s">
        <v>1293</v>
      </c>
      <c r="B289" s="10" t="s">
        <v>10634</v>
      </c>
      <c r="C289" s="8">
        <v>1430</v>
      </c>
      <c r="D289" s="15">
        <v>10</v>
      </c>
      <c r="BCR289" s="8" t="s">
        <v>10634</v>
      </c>
      <c r="CRH289" s="8" t="s">
        <v>4350</v>
      </c>
      <c r="DEF289" s="8" t="s">
        <v>10648</v>
      </c>
      <c r="DGB289" s="8" t="s">
        <v>10075</v>
      </c>
    </row>
    <row r="290" spans="1:4 1352:2024 2072:2984 3128:3992 4136:4232">
      <c r="A290" s="8" t="s">
        <v>1293</v>
      </c>
      <c r="B290" s="10" t="s">
        <v>10635</v>
      </c>
      <c r="C290" s="8">
        <v>1474.16</v>
      </c>
      <c r="D290" s="15">
        <v>5</v>
      </c>
      <c r="BEE290" s="8" t="s">
        <v>10635</v>
      </c>
      <c r="CSS290" s="8" t="s">
        <v>4351</v>
      </c>
      <c r="DGB290" s="8" t="s">
        <v>10649</v>
      </c>
      <c r="DHX290" s="8" t="s">
        <v>10076</v>
      </c>
    </row>
    <row r="291" spans="1:4 1352:2024 2072:2984 3128:3992 4136:4232">
      <c r="A291" s="8" t="s">
        <v>1293</v>
      </c>
      <c r="B291" s="10" t="s">
        <v>10636</v>
      </c>
      <c r="C291" s="8">
        <v>1480.16</v>
      </c>
      <c r="D291" s="15">
        <v>10</v>
      </c>
      <c r="BEP291" s="8" t="s">
        <v>10636</v>
      </c>
      <c r="CUZ291" s="8" t="s">
        <v>4352</v>
      </c>
      <c r="DHO291" s="8" t="s">
        <v>10650</v>
      </c>
      <c r="DJK291" s="8" t="s">
        <v>10077</v>
      </c>
    </row>
    <row r="292" spans="1:4 1352:2024 2072:2984 3128:3992 4136:4232">
      <c r="A292" s="8" t="s">
        <v>1293</v>
      </c>
      <c r="B292" s="10" t="s">
        <v>10637</v>
      </c>
      <c r="C292" s="8">
        <v>1621.4</v>
      </c>
      <c r="D292" s="15">
        <v>10.6</v>
      </c>
      <c r="AYZ292" s="8" t="s">
        <v>3117</v>
      </c>
      <c r="BKB292" s="8" t="s">
        <v>10637</v>
      </c>
      <c r="DAN292" s="8" t="s">
        <v>4353</v>
      </c>
      <c r="DHX292" s="8" t="s">
        <v>10651</v>
      </c>
      <c r="DJT292" s="8" t="s">
        <v>10078</v>
      </c>
    </row>
    <row r="293" spans="1:4 1352:2024 2072:2984 3128:3992 4136:4232">
      <c r="A293" s="8" t="s">
        <v>1293</v>
      </c>
      <c r="B293" s="10" t="s">
        <v>13878</v>
      </c>
      <c r="C293" s="8">
        <v>1675</v>
      </c>
      <c r="D293" s="15">
        <v>5</v>
      </c>
      <c r="AZT293" s="8" t="s">
        <v>3118</v>
      </c>
      <c r="BLX293" s="8" t="s">
        <v>13878</v>
      </c>
      <c r="DPH293" s="8" t="s">
        <v>4355</v>
      </c>
      <c r="EPD293" s="8" t="s">
        <v>10652</v>
      </c>
      <c r="EQZ293" s="8" t="s">
        <v>10079</v>
      </c>
    </row>
    <row r="294" spans="1:4 1352:2024 2072:2984 3128:3992 4136:4232">
      <c r="A294" s="8" t="s">
        <v>1293</v>
      </c>
      <c r="B294" s="10" t="s">
        <v>10641</v>
      </c>
      <c r="C294" s="8">
        <v>1814</v>
      </c>
      <c r="D294" s="15">
        <v>10</v>
      </c>
      <c r="AYZ294" s="8" t="s">
        <v>3119</v>
      </c>
      <c r="BAV294" s="8" t="s">
        <v>3119</v>
      </c>
      <c r="BRL294" s="8" t="s">
        <v>10641</v>
      </c>
      <c r="EWN294" s="8" t="s">
        <v>4356</v>
      </c>
    </row>
    <row r="295" spans="1:4 1352:2024 2072:2984 3128:3992 4136:4232">
      <c r="A295" s="8" t="s">
        <v>1293</v>
      </c>
      <c r="B295" s="10" t="s">
        <v>10642</v>
      </c>
      <c r="C295" s="8">
        <v>1854.68</v>
      </c>
      <c r="D295" s="15">
        <v>8.48</v>
      </c>
      <c r="BFN295" s="8" t="s">
        <v>3120</v>
      </c>
      <c r="BHJ295" s="8" t="s">
        <v>3120</v>
      </c>
      <c r="BSY295" s="8" t="s">
        <v>10642</v>
      </c>
      <c r="FCB295" s="8" t="s">
        <v>4357</v>
      </c>
    </row>
    <row r="296" spans="1:4 1352:2024 2072:2984 3128:3992 4136:4232">
      <c r="A296" s="8" t="s">
        <v>1293</v>
      </c>
      <c r="B296" s="10" t="s">
        <v>10643</v>
      </c>
      <c r="C296" s="8">
        <v>1864.16</v>
      </c>
      <c r="D296" s="15">
        <v>10</v>
      </c>
      <c r="AYZ296" s="8" t="s">
        <v>5231</v>
      </c>
      <c r="BGJ296" s="8" t="s">
        <v>3121</v>
      </c>
      <c r="BIF296" s="8" t="s">
        <v>3121</v>
      </c>
      <c r="BTJ296" s="8" t="s">
        <v>10643</v>
      </c>
      <c r="FFT296" s="8" t="s">
        <v>4358</v>
      </c>
    </row>
    <row r="297" spans="1:4 1352:2024 2072:2984 3128:3992 4136:4232">
      <c r="A297" s="8" t="s">
        <v>1293</v>
      </c>
      <c r="B297" s="10" t="s">
        <v>10644</v>
      </c>
      <c r="C297" s="8">
        <v>2004.7</v>
      </c>
      <c r="D297" s="15">
        <v>5.3</v>
      </c>
      <c r="BAV297" s="8" t="s">
        <v>5232</v>
      </c>
      <c r="BKB297" s="8" t="s">
        <v>3122</v>
      </c>
      <c r="BLX297" s="8" t="s">
        <v>3122</v>
      </c>
      <c r="BYP297" s="8" t="s">
        <v>10644</v>
      </c>
    </row>
    <row r="298" spans="1:4 1352:2024 2072:2984 3128:3992 4136:4232">
      <c r="A298" s="8" t="s">
        <v>1293</v>
      </c>
      <c r="B298" s="10" t="s">
        <v>10645</v>
      </c>
      <c r="C298" s="8">
        <v>2011</v>
      </c>
      <c r="D298" s="15">
        <v>5</v>
      </c>
      <c r="BCR298" s="8" t="s">
        <v>5233</v>
      </c>
      <c r="BGJ298" s="8" t="s">
        <v>5233</v>
      </c>
      <c r="BRL298" s="8" t="s">
        <v>3123</v>
      </c>
      <c r="BTH298" s="8" t="s">
        <v>3123</v>
      </c>
      <c r="BYV298" s="8" t="s">
        <v>10645</v>
      </c>
    </row>
    <row r="299" spans="1:4 1352:2024 2072:2984 3128:3992 4136:4232">
      <c r="A299" s="8" t="s">
        <v>1293</v>
      </c>
      <c r="B299" s="10" t="s">
        <v>10647</v>
      </c>
      <c r="C299" s="8">
        <v>2349</v>
      </c>
      <c r="D299" s="15">
        <v>3</v>
      </c>
      <c r="BCR299" s="8" t="s">
        <v>5234</v>
      </c>
      <c r="BGJ299" s="8" t="s">
        <v>5234</v>
      </c>
      <c r="BVD299" s="8" t="s">
        <v>3124</v>
      </c>
      <c r="BWZ299" s="8" t="s">
        <v>3124</v>
      </c>
      <c r="CLT299" s="8" t="s">
        <v>10647</v>
      </c>
    </row>
    <row r="300" spans="1:4 1352:2024 2072:2984 3128:3992 4136:4232">
      <c r="A300" s="8" t="s">
        <v>1293</v>
      </c>
      <c r="B300" s="10" t="s">
        <v>10648</v>
      </c>
      <c r="C300" s="8">
        <v>2682.7</v>
      </c>
      <c r="D300" s="15">
        <v>5.3</v>
      </c>
      <c r="AYZ300" s="8" t="s">
        <v>2693</v>
      </c>
      <c r="BAV300" s="8" t="s">
        <v>2329</v>
      </c>
      <c r="CAR300" s="8" t="s">
        <v>3125</v>
      </c>
      <c r="CCN300" s="8" t="s">
        <v>3125</v>
      </c>
      <c r="CYR300" s="8" t="s">
        <v>10648</v>
      </c>
    </row>
    <row r="301" spans="1:4 1352:2024 2072:2984 3128:3992 4136:4232">
      <c r="A301" s="8" t="s">
        <v>1293</v>
      </c>
      <c r="B301" s="10" t="s">
        <v>10649</v>
      </c>
      <c r="C301" s="8">
        <v>2730.7</v>
      </c>
      <c r="D301" s="15">
        <v>5.3</v>
      </c>
      <c r="AYZ301" s="8" t="s">
        <v>3119</v>
      </c>
      <c r="BAV301" s="8" t="s">
        <v>2330</v>
      </c>
      <c r="CCN301" s="8" t="s">
        <v>3126</v>
      </c>
      <c r="CEJ301" s="8" t="s">
        <v>3126</v>
      </c>
      <c r="DAN301" s="8" t="s">
        <v>10649</v>
      </c>
    </row>
    <row r="302" spans="1:4 1352:2024 2072:2984 3128:3992 4136:4232">
      <c r="A302" s="8" t="s">
        <v>1293</v>
      </c>
      <c r="B302" s="10" t="s">
        <v>10650</v>
      </c>
      <c r="C302" s="8">
        <v>2765.16</v>
      </c>
      <c r="D302" s="15">
        <v>10</v>
      </c>
      <c r="AZZ302" s="8" t="s">
        <v>3952</v>
      </c>
      <c r="BBV302" s="8" t="s">
        <v>3588</v>
      </c>
      <c r="BCR302" s="8" t="s">
        <v>2694</v>
      </c>
      <c r="BEN302" s="8" t="s">
        <v>2331</v>
      </c>
      <c r="BFN302" s="8" t="s">
        <v>3120</v>
      </c>
      <c r="CEJ302" s="8" t="s">
        <v>3127</v>
      </c>
      <c r="CGF302" s="8" t="s">
        <v>3127</v>
      </c>
      <c r="DCA302" s="8" t="s">
        <v>10650</v>
      </c>
    </row>
    <row r="303" spans="1:4 1352:2024 2072:2984 3128:3992 4136:4232">
      <c r="A303" s="8" t="s">
        <v>1293</v>
      </c>
      <c r="B303" s="10" t="s">
        <v>10651</v>
      </c>
      <c r="C303" s="8">
        <v>2776.16</v>
      </c>
      <c r="D303" s="15">
        <v>7.84</v>
      </c>
      <c r="AYZ303" s="8" t="s">
        <v>4335</v>
      </c>
      <c r="BAV303" s="8" t="s">
        <v>3953</v>
      </c>
      <c r="BCR303" s="8" t="s">
        <v>3589</v>
      </c>
      <c r="BGJ303" s="8" t="s">
        <v>3121</v>
      </c>
      <c r="BJF303" s="8" t="s">
        <v>2695</v>
      </c>
      <c r="BLB303" s="8" t="s">
        <v>2332</v>
      </c>
      <c r="CGZ303" s="8" t="s">
        <v>3128</v>
      </c>
      <c r="CIV303" s="8" t="s">
        <v>3128</v>
      </c>
      <c r="DCJ303" s="8" t="s">
        <v>10651</v>
      </c>
    </row>
    <row r="304" spans="1:4 1352:2024 2072:2984 3128:3992 4136:4232">
      <c r="A304" s="8" t="s">
        <v>1293</v>
      </c>
      <c r="B304" s="10" t="s">
        <v>13879</v>
      </c>
      <c r="C304" s="8">
        <v>3638</v>
      </c>
      <c r="D304" s="15">
        <v>10</v>
      </c>
      <c r="BCR304" s="8" t="s">
        <v>4336</v>
      </c>
      <c r="BEN304" s="8" t="s">
        <v>3954</v>
      </c>
      <c r="BGJ304" s="8" t="s">
        <v>3590</v>
      </c>
      <c r="BKB304" s="8" t="s">
        <v>3122</v>
      </c>
      <c r="BLX304" s="8" t="s">
        <v>2333</v>
      </c>
      <c r="CMU304" s="8" t="s">
        <v>3129</v>
      </c>
      <c r="COQ304" s="8" t="s">
        <v>3129</v>
      </c>
      <c r="EJP304" s="8" t="s">
        <v>13879</v>
      </c>
    </row>
    <row r="305" spans="1:253 1352:2044 2072:3032 3080:3752 4184:4472">
      <c r="A305" s="8" t="s">
        <v>1294</v>
      </c>
      <c r="B305" s="10" t="s">
        <v>13880</v>
      </c>
      <c r="C305" s="8">
        <v>-14</v>
      </c>
      <c r="D305" s="15">
        <v>20</v>
      </c>
      <c r="N305" s="8" t="s">
        <v>13880</v>
      </c>
      <c r="BAH305" s="8" t="s">
        <v>6209</v>
      </c>
      <c r="BJN305" s="8" t="s">
        <v>4337</v>
      </c>
      <c r="BLJ305" s="8" t="s">
        <v>3955</v>
      </c>
      <c r="BNF305" s="8" t="s">
        <v>3591</v>
      </c>
      <c r="BNT305" s="8" t="s">
        <v>2696</v>
      </c>
      <c r="BPP305" s="8" t="s">
        <v>2334</v>
      </c>
      <c r="BQX305" s="8" t="s">
        <v>3460</v>
      </c>
      <c r="CRH305" s="8" t="s">
        <v>3130</v>
      </c>
      <c r="CTD305" s="8" t="s">
        <v>3130</v>
      </c>
    </row>
    <row r="306" spans="1:253 1352:2044 2072:3032 3080:3752 4184:4472">
      <c r="A306" s="8" t="s">
        <v>1294</v>
      </c>
      <c r="B306" s="10" t="s">
        <v>13881</v>
      </c>
      <c r="C306" s="8">
        <v>7</v>
      </c>
      <c r="D306" s="15">
        <v>12</v>
      </c>
      <c r="AA306" s="8" t="s">
        <v>13881</v>
      </c>
      <c r="BAV306" s="8" t="s">
        <v>6210</v>
      </c>
      <c r="BKB306" s="8" t="s">
        <v>4338</v>
      </c>
      <c r="BLX306" s="8" t="s">
        <v>3956</v>
      </c>
      <c r="BNT306" s="8" t="s">
        <v>3592</v>
      </c>
      <c r="BRL306" s="8" t="s">
        <v>3123</v>
      </c>
      <c r="BVD306" s="8" t="s">
        <v>2697</v>
      </c>
      <c r="BWZ306" s="8" t="s">
        <v>2335</v>
      </c>
      <c r="CYR306" s="8" t="s">
        <v>3131</v>
      </c>
      <c r="DAN306" s="8" t="s">
        <v>3131</v>
      </c>
    </row>
    <row r="307" spans="1:253 1352:2044 2072:3032 3080:3752 4184:4472">
      <c r="A307" s="8" t="s">
        <v>1294</v>
      </c>
      <c r="B307" s="10" t="s">
        <v>13882</v>
      </c>
      <c r="C307" s="8">
        <v>20</v>
      </c>
      <c r="D307" s="15">
        <v>20</v>
      </c>
      <c r="AV307" s="8" t="s">
        <v>13882</v>
      </c>
      <c r="BCB307" s="8" t="s">
        <v>6211</v>
      </c>
      <c r="BLH307" s="8" t="s">
        <v>4339</v>
      </c>
      <c r="BND307" s="8" t="s">
        <v>4183</v>
      </c>
      <c r="BOZ307" s="8" t="s">
        <v>3593</v>
      </c>
      <c r="BSR307" s="8" t="s">
        <v>3461</v>
      </c>
      <c r="BYV307" s="8" t="s">
        <v>2698</v>
      </c>
      <c r="CAR307" s="8" t="s">
        <v>2336</v>
      </c>
      <c r="CYX307" s="8" t="s">
        <v>3132</v>
      </c>
      <c r="DAT307" s="8" t="s">
        <v>3132</v>
      </c>
    </row>
    <row r="308" spans="1:253 1352:2044 2072:3032 3080:3752 4184:4472">
      <c r="A308" s="8" t="s">
        <v>1294</v>
      </c>
      <c r="B308" s="10" t="s">
        <v>13883</v>
      </c>
      <c r="C308" s="8">
        <v>30.23</v>
      </c>
      <c r="D308" s="15">
        <v>20</v>
      </c>
      <c r="BF308" s="8" t="s">
        <v>13883</v>
      </c>
      <c r="BCJ308" s="8" t="s">
        <v>6212</v>
      </c>
      <c r="BLP308" s="8" t="s">
        <v>4340</v>
      </c>
      <c r="BNL308" s="8" t="s">
        <v>4184</v>
      </c>
      <c r="BPH308" s="8" t="s">
        <v>3594</v>
      </c>
      <c r="BSZ308" s="8" t="s">
        <v>3462</v>
      </c>
      <c r="CEJ308" s="8" t="s">
        <v>2699</v>
      </c>
      <c r="CGF308" s="8" t="s">
        <v>2337</v>
      </c>
      <c r="DAC308" s="8" t="s">
        <v>3133</v>
      </c>
      <c r="DBY308" s="8" t="s">
        <v>3133</v>
      </c>
    </row>
    <row r="309" spans="1:253 1352:2044 2072:3032 3080:3752 4184:4472">
      <c r="A309" s="8" t="s">
        <v>1294</v>
      </c>
      <c r="B309" s="10" t="s">
        <v>13884</v>
      </c>
      <c r="C309" s="8">
        <v>52</v>
      </c>
      <c r="D309" s="15">
        <v>10</v>
      </c>
      <c r="BR309" s="8" t="s">
        <v>13884</v>
      </c>
      <c r="BCR309" s="8" t="s">
        <v>6213</v>
      </c>
      <c r="BLX309" s="8" t="s">
        <v>4341</v>
      </c>
      <c r="BNT309" s="8" t="s">
        <v>3957</v>
      </c>
      <c r="BPP309" s="8" t="s">
        <v>3595</v>
      </c>
      <c r="BTH309" s="8" t="s">
        <v>3463</v>
      </c>
      <c r="CGF309" s="8" t="s">
        <v>2700</v>
      </c>
      <c r="CIB309" s="8" t="s">
        <v>2338</v>
      </c>
      <c r="DCJ309" s="8" t="s">
        <v>3134</v>
      </c>
      <c r="DEF309" s="8" t="s">
        <v>3134</v>
      </c>
    </row>
    <row r="310" spans="1:253 1352:2044 2072:3032 3080:3752 4184:4472">
      <c r="A310" s="8" t="s">
        <v>1294</v>
      </c>
      <c r="B310" s="10" t="s">
        <v>13885</v>
      </c>
      <c r="C310" s="8">
        <v>63</v>
      </c>
      <c r="D310" s="15">
        <v>20</v>
      </c>
      <c r="CM310" s="8" t="s">
        <v>13885</v>
      </c>
      <c r="BEN310" s="8" t="s">
        <v>6214</v>
      </c>
      <c r="BNT310" s="8" t="s">
        <v>4342</v>
      </c>
      <c r="BPP310" s="8" t="s">
        <v>3958</v>
      </c>
      <c r="BRL310" s="8" t="s">
        <v>3596</v>
      </c>
      <c r="BVD310" s="8" t="s">
        <v>3124</v>
      </c>
      <c r="CIB310" s="8" t="s">
        <v>2701</v>
      </c>
      <c r="CJX310" s="8" t="s">
        <v>2339</v>
      </c>
      <c r="DHX310" s="8" t="s">
        <v>3135</v>
      </c>
      <c r="DJT310" s="8" t="s">
        <v>3135</v>
      </c>
    </row>
    <row r="311" spans="1:253 1352:2044 2072:3032 3080:3752 4184:4472">
      <c r="A311" s="8" t="s">
        <v>1294</v>
      </c>
      <c r="B311" s="10" t="s">
        <v>13886</v>
      </c>
      <c r="C311" s="8">
        <v>100</v>
      </c>
      <c r="D311" s="15">
        <v>20</v>
      </c>
      <c r="DX311" s="8" t="s">
        <v>13886</v>
      </c>
      <c r="BCR311" s="8" t="s">
        <v>4343</v>
      </c>
      <c r="BKB311" s="8" t="s">
        <v>6215</v>
      </c>
      <c r="BTH311" s="8" t="s">
        <v>4343</v>
      </c>
      <c r="BVD311" s="8" t="s">
        <v>3959</v>
      </c>
      <c r="BWZ311" s="8" t="s">
        <v>3597</v>
      </c>
      <c r="CAR311" s="8" t="s">
        <v>3125</v>
      </c>
      <c r="CQM311" s="8" t="s">
        <v>2702</v>
      </c>
      <c r="CSI311" s="8" t="s">
        <v>2340</v>
      </c>
      <c r="DPH311" s="8" t="s">
        <v>3136</v>
      </c>
      <c r="DRD311" s="8" t="s">
        <v>3136</v>
      </c>
    </row>
    <row r="312" spans="1:253 1352:2044 2072:3032 3080:3752 4184:4472">
      <c r="A312" s="8" t="s">
        <v>1294</v>
      </c>
      <c r="B312" s="10" t="s">
        <v>13887</v>
      </c>
      <c r="C312" s="8">
        <v>121</v>
      </c>
      <c r="D312" s="15">
        <v>20</v>
      </c>
      <c r="ES312" s="8" t="s">
        <v>13887</v>
      </c>
      <c r="BEN312" s="8" t="s">
        <v>4344</v>
      </c>
      <c r="BER312" s="8" t="s">
        <v>4748</v>
      </c>
      <c r="BES312" s="8" t="s">
        <v>4748</v>
      </c>
      <c r="BLX312" s="8" t="s">
        <v>6216</v>
      </c>
      <c r="BVD312" s="8" t="s">
        <v>4344</v>
      </c>
      <c r="BWZ312" s="8" t="s">
        <v>3960</v>
      </c>
      <c r="BYV312" s="8" t="s">
        <v>3598</v>
      </c>
      <c r="CCN312" s="8" t="s">
        <v>3126</v>
      </c>
      <c r="DCJ312" s="8" t="s">
        <v>2703</v>
      </c>
      <c r="DEF312" s="8" t="s">
        <v>2341</v>
      </c>
      <c r="FDX312" s="8" t="s">
        <v>3137</v>
      </c>
      <c r="FFT312" s="8" t="s">
        <v>3137</v>
      </c>
    </row>
    <row r="313" spans="1:253 1352:2044 2072:3032 3080:3752 4184:4472">
      <c r="A313" s="8" t="s">
        <v>1294</v>
      </c>
      <c r="B313" s="10" t="s">
        <v>13888</v>
      </c>
      <c r="C313" s="8">
        <v>124</v>
      </c>
      <c r="D313" s="15">
        <v>20</v>
      </c>
      <c r="EV313" s="8" t="s">
        <v>13888</v>
      </c>
      <c r="BGC313" s="8" t="s">
        <v>4749</v>
      </c>
      <c r="BGD313" s="8" t="s">
        <v>4749</v>
      </c>
      <c r="BGJ313" s="8" t="s">
        <v>4345</v>
      </c>
      <c r="BNT313" s="8" t="s">
        <v>6217</v>
      </c>
      <c r="BWZ313" s="8" t="s">
        <v>4345</v>
      </c>
      <c r="BYV313" s="8" t="s">
        <v>3961</v>
      </c>
      <c r="CAR313" s="8" t="s">
        <v>3599</v>
      </c>
      <c r="CEJ313" s="8" t="s">
        <v>3127</v>
      </c>
      <c r="DDU313" s="8" t="s">
        <v>2704</v>
      </c>
      <c r="DFQ313" s="8" t="s">
        <v>2342</v>
      </c>
      <c r="FJL313" s="8" t="s">
        <v>3138</v>
      </c>
      <c r="FLH313" s="8" t="s">
        <v>3138</v>
      </c>
    </row>
    <row r="314" spans="1:253 1352:2044 2072:3032 3080:3752 4184:4472">
      <c r="A314" s="8" t="s">
        <v>1294</v>
      </c>
      <c r="B314" s="10" t="s">
        <v>13889</v>
      </c>
      <c r="C314" s="8">
        <v>124</v>
      </c>
      <c r="D314" s="15">
        <v>20</v>
      </c>
      <c r="EV314" s="8" t="s">
        <v>13889</v>
      </c>
      <c r="BHR314" s="8" t="s">
        <v>5292</v>
      </c>
      <c r="BHS314" s="8" t="s">
        <v>5292</v>
      </c>
      <c r="BIZ314" s="8" t="s">
        <v>4346</v>
      </c>
      <c r="BQJ314" s="8" t="s">
        <v>6218</v>
      </c>
      <c r="BZP314" s="8" t="s">
        <v>4346</v>
      </c>
      <c r="CBL314" s="8" t="s">
        <v>3962</v>
      </c>
      <c r="CDH314" s="8" t="s">
        <v>3600</v>
      </c>
      <c r="CGZ314" s="8" t="s">
        <v>3128</v>
      </c>
      <c r="DGB314" s="8" t="s">
        <v>2705</v>
      </c>
      <c r="DHX314" s="8" t="s">
        <v>2343</v>
      </c>
      <c r="FND314" s="8" t="s">
        <v>3139</v>
      </c>
      <c r="FOZ314" s="8" t="s">
        <v>3139</v>
      </c>
    </row>
    <row r="315" spans="1:253 1352:2044 2072:3032 3080:3752 4184:4472">
      <c r="A315" s="8" t="s">
        <v>1294</v>
      </c>
      <c r="B315" s="10" t="s">
        <v>13890</v>
      </c>
      <c r="C315" s="8">
        <v>142</v>
      </c>
      <c r="D315" s="15">
        <v>20</v>
      </c>
      <c r="FN315" s="8" t="s">
        <v>13890</v>
      </c>
      <c r="BIB315" s="8" t="s">
        <v>5293</v>
      </c>
      <c r="BIC315" s="8" t="s">
        <v>5293</v>
      </c>
      <c r="BOU315" s="8" t="s">
        <v>4347</v>
      </c>
      <c r="BWE315" s="8" t="s">
        <v>6219</v>
      </c>
      <c r="CFK315" s="8" t="s">
        <v>4347</v>
      </c>
      <c r="CHG315" s="8" t="s">
        <v>3963</v>
      </c>
      <c r="CJC315" s="8" t="s">
        <v>3601</v>
      </c>
      <c r="CMU315" s="8" t="s">
        <v>3129</v>
      </c>
      <c r="DLP315" s="8" t="s">
        <v>2706</v>
      </c>
      <c r="DNL315" s="8" t="s">
        <v>2344</v>
      </c>
    </row>
    <row r="316" spans="1:253 1352:2044 2072:3032 3080:3752 4184:4472">
      <c r="A316" s="8" t="s">
        <v>1294</v>
      </c>
      <c r="B316" s="10" t="s">
        <v>13891</v>
      </c>
      <c r="C316" s="8">
        <v>163</v>
      </c>
      <c r="D316" s="15">
        <v>20</v>
      </c>
      <c r="GI316" s="8" t="s">
        <v>13891</v>
      </c>
      <c r="AZO316" s="8" t="s">
        <v>54</v>
      </c>
      <c r="AZS316" s="8" t="s">
        <v>54</v>
      </c>
      <c r="AZW316" s="8" t="s">
        <v>54</v>
      </c>
      <c r="BIG316" s="8" t="s">
        <v>4750</v>
      </c>
      <c r="BIH316" s="8" t="s">
        <v>4750</v>
      </c>
      <c r="BTH316" s="8" t="s">
        <v>4348</v>
      </c>
      <c r="CAR316" s="8" t="s">
        <v>6220</v>
      </c>
      <c r="CJX316" s="8" t="s">
        <v>4348</v>
      </c>
      <c r="CLT316" s="8" t="s">
        <v>3964</v>
      </c>
      <c r="CNP316" s="8" t="s">
        <v>3602</v>
      </c>
      <c r="CRH316" s="8" t="s">
        <v>3130</v>
      </c>
      <c r="DSZ316" s="8" t="s">
        <v>2707</v>
      </c>
      <c r="DUV316" s="8" t="s">
        <v>2345</v>
      </c>
    </row>
    <row r="317" spans="1:253 1352:2044 2072:3032 3080:3752 4184:4472">
      <c r="A317" s="8" t="s">
        <v>1294</v>
      </c>
      <c r="B317" s="10" t="s">
        <v>13892</v>
      </c>
      <c r="C317" s="8">
        <v>172</v>
      </c>
      <c r="D317" s="15">
        <v>20</v>
      </c>
      <c r="GR317" s="8" t="s">
        <v>13892</v>
      </c>
      <c r="AYZ317" s="8" t="s">
        <v>10080</v>
      </c>
      <c r="AZY317" s="8" t="s">
        <v>55</v>
      </c>
      <c r="BAC317" s="8" t="s">
        <v>55</v>
      </c>
      <c r="BAG317" s="8" t="s">
        <v>55</v>
      </c>
      <c r="BJF317" s="8" t="s">
        <v>4751</v>
      </c>
      <c r="BJG317" s="8" t="s">
        <v>4751</v>
      </c>
      <c r="CAR317" s="8" t="s">
        <v>4349</v>
      </c>
      <c r="CIB317" s="8" t="s">
        <v>6221</v>
      </c>
      <c r="CRH317" s="8" t="s">
        <v>4349</v>
      </c>
      <c r="CTD317" s="8" t="s">
        <v>3965</v>
      </c>
      <c r="CUZ317" s="8" t="s">
        <v>3603</v>
      </c>
      <c r="CYR317" s="8" t="s">
        <v>3131</v>
      </c>
      <c r="ELL317" s="8" t="s">
        <v>2708</v>
      </c>
      <c r="ENH317" s="8" t="s">
        <v>2346</v>
      </c>
    </row>
    <row r="318" spans="1:253 1352:2044 2072:3032 3080:3752 4184:4472">
      <c r="A318" s="8" t="s">
        <v>1294</v>
      </c>
      <c r="B318" s="10" t="s">
        <v>13893</v>
      </c>
      <c r="C318" s="8">
        <v>193</v>
      </c>
      <c r="D318" s="15">
        <v>20</v>
      </c>
      <c r="HM318" s="8" t="s">
        <v>13893</v>
      </c>
      <c r="AYZ318" s="8" t="s">
        <v>10081</v>
      </c>
      <c r="BAN318" s="8" t="s">
        <v>56</v>
      </c>
      <c r="BAR318" s="19" t="s">
        <v>56</v>
      </c>
      <c r="BAV318" s="8" t="s">
        <v>56</v>
      </c>
      <c r="BJR318" s="8" t="s">
        <v>4752</v>
      </c>
      <c r="CAR318" s="8" t="s">
        <v>4350</v>
      </c>
      <c r="CIB318" s="8" t="s">
        <v>6222</v>
      </c>
      <c r="CRH318" s="8" t="s">
        <v>4350</v>
      </c>
      <c r="CTD318" s="8" t="s">
        <v>3966</v>
      </c>
      <c r="CUZ318" s="8" t="s">
        <v>3604</v>
      </c>
      <c r="CYR318" s="8" t="s">
        <v>3132</v>
      </c>
      <c r="FHP318" s="8" t="s">
        <v>2709</v>
      </c>
      <c r="FJL318" s="8" t="s">
        <v>2347</v>
      </c>
    </row>
    <row r="319" spans="1:253 1352:2044 2072:3032 3080:3752 4184:4472">
      <c r="A319" s="8" t="s">
        <v>1294</v>
      </c>
      <c r="B319" s="10" t="s">
        <v>13894</v>
      </c>
      <c r="C319" s="8">
        <v>214</v>
      </c>
      <c r="D319" s="15">
        <v>19.61</v>
      </c>
      <c r="IH319" s="8" t="s">
        <v>13894</v>
      </c>
      <c r="BKA319" s="8" t="s">
        <v>4753</v>
      </c>
      <c r="BKB319" s="8" t="s">
        <v>10660</v>
      </c>
      <c r="BLP319" s="8" t="s">
        <v>57</v>
      </c>
      <c r="BLT319" s="8" t="s">
        <v>57</v>
      </c>
      <c r="BLX319" s="8" t="s">
        <v>10082</v>
      </c>
      <c r="CCC319" s="8" t="s">
        <v>4351</v>
      </c>
      <c r="CJM319" s="8" t="s">
        <v>6223</v>
      </c>
      <c r="CSS319" s="8" t="s">
        <v>4351</v>
      </c>
      <c r="CUO319" s="8" t="s">
        <v>3967</v>
      </c>
      <c r="CWK319" s="8" t="s">
        <v>3605</v>
      </c>
      <c r="DAC319" s="8" t="s">
        <v>3133</v>
      </c>
      <c r="FND319" s="8" t="s">
        <v>2710</v>
      </c>
      <c r="FOZ319" s="8" t="s">
        <v>2348</v>
      </c>
    </row>
    <row r="320" spans="1:253 1352:2044 2072:3032 3080:3752 4184:4472">
      <c r="A320" s="8" t="s">
        <v>1294</v>
      </c>
      <c r="B320" s="10" t="s">
        <v>13895</v>
      </c>
      <c r="C320" s="8">
        <v>234.61</v>
      </c>
      <c r="D320" s="15">
        <v>10</v>
      </c>
      <c r="IS320" s="8" t="s">
        <v>13895</v>
      </c>
      <c r="AYZ320" s="8" t="s">
        <v>4624</v>
      </c>
      <c r="BPO320" s="8" t="s">
        <v>4754</v>
      </c>
      <c r="BPP320" s="8" t="s">
        <v>4754</v>
      </c>
      <c r="BRL320" s="8" t="s">
        <v>10661</v>
      </c>
      <c r="BTH320" s="8" t="s">
        <v>10083</v>
      </c>
      <c r="CEJ320" s="8" t="s">
        <v>4352</v>
      </c>
      <c r="CLT320" s="8" t="s">
        <v>6224</v>
      </c>
      <c r="CUZ320" s="8" t="s">
        <v>4352</v>
      </c>
      <c r="CWV320" s="8" t="s">
        <v>3968</v>
      </c>
      <c r="CYR320" s="8" t="s">
        <v>3606</v>
      </c>
      <c r="DCJ320" s="8" t="s">
        <v>3134</v>
      </c>
    </row>
    <row r="321" spans="1:1016 1352:2027 2072:3032 3108:4088 4136:4424">
      <c r="A321" s="8" t="s">
        <v>1294</v>
      </c>
      <c r="B321" s="10" t="s">
        <v>13896</v>
      </c>
      <c r="C321" s="8">
        <v>251.59</v>
      </c>
      <c r="D321" s="15">
        <v>20</v>
      </c>
      <c r="JT321" s="8" t="s">
        <v>13896</v>
      </c>
      <c r="BCR321" s="8" t="s">
        <v>4625</v>
      </c>
      <c r="BRL321" s="8" t="s">
        <v>10662</v>
      </c>
      <c r="BTH321" s="8" t="s">
        <v>10084</v>
      </c>
      <c r="BWY321" s="8" t="s">
        <v>5294</v>
      </c>
      <c r="BWZ321" s="8" t="s">
        <v>5294</v>
      </c>
      <c r="CJX321" s="8" t="s">
        <v>4353</v>
      </c>
      <c r="CRH321" s="8" t="s">
        <v>6225</v>
      </c>
      <c r="DAN321" s="8" t="s">
        <v>4353</v>
      </c>
      <c r="DCJ321" s="8" t="s">
        <v>3969</v>
      </c>
      <c r="DEF321" s="8" t="s">
        <v>3607</v>
      </c>
      <c r="DHX321" s="8" t="s">
        <v>3135</v>
      </c>
    </row>
    <row r="322" spans="1:1016 1352:2027 2072:3032 3108:4088 4136:4424">
      <c r="A322" s="8" t="s">
        <v>1294</v>
      </c>
      <c r="B322" s="10" t="s">
        <v>10654</v>
      </c>
      <c r="C322" s="8">
        <v>364</v>
      </c>
      <c r="D322" s="15">
        <v>20</v>
      </c>
      <c r="OB322" s="8" t="s">
        <v>10654</v>
      </c>
      <c r="BGJ322" s="8" t="s">
        <v>4626</v>
      </c>
      <c r="BTH322" s="8" t="s">
        <v>10663</v>
      </c>
      <c r="BVD322" s="8" t="s">
        <v>10085</v>
      </c>
      <c r="BYM322" s="8" t="s">
        <v>4755</v>
      </c>
      <c r="BYN322" s="8" t="s">
        <v>4755</v>
      </c>
      <c r="CRH322" s="8" t="s">
        <v>4354</v>
      </c>
      <c r="CYR322" s="8" t="s">
        <v>6226</v>
      </c>
      <c r="DHX322" s="8" t="s">
        <v>4354</v>
      </c>
      <c r="DJT322" s="8" t="s">
        <v>3970</v>
      </c>
      <c r="DLP322" s="8" t="s">
        <v>3608</v>
      </c>
      <c r="DPH322" s="8" t="s">
        <v>3136</v>
      </c>
    </row>
    <row r="323" spans="1:1016 1352:2027 2072:3032 3108:4088 4136:4424">
      <c r="A323" s="8" t="s">
        <v>1294</v>
      </c>
      <c r="B323" s="10" t="s">
        <v>13897</v>
      </c>
      <c r="C323" s="8">
        <v>385</v>
      </c>
      <c r="D323" s="15">
        <v>9</v>
      </c>
      <c r="OL323" s="8" t="s">
        <v>13897</v>
      </c>
      <c r="BIF323" s="8" t="s">
        <v>4359</v>
      </c>
      <c r="BUN323" s="8" t="s">
        <v>10664</v>
      </c>
      <c r="BWJ323" s="8" t="s">
        <v>10086</v>
      </c>
      <c r="BYX323" s="8" t="s">
        <v>4756</v>
      </c>
      <c r="BYY323" s="8" t="s">
        <v>4756</v>
      </c>
      <c r="CYR323" s="8" t="s">
        <v>4355</v>
      </c>
      <c r="DGB323" s="8" t="s">
        <v>6227</v>
      </c>
      <c r="DPH323" s="8" t="s">
        <v>4355</v>
      </c>
      <c r="DRD323" s="8" t="s">
        <v>3971</v>
      </c>
      <c r="DSZ323" s="8" t="s">
        <v>3609</v>
      </c>
      <c r="DWR323" s="8" t="s">
        <v>3464</v>
      </c>
    </row>
    <row r="324" spans="1:1016 1352:2027 2072:3032 3108:4088 4136:4424">
      <c r="A324" s="8" t="s">
        <v>1294</v>
      </c>
      <c r="B324" s="10" t="s">
        <v>13898</v>
      </c>
      <c r="C324" s="8">
        <v>395</v>
      </c>
      <c r="D324" s="15">
        <v>20</v>
      </c>
      <c r="PG324" s="8" t="s">
        <v>13898</v>
      </c>
      <c r="BLX324" s="8" t="s">
        <v>4627</v>
      </c>
      <c r="CCN324" s="8" t="s">
        <v>10665</v>
      </c>
      <c r="CEI324" s="8" t="s">
        <v>4757</v>
      </c>
      <c r="CEJ324" s="8" t="s">
        <v>10087</v>
      </c>
      <c r="EFX324" s="8" t="s">
        <v>4356</v>
      </c>
      <c r="ENH324" s="8" t="s">
        <v>6228</v>
      </c>
      <c r="EWN324" s="8" t="s">
        <v>4356</v>
      </c>
      <c r="EYJ324" s="8" t="s">
        <v>3972</v>
      </c>
      <c r="FAF324" s="8" t="s">
        <v>3610</v>
      </c>
      <c r="FDX324" s="8" t="s">
        <v>3137</v>
      </c>
    </row>
    <row r="325" spans="1:1016 1352:2027 2072:3032 3108:4088 4136:4424">
      <c r="A325" s="8" t="s">
        <v>1294</v>
      </c>
      <c r="B325" s="10" t="s">
        <v>10655</v>
      </c>
      <c r="C325" s="8">
        <v>740.5</v>
      </c>
      <c r="D325" s="15">
        <v>4.9000000000000004</v>
      </c>
      <c r="ABY325" s="8" t="s">
        <v>10655</v>
      </c>
      <c r="BNU325" s="8" t="s">
        <v>4628</v>
      </c>
      <c r="CGG325" s="8" t="s">
        <v>4758</v>
      </c>
      <c r="CGH325" s="8" t="s">
        <v>4758</v>
      </c>
      <c r="CPM325" s="8" t="s">
        <v>10666</v>
      </c>
      <c r="CRI325" s="8" t="s">
        <v>10088</v>
      </c>
      <c r="ELL325" s="8" t="s">
        <v>4357</v>
      </c>
      <c r="ESV325" s="8" t="s">
        <v>6229</v>
      </c>
      <c r="FCB325" s="8" t="s">
        <v>4357</v>
      </c>
      <c r="FDX325" s="8" t="s">
        <v>3973</v>
      </c>
      <c r="FFT325" s="8" t="s">
        <v>3611</v>
      </c>
      <c r="FJL325" s="8" t="s">
        <v>3138</v>
      </c>
    </row>
    <row r="326" spans="1:1016 1352:2027 2072:3032 3108:4088 4136:4424">
      <c r="A326" s="8" t="s">
        <v>1294</v>
      </c>
      <c r="B326" s="10" t="s">
        <v>10656</v>
      </c>
      <c r="C326" s="8">
        <v>763.1</v>
      </c>
      <c r="D326" s="15">
        <v>4.9000000000000004</v>
      </c>
      <c r="ACV326" s="8" t="s">
        <v>10656</v>
      </c>
      <c r="BRK326" s="8" t="s">
        <v>4629</v>
      </c>
      <c r="CLS326" s="8" t="s">
        <v>4759</v>
      </c>
      <c r="CLT326" s="8" t="s">
        <v>4759</v>
      </c>
      <c r="DON326" s="8" t="s">
        <v>10667</v>
      </c>
      <c r="DQJ326" s="8" t="s">
        <v>10089</v>
      </c>
      <c r="EPD326" s="8" t="s">
        <v>4358</v>
      </c>
      <c r="EWN326" s="8" t="s">
        <v>6230</v>
      </c>
      <c r="FFT326" s="8" t="s">
        <v>4358</v>
      </c>
      <c r="FHP326" s="8" t="s">
        <v>3974</v>
      </c>
      <c r="FJL326" s="8" t="s">
        <v>3612</v>
      </c>
      <c r="FND326" s="8" t="s">
        <v>3139</v>
      </c>
    </row>
    <row r="327" spans="1:1016 1352:2027 2072:3032 3108:4088 4136:4424">
      <c r="A327" s="8" t="s">
        <v>1294</v>
      </c>
      <c r="B327" s="10" t="s">
        <v>13899</v>
      </c>
      <c r="C327" s="8">
        <v>769</v>
      </c>
      <c r="D327" s="15">
        <v>4.9000000000000004</v>
      </c>
      <c r="ADB327" s="8" t="s">
        <v>13899</v>
      </c>
      <c r="CAR327" s="8" t="s">
        <v>4630</v>
      </c>
      <c r="CNR327" s="8" t="s">
        <v>4760</v>
      </c>
      <c r="CNS327" s="8" t="s">
        <v>4760</v>
      </c>
      <c r="DQB327" s="8" t="s">
        <v>10668</v>
      </c>
      <c r="DRX327" s="8" t="s">
        <v>10090</v>
      </c>
    </row>
    <row r="328" spans="1:1016 1352:2027 2072:3032 3108:4088 4136:4424">
      <c r="A328" s="8" t="s">
        <v>1294</v>
      </c>
      <c r="B328" s="10" t="s">
        <v>10657</v>
      </c>
      <c r="C328" s="8">
        <v>782.03</v>
      </c>
      <c r="D328" s="15">
        <v>9.8000000000000007</v>
      </c>
      <c r="ADT328" s="8" t="s">
        <v>10657</v>
      </c>
      <c r="CEJ328" s="8" t="s">
        <v>4360</v>
      </c>
      <c r="CTE328" s="8" t="s">
        <v>5295</v>
      </c>
      <c r="CTF328" s="8" t="s">
        <v>5295</v>
      </c>
      <c r="DTB328" s="8" t="s">
        <v>10669</v>
      </c>
      <c r="DUX328" s="8" t="s">
        <v>10091</v>
      </c>
    </row>
    <row r="329" spans="1:1016 1352:2027 2072:3032 3108:4088 4136:4424">
      <c r="A329" s="8" t="s">
        <v>1294</v>
      </c>
      <c r="B329" s="10" t="s">
        <v>10658</v>
      </c>
      <c r="C329" s="8">
        <v>791.83</v>
      </c>
      <c r="D329" s="15">
        <v>19.61</v>
      </c>
      <c r="AEM329" s="8" t="s">
        <v>10658</v>
      </c>
      <c r="BAY329" s="8" t="s">
        <v>5454</v>
      </c>
      <c r="BAZ329" s="8" t="s">
        <v>5454</v>
      </c>
      <c r="BCU329" s="8" t="s">
        <v>4748</v>
      </c>
      <c r="BCW329" s="8" t="s">
        <v>4748</v>
      </c>
      <c r="CLU329" s="8" t="s">
        <v>4631</v>
      </c>
      <c r="CWU329" s="8" t="s">
        <v>4761</v>
      </c>
      <c r="CWV329" s="8" t="s">
        <v>4761</v>
      </c>
      <c r="FCE329" s="8" t="s">
        <v>10670</v>
      </c>
      <c r="FEA329" s="8" t="s">
        <v>10092</v>
      </c>
    </row>
    <row r="330" spans="1:1016 1352:2027 2072:3032 3108:4088 4136:4424">
      <c r="A330" s="8" t="s">
        <v>1294</v>
      </c>
      <c r="B330" s="10" t="s">
        <v>10659</v>
      </c>
      <c r="C330" s="8">
        <v>1002.12</v>
      </c>
      <c r="D330" s="15">
        <v>5.88</v>
      </c>
      <c r="AMB330" s="8" t="s">
        <v>10659</v>
      </c>
      <c r="BCL330" s="8" t="s">
        <v>5455</v>
      </c>
      <c r="BEF330" s="8" t="s">
        <v>4749</v>
      </c>
      <c r="BEH330" s="8" t="s">
        <v>4749</v>
      </c>
      <c r="CNQ330" s="8" t="s">
        <v>4632</v>
      </c>
      <c r="DWI330" s="8" t="s">
        <v>4762</v>
      </c>
      <c r="DWJ330" s="8" t="s">
        <v>4762</v>
      </c>
    </row>
    <row r="331" spans="1:1016 1352:2027 2072:3032 3108:4088 4136:4424">
      <c r="A331" s="8" t="s">
        <v>1294</v>
      </c>
      <c r="B331" s="10" t="s">
        <v>13900</v>
      </c>
      <c r="C331" s="8">
        <v>1468.39</v>
      </c>
      <c r="D331" s="15">
        <v>19.61</v>
      </c>
      <c r="BDZ331" s="8" t="s">
        <v>5456</v>
      </c>
      <c r="BEN331" s="8" t="s">
        <v>13900</v>
      </c>
      <c r="BFU331" s="8" t="s">
        <v>5292</v>
      </c>
      <c r="BFV331" s="8" t="s">
        <v>5292</v>
      </c>
      <c r="BFW331" s="8" t="s">
        <v>5292</v>
      </c>
      <c r="CTD331" s="8" t="s">
        <v>4361</v>
      </c>
      <c r="DWR331" s="8" t="s">
        <v>4763</v>
      </c>
      <c r="DWS331" s="8" t="s">
        <v>4763</v>
      </c>
    </row>
    <row r="332" spans="1:1016 1352:2027 2072:3032 3108:4088 4136:4424">
      <c r="A332" s="8" t="s">
        <v>1294</v>
      </c>
      <c r="B332" s="10" t="s">
        <v>13901</v>
      </c>
      <c r="C332" s="8">
        <v>1639.39</v>
      </c>
      <c r="D332" s="15">
        <v>20</v>
      </c>
      <c r="BEK332" s="8" t="s">
        <v>5457</v>
      </c>
      <c r="BGE332" s="8" t="s">
        <v>5293</v>
      </c>
      <c r="BGG332" s="8" t="s">
        <v>5293</v>
      </c>
      <c r="BLC332" s="8" t="s">
        <v>13901</v>
      </c>
      <c r="BYV332" s="8" t="s">
        <v>3140</v>
      </c>
      <c r="CAR332" s="8" t="s">
        <v>3140</v>
      </c>
      <c r="CYQ332" s="8" t="s">
        <v>4633</v>
      </c>
      <c r="FDW332" s="8" t="s">
        <v>5296</v>
      </c>
      <c r="FDX332" s="8" t="s">
        <v>5296</v>
      </c>
    </row>
    <row r="333" spans="1:1016 1352:2027 2072:3032 3108:4088 4136:4424">
      <c r="A333" s="8" t="s">
        <v>1294</v>
      </c>
      <c r="B333" s="10" t="s">
        <v>10661</v>
      </c>
      <c r="C333" s="8">
        <v>1660.39</v>
      </c>
      <c r="D333" s="15">
        <v>19.61</v>
      </c>
      <c r="BEN333" s="8" t="s">
        <v>5458</v>
      </c>
      <c r="BEO333" s="8" t="s">
        <v>5458</v>
      </c>
      <c r="BGJ333" s="8" t="s">
        <v>4750</v>
      </c>
      <c r="BGL333" s="8" t="s">
        <v>4750</v>
      </c>
      <c r="BLX333" s="8" t="s">
        <v>10661</v>
      </c>
      <c r="CLT333" s="8" t="s">
        <v>3141</v>
      </c>
      <c r="CNP333" s="8" t="s">
        <v>3141</v>
      </c>
      <c r="DAN333" s="8" t="s">
        <v>4634</v>
      </c>
    </row>
    <row r="334" spans="1:1016 1352:2027 2072:3032 3108:4088 4136:4424">
      <c r="A334" s="8" t="s">
        <v>1294</v>
      </c>
      <c r="B334" s="10" t="s">
        <v>10662</v>
      </c>
      <c r="C334" s="8">
        <v>1660.39</v>
      </c>
      <c r="D334" s="15">
        <v>19.61</v>
      </c>
      <c r="AYZ334" s="8" t="s">
        <v>1315</v>
      </c>
      <c r="BFM334" s="8" t="s">
        <v>5459</v>
      </c>
      <c r="BFN334" s="8" t="s">
        <v>5459</v>
      </c>
      <c r="BHI334" s="8" t="s">
        <v>4751</v>
      </c>
      <c r="BHJ334" s="8" t="s">
        <v>4751</v>
      </c>
      <c r="BHK334" s="8" t="s">
        <v>4751</v>
      </c>
      <c r="BLX334" s="8" t="s">
        <v>10662</v>
      </c>
      <c r="DAN334" s="8" t="s">
        <v>3142</v>
      </c>
      <c r="DCJ334" s="8" t="s">
        <v>3142</v>
      </c>
      <c r="DLP334" s="8" t="s">
        <v>4362</v>
      </c>
    </row>
    <row r="335" spans="1:1016 1352:2027 2072:3032 3108:4088 4136:4424">
      <c r="A335" s="8" t="s">
        <v>1294</v>
      </c>
      <c r="B335" s="10" t="s">
        <v>13902</v>
      </c>
      <c r="C335" s="8">
        <v>1697</v>
      </c>
      <c r="D335" s="15">
        <v>20</v>
      </c>
      <c r="AZA335" s="8" t="s">
        <v>137</v>
      </c>
      <c r="BAW335" s="8" t="s">
        <v>137</v>
      </c>
      <c r="BFY335" s="8" t="s">
        <v>5460</v>
      </c>
      <c r="BHU335" s="8" t="s">
        <v>4752</v>
      </c>
      <c r="BHV335" s="8" t="s">
        <v>4752</v>
      </c>
      <c r="BNI335" s="8" t="s">
        <v>13902</v>
      </c>
      <c r="DSZ335" s="8" t="s">
        <v>3143</v>
      </c>
      <c r="DUV335" s="8" t="s">
        <v>3143</v>
      </c>
      <c r="ELL335" s="8" t="s">
        <v>4363</v>
      </c>
    </row>
    <row r="336" spans="1:1016 1352:2027 2072:3032 3108:4088 4136:4424">
      <c r="A336" s="8" t="s">
        <v>1294</v>
      </c>
      <c r="B336" s="10" t="s">
        <v>10663</v>
      </c>
      <c r="C336" s="8">
        <v>1718</v>
      </c>
      <c r="D336" s="15">
        <v>10</v>
      </c>
      <c r="BAV336" s="8" t="s">
        <v>138</v>
      </c>
      <c r="BCR336" s="8" t="s">
        <v>138</v>
      </c>
      <c r="BEN336" s="8" t="s">
        <v>138</v>
      </c>
      <c r="BGJ336" s="8" t="s">
        <v>5376</v>
      </c>
      <c r="BID336" s="8" t="s">
        <v>4753</v>
      </c>
      <c r="BIF336" s="8" t="s">
        <v>4753</v>
      </c>
      <c r="BNT336" s="8" t="s">
        <v>10663</v>
      </c>
      <c r="ESV336" s="8" t="s">
        <v>3144</v>
      </c>
      <c r="EUR336" s="8" t="s">
        <v>3144</v>
      </c>
      <c r="FJJ336" s="8" t="s">
        <v>4635</v>
      </c>
    </row>
    <row r="337" spans="1:211 1352:2024 2072:3034 3080:4088 4134:4423">
      <c r="A337" s="8" t="s">
        <v>1294</v>
      </c>
      <c r="B337" s="10" t="s">
        <v>13903</v>
      </c>
      <c r="C337" s="8">
        <v>1754.33</v>
      </c>
      <c r="D337" s="15">
        <v>5.88</v>
      </c>
      <c r="BBS337" s="8" t="s">
        <v>20</v>
      </c>
      <c r="BDO337" s="8" t="s">
        <v>20</v>
      </c>
      <c r="BFK337" s="8" t="s">
        <v>20</v>
      </c>
      <c r="BHG337" s="8" t="s">
        <v>20</v>
      </c>
      <c r="BLX337" s="8" t="s">
        <v>5461</v>
      </c>
      <c r="BNR337" s="8" t="s">
        <v>4754</v>
      </c>
      <c r="BNT337" s="8" t="s">
        <v>4754</v>
      </c>
      <c r="BOZ337" s="8" t="s">
        <v>13903</v>
      </c>
      <c r="FLG337" s="8" t="s">
        <v>4636</v>
      </c>
    </row>
    <row r="338" spans="1:211 1352:2024 2072:3034 3080:4088 4134:4423">
      <c r="A338" s="8" t="s">
        <v>1294</v>
      </c>
      <c r="B338" s="10" t="s">
        <v>10665</v>
      </c>
      <c r="C338" s="8">
        <v>1948.39</v>
      </c>
      <c r="D338" s="15">
        <v>19.61</v>
      </c>
      <c r="AYZ338" s="8" t="s">
        <v>2349</v>
      </c>
      <c r="BBW338" s="8" t="s">
        <v>21</v>
      </c>
      <c r="BDS338" s="8" t="s">
        <v>21</v>
      </c>
      <c r="BFO338" s="8" t="s">
        <v>21</v>
      </c>
      <c r="BHK338" s="8" t="s">
        <v>21</v>
      </c>
      <c r="BTH338" s="8" t="s">
        <v>5462</v>
      </c>
      <c r="BVB338" s="8" t="s">
        <v>5294</v>
      </c>
      <c r="BVD338" s="8" t="s">
        <v>5294</v>
      </c>
      <c r="BWZ338" s="8" t="s">
        <v>10665</v>
      </c>
      <c r="FNC338" s="8" t="s">
        <v>4637</v>
      </c>
    </row>
    <row r="339" spans="1:211 1352:2024 2072:3034 3080:4088 4134:4423">
      <c r="A339" s="8" t="s">
        <v>1294</v>
      </c>
      <c r="B339" s="10" t="s">
        <v>10653</v>
      </c>
      <c r="C339" s="8">
        <v>2057.59</v>
      </c>
      <c r="D339" s="15">
        <v>19.61</v>
      </c>
      <c r="BAR339" s="19" t="s">
        <v>1462</v>
      </c>
      <c r="BEJ339" s="8" t="s">
        <v>139</v>
      </c>
      <c r="BGF339" s="8" t="s">
        <v>139</v>
      </c>
      <c r="BIB339" s="8" t="s">
        <v>139</v>
      </c>
      <c r="BJX339" s="8" t="s">
        <v>139</v>
      </c>
      <c r="BUU339" s="8" t="s">
        <v>5463</v>
      </c>
      <c r="BUV339" s="8" t="s">
        <v>5463</v>
      </c>
      <c r="BWP339" s="8" t="s">
        <v>4755</v>
      </c>
      <c r="BWQ339" s="8" t="s">
        <v>4755</v>
      </c>
      <c r="BWR339" s="8" t="s">
        <v>4755</v>
      </c>
      <c r="CBE339" s="8" t="s">
        <v>10653</v>
      </c>
      <c r="CPL339" s="8" t="s">
        <v>2711</v>
      </c>
      <c r="CRH339" s="8" t="s">
        <v>2350</v>
      </c>
    </row>
    <row r="340" spans="1:211 1352:2024 2072:3034 3080:4088 4134:4423">
      <c r="A340" s="8" t="s">
        <v>1294</v>
      </c>
      <c r="B340" s="10" t="s">
        <v>10666</v>
      </c>
      <c r="C340" s="8">
        <v>2295.67</v>
      </c>
      <c r="D340" s="15">
        <v>9.8000000000000007</v>
      </c>
      <c r="AZC340" s="8" t="s">
        <v>5235</v>
      </c>
      <c r="BBN340" s="8" t="s">
        <v>1894</v>
      </c>
      <c r="BDJ340" s="8" t="s">
        <v>1463</v>
      </c>
      <c r="BHB340" s="8" t="s">
        <v>17</v>
      </c>
      <c r="BIX340" s="8" t="s">
        <v>17</v>
      </c>
      <c r="BKT340" s="8" t="s">
        <v>17</v>
      </c>
      <c r="BMP340" s="8" t="s">
        <v>17</v>
      </c>
      <c r="BVF340" s="8" t="s">
        <v>5464</v>
      </c>
      <c r="BVG340" s="8" t="s">
        <v>5464</v>
      </c>
      <c r="BXA340" s="8" t="s">
        <v>4756</v>
      </c>
      <c r="BXB340" s="8" t="s">
        <v>4756</v>
      </c>
      <c r="BXC340" s="8" t="s">
        <v>4756</v>
      </c>
      <c r="CJY340" s="8" t="s">
        <v>10666</v>
      </c>
      <c r="DEF340" s="8" t="s">
        <v>2712</v>
      </c>
      <c r="DGB340" s="8" t="s">
        <v>2351</v>
      </c>
    </row>
    <row r="341" spans="1:211 1352:2024 2072:3034 3080:4088 4134:4423">
      <c r="A341" s="8" t="s">
        <v>1294</v>
      </c>
      <c r="B341" s="10" t="s">
        <v>10667</v>
      </c>
      <c r="C341" s="8">
        <v>2936.78</v>
      </c>
      <c r="D341" s="15">
        <v>19.61</v>
      </c>
      <c r="AZC341" s="8" t="s">
        <v>5236</v>
      </c>
      <c r="BCT341" s="8" t="s">
        <v>1895</v>
      </c>
      <c r="BEP341" s="8" t="s">
        <v>1464</v>
      </c>
      <c r="BIH341" s="8" t="s">
        <v>22</v>
      </c>
      <c r="BKD341" s="8" t="s">
        <v>22</v>
      </c>
      <c r="BLZ341" s="8" t="s">
        <v>22</v>
      </c>
      <c r="BNV341" s="8" t="s">
        <v>22</v>
      </c>
      <c r="CAR341" s="8" t="s">
        <v>5465</v>
      </c>
      <c r="CCL341" s="8" t="s">
        <v>4757</v>
      </c>
      <c r="CCN341" s="8" t="s">
        <v>4757</v>
      </c>
      <c r="DIZ341" s="8" t="s">
        <v>10667</v>
      </c>
      <c r="DWR341" s="8" t="s">
        <v>2713</v>
      </c>
      <c r="DYN341" s="8" t="s">
        <v>2352</v>
      </c>
    </row>
    <row r="342" spans="1:211 1352:2024 2072:3034 3080:4088 4134:4423">
      <c r="A342" s="8" t="s">
        <v>1294</v>
      </c>
      <c r="B342" s="10" t="s">
        <v>10668</v>
      </c>
      <c r="C342" s="8">
        <v>2975.98</v>
      </c>
      <c r="D342" s="15">
        <v>19.61</v>
      </c>
      <c r="AYZ342" s="8" t="s">
        <v>5237</v>
      </c>
      <c r="BCR342" s="8" t="s">
        <v>5237</v>
      </c>
      <c r="BGN342" s="8" t="s">
        <v>1896</v>
      </c>
      <c r="BIJ342" s="8" t="s">
        <v>1465</v>
      </c>
      <c r="BMB342" s="8" t="s">
        <v>23</v>
      </c>
      <c r="BNX342" s="8" t="s">
        <v>23</v>
      </c>
      <c r="BPT342" s="8" t="s">
        <v>23</v>
      </c>
      <c r="BRP342" s="8" t="s">
        <v>23</v>
      </c>
      <c r="CCN342" s="8" t="s">
        <v>5466</v>
      </c>
      <c r="CCO342" s="8" t="s">
        <v>5466</v>
      </c>
      <c r="CEJ342" s="8" t="s">
        <v>4758</v>
      </c>
      <c r="CEL342" s="8" t="s">
        <v>4758</v>
      </c>
      <c r="DKN342" s="8" t="s">
        <v>10668</v>
      </c>
      <c r="EWN342" s="8" t="s">
        <v>2714</v>
      </c>
      <c r="EYJ342" s="8" t="s">
        <v>2353</v>
      </c>
    </row>
    <row r="343" spans="1:211 1352:2024 2072:3034 3080:4088 4134:4423">
      <c r="A343" s="8" t="s">
        <v>1294</v>
      </c>
      <c r="B343" s="10" t="s">
        <v>10669</v>
      </c>
      <c r="C343" s="8">
        <v>3054.61</v>
      </c>
      <c r="D343" s="15">
        <v>19.61</v>
      </c>
      <c r="AZA343" s="8" t="s">
        <v>4746</v>
      </c>
      <c r="AZB343" s="8" t="s">
        <v>4746</v>
      </c>
      <c r="BAW343" s="8" t="s">
        <v>5238</v>
      </c>
      <c r="BKC343" s="8" t="s">
        <v>1897</v>
      </c>
      <c r="BLY343" s="8" t="s">
        <v>1466</v>
      </c>
      <c r="BPQ343" s="8" t="s">
        <v>141</v>
      </c>
      <c r="BRM343" s="8" t="s">
        <v>141</v>
      </c>
      <c r="BTI343" s="8" t="s">
        <v>141</v>
      </c>
      <c r="BVE343" s="8" t="s">
        <v>141</v>
      </c>
      <c r="CIB343" s="8" t="s">
        <v>5467</v>
      </c>
      <c r="CJV343" s="8" t="s">
        <v>4759</v>
      </c>
      <c r="CJX343" s="8" t="s">
        <v>4759</v>
      </c>
      <c r="DNN343" s="8" t="s">
        <v>10669</v>
      </c>
    </row>
    <row r="344" spans="1:211 1352:2024 2072:3034 3080:4088 4134:4423">
      <c r="A344" s="8" t="s">
        <v>1294</v>
      </c>
      <c r="B344" s="10" t="s">
        <v>13904</v>
      </c>
      <c r="C344" s="8">
        <v>3967.33</v>
      </c>
      <c r="D344" s="15">
        <v>19.61</v>
      </c>
      <c r="AYZ344" s="8" t="s">
        <v>3869</v>
      </c>
      <c r="BAV344" s="8" t="s">
        <v>5239</v>
      </c>
      <c r="BAX344" s="8" t="s">
        <v>15</v>
      </c>
      <c r="BCJ344" s="8" t="s">
        <v>4747</v>
      </c>
      <c r="BCK344" s="8" t="s">
        <v>4747</v>
      </c>
      <c r="BCR344" s="8" t="s">
        <v>3465</v>
      </c>
      <c r="BEF344" s="8" t="s">
        <v>4747</v>
      </c>
      <c r="BEG344" s="8" t="s">
        <v>4747</v>
      </c>
      <c r="BVG344" s="8" t="s">
        <v>1898</v>
      </c>
      <c r="BXC344" s="8" t="s">
        <v>1467</v>
      </c>
      <c r="CAU344" s="8" t="s">
        <v>24</v>
      </c>
      <c r="CCQ344" s="8" t="s">
        <v>24</v>
      </c>
      <c r="CEM344" s="8" t="s">
        <v>24</v>
      </c>
      <c r="CGI344" s="8" t="s">
        <v>24</v>
      </c>
      <c r="CJZ344" s="8" t="s">
        <v>5468</v>
      </c>
      <c r="CKA344" s="8" t="s">
        <v>5468</v>
      </c>
      <c r="CLU344" s="8" t="s">
        <v>4760</v>
      </c>
      <c r="CLV344" s="8" t="s">
        <v>4760</v>
      </c>
      <c r="CLW344" s="8" t="s">
        <v>4760</v>
      </c>
      <c r="EWQ344" s="8" t="s">
        <v>13904</v>
      </c>
    </row>
    <row r="345" spans="1:211 1352:2024 2072:3034 3080:4088 4134:4423">
      <c r="A345" s="8" t="s">
        <v>1295</v>
      </c>
      <c r="B345" s="10" t="s">
        <v>10671</v>
      </c>
      <c r="C345" s="8">
        <v>-576</v>
      </c>
      <c r="D345" s="15">
        <v>4.71</v>
      </c>
      <c r="H345" s="8" t="s">
        <v>10671</v>
      </c>
      <c r="AYZ345" s="8" t="s">
        <v>6231</v>
      </c>
      <c r="BAV345" s="8" t="s">
        <v>5240</v>
      </c>
      <c r="BEN345" s="8" t="s">
        <v>5240</v>
      </c>
      <c r="BGL345" s="8" t="s">
        <v>136</v>
      </c>
      <c r="BIF345" s="8" t="s">
        <v>4359</v>
      </c>
      <c r="BII345" s="8" t="s">
        <v>4748</v>
      </c>
      <c r="BIJ345" s="8" t="s">
        <v>4748</v>
      </c>
      <c r="BKB345" s="8" t="s">
        <v>3975</v>
      </c>
      <c r="BKE345" s="8" t="s">
        <v>4748</v>
      </c>
      <c r="BKF345" s="8" t="s">
        <v>4748</v>
      </c>
      <c r="BKG345" s="8" t="s">
        <v>4748</v>
      </c>
      <c r="BLX345" s="8" t="s">
        <v>3613</v>
      </c>
      <c r="BPP345" s="8" t="s">
        <v>3140</v>
      </c>
      <c r="BWT345" s="8" t="s">
        <v>1899</v>
      </c>
      <c r="BYP345" s="8" t="s">
        <v>1468</v>
      </c>
      <c r="CCH345" s="8" t="s">
        <v>1359</v>
      </c>
      <c r="CED345" s="8" t="s">
        <v>1359</v>
      </c>
      <c r="CFZ345" s="8" t="s">
        <v>1359</v>
      </c>
      <c r="CHV345" s="8" t="s">
        <v>1359</v>
      </c>
      <c r="CPL345" s="8" t="s">
        <v>5469</v>
      </c>
      <c r="CPM345" s="8" t="s">
        <v>5469</v>
      </c>
      <c r="CRH345" s="8" t="s">
        <v>5295</v>
      </c>
      <c r="CRJ345" s="8" t="s">
        <v>5295</v>
      </c>
    </row>
    <row r="346" spans="1:211 1352:2024 2072:3034 3080:4088 4134:4423">
      <c r="A346" s="8" t="s">
        <v>1295</v>
      </c>
      <c r="B346" s="10" t="s">
        <v>10672</v>
      </c>
      <c r="C346" s="8">
        <v>-576</v>
      </c>
      <c r="D346" s="15">
        <v>5.19</v>
      </c>
      <c r="H346" s="8" t="s">
        <v>10672</v>
      </c>
      <c r="BEB346" s="8" t="s">
        <v>5241</v>
      </c>
      <c r="BHT346" s="8" t="s">
        <v>5241</v>
      </c>
      <c r="BJV346" s="8" t="s">
        <v>4749</v>
      </c>
      <c r="BKC346" s="8" t="s">
        <v>19</v>
      </c>
      <c r="BLQ346" s="8" t="s">
        <v>4749</v>
      </c>
      <c r="BLR346" s="8" t="s">
        <v>4749</v>
      </c>
      <c r="BNT346" s="8" t="s">
        <v>4360</v>
      </c>
      <c r="BVD346" s="8" t="s">
        <v>6232</v>
      </c>
      <c r="BWZ346" s="8" t="s">
        <v>1900</v>
      </c>
      <c r="BYV346" s="8" t="s">
        <v>1469</v>
      </c>
      <c r="CCN346" s="8" t="s">
        <v>1316</v>
      </c>
      <c r="CEJ346" s="8" t="s">
        <v>4360</v>
      </c>
      <c r="CGF346" s="8" t="s">
        <v>3976</v>
      </c>
      <c r="CIB346" s="8" t="s">
        <v>3489</v>
      </c>
      <c r="CLT346" s="8" t="s">
        <v>3141</v>
      </c>
      <c r="CTD346" s="8" t="s">
        <v>5470</v>
      </c>
      <c r="CUX346" s="8" t="s">
        <v>4761</v>
      </c>
      <c r="CUZ346" s="8" t="s">
        <v>4761</v>
      </c>
    </row>
    <row r="347" spans="1:211 1352:2024 2072:3034 3080:4088 4134:4423">
      <c r="A347" s="8" t="s">
        <v>1295</v>
      </c>
      <c r="B347" s="10" t="s">
        <v>10673</v>
      </c>
      <c r="C347" s="8">
        <v>-350.12</v>
      </c>
      <c r="D347" s="15">
        <v>14.12</v>
      </c>
      <c r="H347" s="8" t="s">
        <v>10673</v>
      </c>
      <c r="BCR347" s="8" t="s">
        <v>5242</v>
      </c>
      <c r="BGJ347" s="8" t="s">
        <v>5242</v>
      </c>
      <c r="BLX347" s="8" t="s">
        <v>4750</v>
      </c>
      <c r="BLY347" s="8" t="s">
        <v>4750</v>
      </c>
      <c r="BNT347" s="8" t="s">
        <v>4750</v>
      </c>
      <c r="BNU347" s="8" t="s">
        <v>4750</v>
      </c>
      <c r="BNV347" s="8" t="s">
        <v>4750</v>
      </c>
      <c r="BPP347" s="8" t="s">
        <v>137</v>
      </c>
      <c r="CCN347" s="8" t="s">
        <v>4361</v>
      </c>
      <c r="CJX347" s="8" t="s">
        <v>6233</v>
      </c>
      <c r="CPC347" s="8" t="s">
        <v>1901</v>
      </c>
      <c r="CQY347" s="8" t="s">
        <v>1470</v>
      </c>
      <c r="CTD347" s="8" t="s">
        <v>4361</v>
      </c>
      <c r="CUQ347" s="8" t="s">
        <v>142</v>
      </c>
      <c r="CUZ347" s="8" t="s">
        <v>3977</v>
      </c>
      <c r="CWM347" s="8" t="s">
        <v>142</v>
      </c>
      <c r="CWV347" s="8" t="s">
        <v>3614</v>
      </c>
      <c r="CYI347" s="8" t="s">
        <v>142</v>
      </c>
      <c r="DAE347" s="8" t="s">
        <v>142</v>
      </c>
      <c r="DAN347" s="8" t="s">
        <v>3142</v>
      </c>
      <c r="DCJ347" s="8" t="s">
        <v>5471</v>
      </c>
      <c r="DEF347" s="8" t="s">
        <v>5358</v>
      </c>
    </row>
    <row r="348" spans="1:211 1352:2024 2072:3034 3080:4088 4134:4423">
      <c r="A348" s="8" t="s">
        <v>1295</v>
      </c>
      <c r="B348" s="10" t="s">
        <v>10674</v>
      </c>
      <c r="C348" s="8">
        <v>-276.06</v>
      </c>
      <c r="D348" s="15">
        <v>24.71</v>
      </c>
      <c r="H348" s="8" t="s">
        <v>10674</v>
      </c>
      <c r="BMW348" s="8" t="s">
        <v>4751</v>
      </c>
      <c r="BMX348" s="8" t="s">
        <v>4751</v>
      </c>
      <c r="BOS348" s="8" t="s">
        <v>4751</v>
      </c>
      <c r="BOT348" s="8" t="s">
        <v>4751</v>
      </c>
      <c r="BOU348" s="8" t="s">
        <v>4751</v>
      </c>
      <c r="BQM348" s="8" t="s">
        <v>138</v>
      </c>
      <c r="CPN348" s="8" t="s">
        <v>1902</v>
      </c>
      <c r="CRJ348" s="8" t="s">
        <v>1471</v>
      </c>
      <c r="CUZ348" s="8" t="s">
        <v>4362</v>
      </c>
      <c r="CVB348" s="8" t="s">
        <v>25</v>
      </c>
      <c r="CWX348" s="8" t="s">
        <v>25</v>
      </c>
      <c r="CYT348" s="8" t="s">
        <v>25</v>
      </c>
      <c r="DAP348" s="8" t="s">
        <v>25</v>
      </c>
      <c r="DCJ348" s="8" t="s">
        <v>6234</v>
      </c>
      <c r="DLP348" s="8" t="s">
        <v>4362</v>
      </c>
      <c r="DNL348" s="8" t="s">
        <v>3978</v>
      </c>
      <c r="DPH348" s="8" t="s">
        <v>3615</v>
      </c>
      <c r="DSQ348" s="8" t="s">
        <v>5472</v>
      </c>
      <c r="DSR348" s="8" t="s">
        <v>5472</v>
      </c>
      <c r="DSZ348" s="8" t="s">
        <v>3143</v>
      </c>
      <c r="DUL348" s="8" t="s">
        <v>4762</v>
      </c>
      <c r="DUM348" s="8" t="s">
        <v>4762</v>
      </c>
      <c r="DUN348" s="8" t="s">
        <v>4762</v>
      </c>
    </row>
    <row r="349" spans="1:211 1352:2024 2072:3034 3080:4088 4134:4423">
      <c r="A349" s="8" t="s">
        <v>1295</v>
      </c>
      <c r="B349" s="10" t="s">
        <v>13905</v>
      </c>
      <c r="C349" s="8">
        <v>49</v>
      </c>
      <c r="D349" s="15">
        <v>8.65</v>
      </c>
      <c r="BN349" s="8" t="s">
        <v>13905</v>
      </c>
      <c r="BNI349" s="8" t="s">
        <v>4752</v>
      </c>
      <c r="BNJ349" s="8" t="s">
        <v>4752</v>
      </c>
      <c r="BPE349" s="8" t="s">
        <v>4752</v>
      </c>
      <c r="BPF349" s="8" t="s">
        <v>4752</v>
      </c>
      <c r="BQQ349" s="8" t="s">
        <v>20</v>
      </c>
      <c r="DCJ349" s="8" t="s">
        <v>1903</v>
      </c>
      <c r="DEF349" s="8" t="s">
        <v>1472</v>
      </c>
      <c r="DHX349" s="8" t="s">
        <v>1360</v>
      </c>
      <c r="DJT349" s="8" t="s">
        <v>1360</v>
      </c>
      <c r="DLP349" s="8" t="s">
        <v>1360</v>
      </c>
      <c r="DNL349" s="8" t="s">
        <v>1360</v>
      </c>
      <c r="DSZ349" s="8" t="s">
        <v>5473</v>
      </c>
      <c r="DTA349" s="8" t="s">
        <v>5473</v>
      </c>
      <c r="DUU349" s="8" t="s">
        <v>4763</v>
      </c>
      <c r="DUV349" s="8" t="s">
        <v>4363</v>
      </c>
      <c r="DUW349" s="8" t="s">
        <v>4763</v>
      </c>
      <c r="ECF349" s="8" t="s">
        <v>6235</v>
      </c>
      <c r="ELL349" s="8" t="s">
        <v>4363</v>
      </c>
      <c r="ENH349" s="8" t="s">
        <v>3979</v>
      </c>
      <c r="EPD349" s="8" t="s">
        <v>3616</v>
      </c>
      <c r="ESV349" s="8" t="s">
        <v>3144</v>
      </c>
    </row>
    <row r="350" spans="1:211 1352:2024 2072:3034 3080:4088 4134:4423">
      <c r="A350" s="8" t="s">
        <v>1295</v>
      </c>
      <c r="B350" s="10" t="s">
        <v>10675</v>
      </c>
      <c r="C350" s="8">
        <v>58.86</v>
      </c>
      <c r="D350" s="15">
        <v>9.8800000000000008</v>
      </c>
      <c r="BY350" s="8" t="s">
        <v>10675</v>
      </c>
      <c r="AZB350" s="8" t="s">
        <v>783</v>
      </c>
      <c r="BAX350" s="8" t="s">
        <v>783</v>
      </c>
      <c r="BNT350" s="8" t="s">
        <v>4753</v>
      </c>
      <c r="BPO350" s="8" t="s">
        <v>4753</v>
      </c>
      <c r="BPP350" s="8" t="s">
        <v>4753</v>
      </c>
      <c r="BTD350" s="8" t="s">
        <v>21</v>
      </c>
      <c r="DEH350" s="8" t="s">
        <v>1904</v>
      </c>
      <c r="DGD350" s="8" t="s">
        <v>1473</v>
      </c>
      <c r="DJV350" s="8" t="s">
        <v>144</v>
      </c>
      <c r="DLR350" s="8" t="s">
        <v>144</v>
      </c>
      <c r="DNN350" s="8" t="s">
        <v>144</v>
      </c>
      <c r="DPJ350" s="8" t="s">
        <v>144</v>
      </c>
      <c r="FAF350" s="8" t="s">
        <v>5474</v>
      </c>
      <c r="FBZ350" s="8" t="s">
        <v>5296</v>
      </c>
      <c r="FCB350" s="8" t="s">
        <v>5296</v>
      </c>
    </row>
    <row r="351" spans="1:211 1352:2024 2072:3034 3080:4088 4134:4423">
      <c r="A351" s="8" t="s">
        <v>1295</v>
      </c>
      <c r="B351" s="10" t="s">
        <v>10691</v>
      </c>
      <c r="C351" s="8">
        <v>125.88</v>
      </c>
      <c r="D351" s="15">
        <v>4.71</v>
      </c>
      <c r="EI351" s="8" t="s">
        <v>10691</v>
      </c>
      <c r="BAX351" s="8" t="s">
        <v>136</v>
      </c>
      <c r="BEP351" s="8" t="s">
        <v>784</v>
      </c>
      <c r="BGL351" s="8" t="s">
        <v>784</v>
      </c>
      <c r="BTH351" s="8" t="s">
        <v>4754</v>
      </c>
      <c r="BVC351" s="8" t="s">
        <v>4754</v>
      </c>
      <c r="BVD351" s="8" t="s">
        <v>4754</v>
      </c>
      <c r="DNL351" s="8" t="s">
        <v>1905</v>
      </c>
      <c r="DPH351" s="8" t="s">
        <v>1474</v>
      </c>
      <c r="DSZ351" s="8" t="s">
        <v>1317</v>
      </c>
      <c r="DUV351" s="8" t="s">
        <v>1317</v>
      </c>
      <c r="DWR351" s="8" t="s">
        <v>1317</v>
      </c>
      <c r="DYN351" s="8" t="s">
        <v>1317</v>
      </c>
    </row>
    <row r="352" spans="1:211 1352:2024 2072:3034 3080:4088 4134:4423">
      <c r="A352" s="8" t="s">
        <v>1295</v>
      </c>
      <c r="B352" s="10" t="s">
        <v>10676</v>
      </c>
      <c r="C352" s="8">
        <v>193</v>
      </c>
      <c r="D352" s="15">
        <v>9.8800000000000008</v>
      </c>
      <c r="HC352" s="8" t="s">
        <v>10676</v>
      </c>
      <c r="BAX352" s="8" t="s">
        <v>19</v>
      </c>
      <c r="BCT352" s="8" t="s">
        <v>785</v>
      </c>
      <c r="BCZ352" s="8" t="s">
        <v>19</v>
      </c>
      <c r="BGL352" s="8" t="s">
        <v>19</v>
      </c>
      <c r="BIG352" s="8" t="s">
        <v>785</v>
      </c>
      <c r="BKC352" s="8" t="s">
        <v>785</v>
      </c>
      <c r="BVV352" s="8" t="s">
        <v>140</v>
      </c>
      <c r="CCE352" s="8" t="s">
        <v>4755</v>
      </c>
      <c r="CEA352" s="8" t="s">
        <v>4755</v>
      </c>
      <c r="CEB352" s="8" t="s">
        <v>4755</v>
      </c>
      <c r="ENH352" s="8" t="s">
        <v>1906</v>
      </c>
      <c r="EPD352" s="8" t="s">
        <v>1475</v>
      </c>
      <c r="ESV352" s="8" t="s">
        <v>145</v>
      </c>
      <c r="EUR352" s="8" t="s">
        <v>145</v>
      </c>
      <c r="EWN352" s="8" t="s">
        <v>145</v>
      </c>
      <c r="EYJ352" s="8" t="s">
        <v>145</v>
      </c>
    </row>
    <row r="353" spans="1:658 1402:2028 2072:2983 3226:3465 4136:4280 8521:8552">
      <c r="A353" s="8" t="s">
        <v>1295</v>
      </c>
      <c r="B353" s="10" t="s">
        <v>10679</v>
      </c>
      <c r="C353" s="8">
        <v>193</v>
      </c>
      <c r="D353" s="15">
        <v>4.9400000000000004</v>
      </c>
      <c r="GX353" s="8" t="s">
        <v>10679</v>
      </c>
      <c r="BEI353" s="8" t="s">
        <v>137</v>
      </c>
      <c r="BEO353" s="8" t="s">
        <v>137</v>
      </c>
      <c r="BKC353" s="8" t="s">
        <v>137</v>
      </c>
      <c r="BNT353" s="8" t="s">
        <v>786</v>
      </c>
      <c r="BPP353" s="8" t="s">
        <v>786</v>
      </c>
      <c r="BXB353" s="8" t="s">
        <v>17</v>
      </c>
      <c r="CCP353" s="8" t="s">
        <v>4756</v>
      </c>
      <c r="CEL353" s="8" t="s">
        <v>4756</v>
      </c>
      <c r="CEM353" s="8" t="s">
        <v>4756</v>
      </c>
    </row>
    <row r="354" spans="1:658 1402:2028 2072:2983 3226:3465 4136:4280 8521:8552">
      <c r="A354" s="8" t="s">
        <v>1295</v>
      </c>
      <c r="B354" s="10" t="s">
        <v>10678</v>
      </c>
      <c r="C354" s="8">
        <v>193</v>
      </c>
      <c r="D354" s="15">
        <v>4.9400000000000004</v>
      </c>
      <c r="GX354" s="8" t="s">
        <v>10678</v>
      </c>
      <c r="BKB354" s="8" t="s">
        <v>138</v>
      </c>
      <c r="BMS354" s="8" t="s">
        <v>138</v>
      </c>
      <c r="BNT354" s="8" t="s">
        <v>787</v>
      </c>
      <c r="BOQ354" s="8" t="s">
        <v>787</v>
      </c>
      <c r="BPP354" s="8" t="s">
        <v>138</v>
      </c>
      <c r="BQM354" s="8" t="s">
        <v>787</v>
      </c>
      <c r="CAV354" s="8" t="s">
        <v>22</v>
      </c>
      <c r="CIB354" s="8" t="s">
        <v>4757</v>
      </c>
      <c r="CJW354" s="8" t="s">
        <v>4757</v>
      </c>
      <c r="CJX354" s="8" t="s">
        <v>4757</v>
      </c>
    </row>
    <row r="355" spans="1:658 1402:2028 2072:2983 3226:3465 4136:4280 8521:8552">
      <c r="A355" s="8" t="s">
        <v>1295</v>
      </c>
      <c r="B355" s="10" t="s">
        <v>10677</v>
      </c>
      <c r="C355" s="8">
        <v>203.88</v>
      </c>
      <c r="D355" s="15">
        <v>4.9400000000000004</v>
      </c>
      <c r="HI355" s="8" t="s">
        <v>10677</v>
      </c>
      <c r="BKY355" s="8" t="s">
        <v>20</v>
      </c>
      <c r="BOU355" s="8" t="s">
        <v>788</v>
      </c>
      <c r="BQM355" s="8" t="s">
        <v>788</v>
      </c>
      <c r="BQQ355" s="8" t="s">
        <v>788</v>
      </c>
      <c r="BQV355" s="8" t="s">
        <v>20</v>
      </c>
      <c r="CEK355" s="8" t="s">
        <v>23</v>
      </c>
      <c r="CJX355" s="8" t="s">
        <v>4758</v>
      </c>
      <c r="CJY355" s="8" t="s">
        <v>4758</v>
      </c>
      <c r="CLT355" s="8" t="s">
        <v>4758</v>
      </c>
      <c r="CLU355" s="8" t="s">
        <v>4758</v>
      </c>
      <c r="CLV355" s="8" t="s">
        <v>4758</v>
      </c>
    </row>
    <row r="356" spans="1:658 1402:2028 2072:2983 3226:3465 4136:4280 8521:8552">
      <c r="A356" s="8" t="s">
        <v>1295</v>
      </c>
      <c r="B356" s="10" t="s">
        <v>10680</v>
      </c>
      <c r="C356" s="8">
        <v>242</v>
      </c>
      <c r="D356" s="15">
        <v>3.46</v>
      </c>
      <c r="IS356" s="8" t="s">
        <v>10680</v>
      </c>
      <c r="BLC356" s="8" t="s">
        <v>21</v>
      </c>
      <c r="BOU356" s="8" t="s">
        <v>789</v>
      </c>
      <c r="BPG356" s="8" t="s">
        <v>21</v>
      </c>
      <c r="BQQ356" s="8" t="s">
        <v>21</v>
      </c>
      <c r="BRH356" s="8" t="s">
        <v>789</v>
      </c>
      <c r="BTD356" s="8" t="s">
        <v>789</v>
      </c>
      <c r="CPL356" s="8" t="s">
        <v>4759</v>
      </c>
      <c r="CPO356" s="8" t="s">
        <v>141</v>
      </c>
      <c r="CRG356" s="8" t="s">
        <v>4759</v>
      </c>
      <c r="CRH356" s="8" t="s">
        <v>4759</v>
      </c>
    </row>
    <row r="357" spans="1:658 1402:2028 2072:2983 3226:3465 4136:4280 8521:8552">
      <c r="A357" s="8" t="s">
        <v>1295</v>
      </c>
      <c r="B357" s="10" t="s">
        <v>10681</v>
      </c>
      <c r="C357" s="8">
        <v>257.33999999999997</v>
      </c>
      <c r="D357" s="15">
        <v>24.71</v>
      </c>
      <c r="KD357" s="8" t="s">
        <v>10681</v>
      </c>
      <c r="BNP357" s="8" t="s">
        <v>139</v>
      </c>
      <c r="BRL357" s="8" t="s">
        <v>790</v>
      </c>
      <c r="BTD357" s="8" t="s">
        <v>790</v>
      </c>
      <c r="BTH357" s="8" t="s">
        <v>790</v>
      </c>
      <c r="BTO357" s="8" t="s">
        <v>139</v>
      </c>
      <c r="CRJ357" s="8" t="s">
        <v>4760</v>
      </c>
      <c r="CTF357" s="8" t="s">
        <v>4760</v>
      </c>
      <c r="CTG357" s="8" t="s">
        <v>4760</v>
      </c>
      <c r="DJK357" s="8" t="s">
        <v>24</v>
      </c>
    </row>
    <row r="358" spans="1:658 1402:2028 2072:2983 3226:3465 4136:4280 8521:8552">
      <c r="A358" s="8" t="s">
        <v>1295</v>
      </c>
      <c r="B358" s="10" t="s">
        <v>10690</v>
      </c>
      <c r="C358" s="8">
        <v>264.18</v>
      </c>
      <c r="D358" s="15">
        <v>4.71</v>
      </c>
      <c r="JQ358" s="8" t="s">
        <v>10690</v>
      </c>
      <c r="BNT358" s="8" t="s">
        <v>140</v>
      </c>
      <c r="BOE358" s="8" t="s">
        <v>140</v>
      </c>
      <c r="BPP358" s="8" t="s">
        <v>791</v>
      </c>
      <c r="BTH358" s="8" t="s">
        <v>140</v>
      </c>
      <c r="BTZ358" s="8" t="s">
        <v>791</v>
      </c>
      <c r="BVV358" s="8" t="s">
        <v>791</v>
      </c>
      <c r="DAN358" s="8" t="s">
        <v>4761</v>
      </c>
      <c r="DCI358" s="8" t="s">
        <v>4761</v>
      </c>
      <c r="DCJ358" s="8" t="s">
        <v>4761</v>
      </c>
      <c r="DJS358" s="8" t="s">
        <v>142</v>
      </c>
    </row>
    <row r="359" spans="1:658 1402:2028 2072:2983 3226:3465 4136:4280 8521:8552">
      <c r="A359" s="8" t="s">
        <v>1295</v>
      </c>
      <c r="B359" s="10" t="s">
        <v>13906</v>
      </c>
      <c r="C359" s="8">
        <v>284.12</v>
      </c>
      <c r="D359" s="15">
        <v>11.86</v>
      </c>
      <c r="KR359" s="8" t="s">
        <v>13906</v>
      </c>
      <c r="BAX359" s="8" t="s">
        <v>15</v>
      </c>
      <c r="BQH359" s="8" t="s">
        <v>17</v>
      </c>
      <c r="BVF359" s="8" t="s">
        <v>792</v>
      </c>
      <c r="BVV359" s="8" t="s">
        <v>792</v>
      </c>
      <c r="BXB359" s="8" t="s">
        <v>792</v>
      </c>
      <c r="DYP359" s="8" t="s">
        <v>143</v>
      </c>
      <c r="EAA359" s="8" t="s">
        <v>4762</v>
      </c>
      <c r="EBW359" s="8" t="s">
        <v>4762</v>
      </c>
      <c r="EBX359" s="8" t="s">
        <v>4762</v>
      </c>
    </row>
    <row r="360" spans="1:658 1402:2028 2072:2983 3226:3465 4136:4280 8521:8552">
      <c r="A360" s="8" t="s">
        <v>1295</v>
      </c>
      <c r="B360" s="10" t="s">
        <v>10682</v>
      </c>
      <c r="C360" s="8">
        <v>289</v>
      </c>
      <c r="D360" s="15">
        <v>4.9400000000000004</v>
      </c>
      <c r="KP360" s="8" t="s">
        <v>10682</v>
      </c>
      <c r="BGL360" s="8" t="s">
        <v>136</v>
      </c>
      <c r="BRN360" s="8" t="s">
        <v>22</v>
      </c>
      <c r="BTJ360" s="8" t="s">
        <v>793</v>
      </c>
      <c r="BTL360" s="8" t="s">
        <v>22</v>
      </c>
      <c r="BXB360" s="8" t="s">
        <v>22</v>
      </c>
      <c r="BYZ360" s="8" t="s">
        <v>793</v>
      </c>
      <c r="CAV360" s="8" t="s">
        <v>793</v>
      </c>
      <c r="EAJ360" s="8" t="s">
        <v>4763</v>
      </c>
      <c r="ECF360" s="8" t="s">
        <v>4763</v>
      </c>
      <c r="ECG360" s="8" t="s">
        <v>4763</v>
      </c>
      <c r="FHP360" s="8" t="s">
        <v>144</v>
      </c>
    </row>
    <row r="361" spans="1:658 1402:2028 2072:2983 3226:3465 4136:4280 8521:8552">
      <c r="A361" s="8" t="s">
        <v>1295</v>
      </c>
      <c r="B361" s="10" t="s">
        <v>10683</v>
      </c>
      <c r="C361" s="8">
        <v>337</v>
      </c>
      <c r="D361" s="15">
        <v>4.08</v>
      </c>
      <c r="MK361" s="8" t="s">
        <v>10683</v>
      </c>
      <c r="BKC361" s="8" t="s">
        <v>19</v>
      </c>
      <c r="BVH361" s="8" t="s">
        <v>23</v>
      </c>
      <c r="BXD361" s="8" t="s">
        <v>794</v>
      </c>
      <c r="BXF361" s="8" t="s">
        <v>23</v>
      </c>
      <c r="CAV361" s="8" t="s">
        <v>23</v>
      </c>
      <c r="CCO361" s="8" t="s">
        <v>794</v>
      </c>
      <c r="CEK361" s="8" t="s">
        <v>794</v>
      </c>
    </row>
    <row r="362" spans="1:658 1402:2028 2072:2983 3226:3465 4136:4280 8521:8552">
      <c r="A362" s="8" t="s">
        <v>1295</v>
      </c>
      <c r="B362" s="10" t="s">
        <v>13907</v>
      </c>
      <c r="C362" s="8">
        <v>375.88</v>
      </c>
      <c r="D362" s="15">
        <v>8.1199999999999992</v>
      </c>
      <c r="OB362" s="8" t="s">
        <v>13907</v>
      </c>
      <c r="BPP362" s="8" t="s">
        <v>137</v>
      </c>
      <c r="BTF362" s="8" t="s">
        <v>141</v>
      </c>
      <c r="BTI362" s="8" t="s">
        <v>795</v>
      </c>
      <c r="BYW362" s="8" t="s">
        <v>141</v>
      </c>
      <c r="CEK362" s="8" t="s">
        <v>141</v>
      </c>
      <c r="CNS362" s="8" t="s">
        <v>795</v>
      </c>
      <c r="CPO362" s="8" t="s">
        <v>795</v>
      </c>
    </row>
    <row r="363" spans="1:658 1402:2028 2072:2983 3226:3465 4136:4280 8521:8552">
      <c r="A363" s="8" t="s">
        <v>1295</v>
      </c>
      <c r="B363" s="10" t="s">
        <v>13908</v>
      </c>
      <c r="C363" s="8">
        <v>385</v>
      </c>
      <c r="D363" s="15">
        <v>7.41</v>
      </c>
      <c r="OJ363" s="8" t="s">
        <v>13908</v>
      </c>
      <c r="BQM363" s="8" t="s">
        <v>138</v>
      </c>
      <c r="BUZ363" s="8" t="s">
        <v>24</v>
      </c>
      <c r="BVG363" s="8" t="s">
        <v>796</v>
      </c>
      <c r="CKA363" s="8" t="s">
        <v>24</v>
      </c>
      <c r="CPO363" s="8" t="s">
        <v>24</v>
      </c>
      <c r="DHO363" s="8" t="s">
        <v>796</v>
      </c>
      <c r="DJK363" s="8" t="s">
        <v>796</v>
      </c>
    </row>
    <row r="364" spans="1:658 1402:2028 2072:2983 3226:3465 4136:4280 8521:8552">
      <c r="A364" s="8" t="s">
        <v>1295</v>
      </c>
      <c r="B364" s="10" t="s">
        <v>10684</v>
      </c>
      <c r="C364" s="8">
        <v>393.41</v>
      </c>
      <c r="D364" s="15">
        <v>17.29</v>
      </c>
      <c r="PC364" s="8" t="s">
        <v>10684</v>
      </c>
      <c r="BBP364" s="8" t="s">
        <v>142</v>
      </c>
      <c r="BCN364" s="8" t="s">
        <v>142</v>
      </c>
      <c r="BDL364" s="8" t="s">
        <v>797</v>
      </c>
      <c r="BQQ364" s="8" t="s">
        <v>20</v>
      </c>
      <c r="DDW364" s="8" t="s">
        <v>142</v>
      </c>
      <c r="DHW364" s="8" t="s">
        <v>797</v>
      </c>
      <c r="DJK364" s="8" t="s">
        <v>797</v>
      </c>
      <c r="DJQ364" s="8" t="s">
        <v>142</v>
      </c>
      <c r="DJS364" s="8" t="s">
        <v>797</v>
      </c>
    </row>
    <row r="365" spans="1:658 1402:2028 2072:2983 3226:3465 4136:4280 8521:8552">
      <c r="A365" s="8" t="s">
        <v>1295</v>
      </c>
      <c r="B365" s="10" t="s">
        <v>10686</v>
      </c>
      <c r="C365" s="8">
        <v>396.8</v>
      </c>
      <c r="D365" s="15">
        <v>4.9400000000000004</v>
      </c>
      <c r="OT365" s="8" t="s">
        <v>10686</v>
      </c>
      <c r="BBS365" s="8" t="s">
        <v>143</v>
      </c>
      <c r="BCQ365" s="8" t="s">
        <v>143</v>
      </c>
      <c r="BDO365" s="8" t="s">
        <v>798</v>
      </c>
      <c r="BTD365" s="8" t="s">
        <v>21</v>
      </c>
      <c r="CUY365" s="8" t="s">
        <v>798</v>
      </c>
      <c r="DEE365" s="8" t="s">
        <v>143</v>
      </c>
      <c r="DJS365" s="8" t="s">
        <v>143</v>
      </c>
      <c r="DWT365" s="8" t="s">
        <v>798</v>
      </c>
      <c r="DYP365" s="8" t="s">
        <v>798</v>
      </c>
    </row>
    <row r="366" spans="1:658 1402:2028 2072:2983 3226:3465 4136:4280 8521:8552">
      <c r="A366" s="8" t="s">
        <v>1295</v>
      </c>
      <c r="B366" s="10" t="s">
        <v>10685</v>
      </c>
      <c r="C366" s="8">
        <v>411.71</v>
      </c>
      <c r="D366" s="15">
        <v>15.44</v>
      </c>
      <c r="PS366" s="8" t="s">
        <v>10685</v>
      </c>
      <c r="BJE366" s="8" t="s">
        <v>144</v>
      </c>
      <c r="BKC366" s="8" t="s">
        <v>144</v>
      </c>
      <c r="BLA366" s="8" t="s">
        <v>799</v>
      </c>
      <c r="BTH366" s="8" t="s">
        <v>139</v>
      </c>
      <c r="CPN366" s="8" t="s">
        <v>799</v>
      </c>
      <c r="DTB366" s="8" t="s">
        <v>144</v>
      </c>
      <c r="DYP366" s="8" t="s">
        <v>144</v>
      </c>
      <c r="FFT366" s="8" t="s">
        <v>799</v>
      </c>
      <c r="FHP366" s="8" t="s">
        <v>799</v>
      </c>
    </row>
    <row r="367" spans="1:658 1402:2028 2072:2983 3226:3465 4136:4280 8521:8552">
      <c r="A367" s="8" t="s">
        <v>1295</v>
      </c>
      <c r="B367" s="10" t="s">
        <v>13909</v>
      </c>
      <c r="C367" s="8">
        <v>428.15</v>
      </c>
      <c r="D367" s="15">
        <v>2.4700000000000002</v>
      </c>
      <c r="PW367" s="8" t="s">
        <v>13909</v>
      </c>
      <c r="BVV367" s="8" t="s">
        <v>140</v>
      </c>
      <c r="CAR367" s="8" t="s">
        <v>145</v>
      </c>
      <c r="CBP367" s="8" t="s">
        <v>145</v>
      </c>
      <c r="CCN367" s="8" t="s">
        <v>1261</v>
      </c>
      <c r="FCB367" s="8" t="s">
        <v>145</v>
      </c>
      <c r="FHP367" s="8" t="s">
        <v>145</v>
      </c>
      <c r="LOS367" s="8" t="s">
        <v>145</v>
      </c>
      <c r="LPX367" s="8" t="s">
        <v>1261</v>
      </c>
    </row>
    <row r="368" spans="1:658 1402:2028 2072:2983 3226:3465 4136:4280 8521:8552">
      <c r="A368" s="8" t="s">
        <v>1295</v>
      </c>
      <c r="B368" s="10" t="s">
        <v>13910</v>
      </c>
      <c r="C368" s="8">
        <v>625</v>
      </c>
      <c r="D368" s="15">
        <v>24.71</v>
      </c>
      <c r="YH368" s="8" t="s">
        <v>13910</v>
      </c>
      <c r="BXB368" s="8" t="s">
        <v>17</v>
      </c>
    </row>
    <row r="369" spans="1:862 1352:2025 2076:2983 3370:3611 4280:4280">
      <c r="A369" s="8" t="s">
        <v>1295</v>
      </c>
      <c r="B369" s="10" t="s">
        <v>10687</v>
      </c>
      <c r="C369" s="8">
        <v>675.24</v>
      </c>
      <c r="D369" s="15">
        <v>4.9400000000000004</v>
      </c>
      <c r="ZL369" s="8" t="s">
        <v>10687</v>
      </c>
      <c r="AYZ369" s="8" t="s">
        <v>4768</v>
      </c>
      <c r="AZA369" s="8" t="s">
        <v>4768</v>
      </c>
      <c r="CAV369" s="8" t="s">
        <v>22</v>
      </c>
    </row>
    <row r="370" spans="1:862 1352:2025 2076:2983 3370:3611 4280:4280">
      <c r="A370" s="8" t="s">
        <v>1295</v>
      </c>
      <c r="B370" s="10" t="s">
        <v>10688</v>
      </c>
      <c r="C370" s="8">
        <v>681.18</v>
      </c>
      <c r="D370" s="15">
        <v>0.99</v>
      </c>
      <c r="ZN370" s="8" t="s">
        <v>10688</v>
      </c>
      <c r="AYZ370" s="8" t="s">
        <v>4769</v>
      </c>
      <c r="AZA370" s="8" t="s">
        <v>4769</v>
      </c>
      <c r="CEK370" s="8" t="s">
        <v>23</v>
      </c>
    </row>
    <row r="371" spans="1:862 1352:2025 2076:2983 3370:3611 4280:4280">
      <c r="A371" s="8" t="s">
        <v>1295</v>
      </c>
      <c r="B371" s="10" t="s">
        <v>10689</v>
      </c>
      <c r="C371" s="8">
        <v>683.17</v>
      </c>
      <c r="D371" s="15">
        <v>4.9400000000000004</v>
      </c>
      <c r="ZT371" s="8" t="s">
        <v>10689</v>
      </c>
      <c r="AZC371" s="8" t="s">
        <v>4770</v>
      </c>
      <c r="AZD371" s="8" t="s">
        <v>4770</v>
      </c>
      <c r="CPO371" s="8" t="s">
        <v>141</v>
      </c>
    </row>
    <row r="372" spans="1:862 1352:2025 2076:2983 3370:3611 4280:4280">
      <c r="A372" s="8" t="s">
        <v>1295</v>
      </c>
      <c r="B372" s="10" t="s">
        <v>13911</v>
      </c>
      <c r="C372" s="8">
        <v>731.18</v>
      </c>
      <c r="D372" s="15">
        <v>12.35</v>
      </c>
      <c r="ABX372" s="8" t="s">
        <v>13911</v>
      </c>
      <c r="BGJ372" s="8" t="s">
        <v>4771</v>
      </c>
      <c r="BGK372" s="8" t="s">
        <v>4771</v>
      </c>
      <c r="DJK372" s="8" t="s">
        <v>24</v>
      </c>
    </row>
    <row r="373" spans="1:862 1352:2025 2076:2983 3370:3611 4280:4280">
      <c r="A373" s="8" t="s">
        <v>1295</v>
      </c>
      <c r="B373" s="10" t="s">
        <v>13912</v>
      </c>
      <c r="C373" s="8">
        <v>744.54</v>
      </c>
      <c r="D373" s="15">
        <v>16.47</v>
      </c>
      <c r="ACO373" s="8" t="s">
        <v>13912</v>
      </c>
      <c r="BLC373" s="8" t="s">
        <v>4772</v>
      </c>
      <c r="BLD373" s="8" t="s">
        <v>4772</v>
      </c>
      <c r="DJS373" s="8" t="s">
        <v>142</v>
      </c>
    </row>
    <row r="374" spans="1:862 1352:2025 2076:2983 3370:3611 4280:4280">
      <c r="A374" s="8" t="s">
        <v>1295</v>
      </c>
      <c r="B374" s="10" t="s">
        <v>13913</v>
      </c>
      <c r="C374" s="8">
        <v>762.01</v>
      </c>
      <c r="D374" s="15">
        <v>1.41</v>
      </c>
      <c r="ACQ374" s="8" t="s">
        <v>13913</v>
      </c>
      <c r="BYV374" s="8" t="s">
        <v>4774</v>
      </c>
      <c r="BYW374" s="8" t="s">
        <v>4774</v>
      </c>
      <c r="DYP374" s="8" t="s">
        <v>143</v>
      </c>
    </row>
    <row r="375" spans="1:862 1352:2025 2076:2983 3370:3611 4280:4280">
      <c r="A375" s="8" t="s">
        <v>1295</v>
      </c>
      <c r="B375" s="10" t="s">
        <v>13914</v>
      </c>
      <c r="C375" s="8">
        <v>764.42</v>
      </c>
      <c r="D375" s="15">
        <v>3.58</v>
      </c>
      <c r="ACV375" s="8" t="s">
        <v>13914</v>
      </c>
      <c r="CGF375" s="8" t="s">
        <v>4775</v>
      </c>
      <c r="CGG375" s="8" t="s">
        <v>4775</v>
      </c>
      <c r="FHP375" s="8" t="s">
        <v>144</v>
      </c>
    </row>
    <row r="376" spans="1:862 1352:2025 2076:2983 3370:3611 4280:4280">
      <c r="A376" s="8" t="s">
        <v>1295</v>
      </c>
      <c r="B376" s="10" t="s">
        <v>13915</v>
      </c>
      <c r="C376" s="8">
        <v>772.62</v>
      </c>
      <c r="D376" s="15">
        <v>4.9400000000000004</v>
      </c>
      <c r="ADF376" s="8" t="s">
        <v>13915</v>
      </c>
      <c r="CGF376" s="8" t="s">
        <v>4776</v>
      </c>
      <c r="CGG376" s="8" t="s">
        <v>4776</v>
      </c>
    </row>
    <row r="377" spans="1:862 1352:2025 2076:2983 3370:3611 4280:4280">
      <c r="A377" s="8" t="s">
        <v>1295</v>
      </c>
      <c r="B377" s="10" t="s">
        <v>13916</v>
      </c>
      <c r="C377" s="8">
        <v>778.56</v>
      </c>
      <c r="D377" s="15">
        <v>7.06</v>
      </c>
      <c r="ADN377" s="8" t="s">
        <v>13916</v>
      </c>
      <c r="CJH377" s="8" t="s">
        <v>4777</v>
      </c>
      <c r="CJI377" s="8" t="s">
        <v>4777</v>
      </c>
    </row>
    <row r="378" spans="1:862 1352:2025 2076:2983 3370:3611 4280:4280">
      <c r="A378" s="8" t="s">
        <v>1295</v>
      </c>
      <c r="B378" s="10" t="s">
        <v>10692</v>
      </c>
      <c r="C378" s="8">
        <v>786.62</v>
      </c>
      <c r="D378" s="15">
        <v>7.41</v>
      </c>
      <c r="ADV378" s="8" t="s">
        <v>10692</v>
      </c>
      <c r="CRH378" s="8" t="s">
        <v>4778</v>
      </c>
      <c r="CRI378" s="8" t="s">
        <v>4778</v>
      </c>
    </row>
    <row r="379" spans="1:862 1352:2025 2076:2983 3370:3611 4280:4280">
      <c r="A379" s="8" t="s">
        <v>1295</v>
      </c>
      <c r="B379" s="10" t="s">
        <v>10693</v>
      </c>
      <c r="C379" s="8">
        <v>795.04</v>
      </c>
      <c r="D379" s="15">
        <v>6.67</v>
      </c>
      <c r="AED379" s="8" t="s">
        <v>10693</v>
      </c>
      <c r="DEG379" s="8" t="s">
        <v>4779</v>
      </c>
      <c r="DEH379" s="8" t="s">
        <v>4779</v>
      </c>
    </row>
    <row r="380" spans="1:862 1352:2025 2076:2983 3370:3611 4280:4280">
      <c r="A380" s="8" t="s">
        <v>1295</v>
      </c>
      <c r="B380" s="10" t="s">
        <v>10694</v>
      </c>
      <c r="C380" s="8">
        <v>802.71</v>
      </c>
      <c r="D380" s="15">
        <v>4.71</v>
      </c>
      <c r="AEI380" s="8" t="s">
        <v>10694</v>
      </c>
      <c r="EHV380" s="8" t="s">
        <v>4780</v>
      </c>
      <c r="EHW380" s="8" t="s">
        <v>4780</v>
      </c>
    </row>
    <row r="381" spans="1:862 1352:2025 2076:2983 3370:3611 4280:4280">
      <c r="A381" s="8" t="s">
        <v>1295</v>
      </c>
      <c r="B381" s="10" t="s">
        <v>10695</v>
      </c>
      <c r="C381" s="8">
        <v>808.41</v>
      </c>
      <c r="D381" s="15">
        <v>4.71</v>
      </c>
      <c r="AEO381" s="8" t="s">
        <v>10695</v>
      </c>
      <c r="AYZ381" s="8" t="s">
        <v>4364</v>
      </c>
    </row>
    <row r="382" spans="1:862 1352:2025 2076:2983 3370:3611 4280:4280">
      <c r="A382" s="8" t="s">
        <v>1295</v>
      </c>
      <c r="B382" s="10" t="s">
        <v>10696</v>
      </c>
      <c r="C382" s="8">
        <v>814.12</v>
      </c>
      <c r="D382" s="15">
        <v>23.53</v>
      </c>
      <c r="AFN382" s="8" t="s">
        <v>10696</v>
      </c>
      <c r="BAV382" s="8" t="s">
        <v>4365</v>
      </c>
    </row>
    <row r="383" spans="1:862 1352:2025 2076:2983 3370:3611 4280:4280">
      <c r="A383" s="8" t="s">
        <v>1295</v>
      </c>
      <c r="B383" s="10" t="s">
        <v>10697</v>
      </c>
      <c r="C383" s="8">
        <v>838.65</v>
      </c>
      <c r="D383" s="15">
        <v>9.41</v>
      </c>
      <c r="AFX383" s="8" t="s">
        <v>10697</v>
      </c>
      <c r="BAV383" s="8" t="s">
        <v>4366</v>
      </c>
    </row>
    <row r="384" spans="1:862 1352:2025 2076:2983 3370:3611 4280:4280">
      <c r="A384" s="8" t="s">
        <v>1295</v>
      </c>
      <c r="B384" s="10" t="s">
        <v>10698</v>
      </c>
      <c r="C384" s="8">
        <v>849.06</v>
      </c>
      <c r="D384" s="15">
        <v>4.71</v>
      </c>
      <c r="AGD384" s="8" t="s">
        <v>10698</v>
      </c>
      <c r="BAV384" s="8" t="s">
        <v>4367</v>
      </c>
    </row>
    <row r="385" spans="1:1019 1031:1977 2072:3032 3080:3704">
      <c r="A385" s="8" t="s">
        <v>1295</v>
      </c>
      <c r="B385" s="10" t="s">
        <v>10699</v>
      </c>
      <c r="C385" s="8">
        <v>854.77</v>
      </c>
      <c r="D385" s="15">
        <v>9.41</v>
      </c>
      <c r="AGN385" s="8" t="s">
        <v>10699</v>
      </c>
      <c r="BAV385" s="8" t="s">
        <v>4368</v>
      </c>
    </row>
    <row r="386" spans="1:1019 1031:1977 2072:3032 3080:3704">
      <c r="A386" s="8" t="s">
        <v>1295</v>
      </c>
      <c r="B386" s="10" t="s">
        <v>10700</v>
      </c>
      <c r="C386" s="8">
        <v>865.18</v>
      </c>
      <c r="D386" s="15">
        <v>23.53</v>
      </c>
      <c r="AHM386" s="8" t="s">
        <v>10700</v>
      </c>
      <c r="BCQ386" s="8" t="s">
        <v>4369</v>
      </c>
    </row>
    <row r="387" spans="1:1019 1031:1977 2072:3032 3080:3704">
      <c r="A387" s="8" t="s">
        <v>1295</v>
      </c>
      <c r="B387" s="10" t="s">
        <v>10701</v>
      </c>
      <c r="C387" s="8">
        <v>889.71</v>
      </c>
      <c r="D387" s="15">
        <v>9.41</v>
      </c>
      <c r="AHW387" s="8" t="s">
        <v>10701</v>
      </c>
      <c r="BCX387" s="8" t="s">
        <v>4370</v>
      </c>
      <c r="BEN387" s="8" t="s">
        <v>10714</v>
      </c>
      <c r="BGJ387" s="8" t="s">
        <v>10093</v>
      </c>
    </row>
    <row r="388" spans="1:1019 1031:1977 2072:3032 3080:3704">
      <c r="A388" s="8" t="s">
        <v>1295</v>
      </c>
      <c r="B388" s="10" t="s">
        <v>10702</v>
      </c>
      <c r="C388" s="8">
        <v>900.12</v>
      </c>
      <c r="D388" s="15">
        <v>23.53</v>
      </c>
      <c r="AIV388" s="17" t="s">
        <v>10702</v>
      </c>
      <c r="BCR388" s="8" t="s">
        <v>5475</v>
      </c>
      <c r="BCS388" s="8" t="s">
        <v>5475</v>
      </c>
      <c r="BEM388" s="8" t="s">
        <v>4771</v>
      </c>
      <c r="BEN388" s="8" t="s">
        <v>4771</v>
      </c>
      <c r="BEO388" s="8" t="s">
        <v>4771</v>
      </c>
      <c r="BGJ388" s="8" t="s">
        <v>3145</v>
      </c>
      <c r="BLX388" s="8" t="s">
        <v>4371</v>
      </c>
      <c r="BVD388" s="8" t="s">
        <v>10715</v>
      </c>
      <c r="BWZ388" s="8" t="s">
        <v>10094</v>
      </c>
    </row>
    <row r="389" spans="1:1019 1031:1977 2072:3032 3080:3704">
      <c r="A389" s="8" t="s">
        <v>1295</v>
      </c>
      <c r="B389" s="10" t="s">
        <v>10703</v>
      </c>
      <c r="C389" s="8">
        <v>914.9</v>
      </c>
      <c r="D389" s="15">
        <v>9.8800000000000008</v>
      </c>
      <c r="AIW389" s="8" t="s">
        <v>10703</v>
      </c>
      <c r="BGJ389" s="8" t="s">
        <v>3146</v>
      </c>
      <c r="BIF389" s="8" t="s">
        <v>3146</v>
      </c>
      <c r="BNT389" s="8" t="s">
        <v>4372</v>
      </c>
      <c r="BVD389" s="8" t="s">
        <v>5476</v>
      </c>
      <c r="BVE389" s="8" t="s">
        <v>5476</v>
      </c>
      <c r="BWY389" s="8" t="s">
        <v>4774</v>
      </c>
      <c r="BWZ389" s="8" t="s">
        <v>4774</v>
      </c>
      <c r="BXA389" s="8" t="s">
        <v>4774</v>
      </c>
      <c r="CAR389" s="8" t="s">
        <v>10716</v>
      </c>
      <c r="CCN389" s="8" t="s">
        <v>10095</v>
      </c>
    </row>
    <row r="390" spans="1:1019 1031:1977 2072:3032 3080:3704">
      <c r="A390" s="8" t="s">
        <v>1295</v>
      </c>
      <c r="B390" s="10" t="s">
        <v>10704</v>
      </c>
      <c r="C390" s="8">
        <v>924.65</v>
      </c>
      <c r="D390" s="15">
        <v>9.41</v>
      </c>
      <c r="AJF390" s="8" t="s">
        <v>10704</v>
      </c>
      <c r="BIF390" s="8" t="s">
        <v>3147</v>
      </c>
      <c r="BKB390" s="8" t="s">
        <v>3147</v>
      </c>
      <c r="BVD390" s="8" t="s">
        <v>4373</v>
      </c>
      <c r="CCN390" s="8" t="s">
        <v>5477</v>
      </c>
      <c r="CCO390" s="8" t="s">
        <v>5477</v>
      </c>
      <c r="CEI390" s="8" t="s">
        <v>4775</v>
      </c>
      <c r="CEJ390" s="8" t="s">
        <v>10717</v>
      </c>
      <c r="CEK390" s="8" t="s">
        <v>4775</v>
      </c>
      <c r="CGF390" s="8" t="s">
        <v>10096</v>
      </c>
    </row>
    <row r="391" spans="1:1019 1031:1977 2072:3032 3080:3704">
      <c r="A391" s="8" t="s">
        <v>1295</v>
      </c>
      <c r="B391" s="10" t="s">
        <v>10705</v>
      </c>
      <c r="C391" s="8">
        <v>935.06</v>
      </c>
      <c r="D391" s="15">
        <v>24.71</v>
      </c>
      <c r="AKF391" s="8" t="s">
        <v>10705</v>
      </c>
      <c r="BIF391" s="8" t="s">
        <v>3148</v>
      </c>
      <c r="BKB391" s="8" t="s">
        <v>3148</v>
      </c>
      <c r="BRL391" s="8" t="s">
        <v>4374</v>
      </c>
      <c r="CCN391" s="8" t="s">
        <v>5478</v>
      </c>
      <c r="CCO391" s="8" t="s">
        <v>5478</v>
      </c>
      <c r="CEI391" s="8" t="s">
        <v>4776</v>
      </c>
      <c r="CEJ391" s="8" t="s">
        <v>4776</v>
      </c>
      <c r="CEK391" s="8" t="s">
        <v>4776</v>
      </c>
      <c r="CGF391" s="8" t="s">
        <v>10718</v>
      </c>
      <c r="CIB391" s="8" t="s">
        <v>10097</v>
      </c>
    </row>
    <row r="392" spans="1:1019 1031:1977 2072:3032 3080:3704">
      <c r="A392" s="8" t="s">
        <v>1295</v>
      </c>
      <c r="B392" s="10" t="s">
        <v>10706</v>
      </c>
      <c r="C392" s="8">
        <v>960.77</v>
      </c>
      <c r="D392" s="15">
        <v>47.06</v>
      </c>
      <c r="AMB392" s="8" t="s">
        <v>10706</v>
      </c>
      <c r="AZB392" s="8" t="s">
        <v>19</v>
      </c>
      <c r="BIF392" s="8" t="s">
        <v>3149</v>
      </c>
      <c r="BKB392" s="8" t="s">
        <v>3149</v>
      </c>
      <c r="CCT392" s="8" t="s">
        <v>4375</v>
      </c>
      <c r="CFP392" s="8" t="s">
        <v>5479</v>
      </c>
      <c r="CFQ392" s="8" t="s">
        <v>5479</v>
      </c>
      <c r="CHK392" s="8" t="s">
        <v>4777</v>
      </c>
      <c r="CHL392" s="8" t="s">
        <v>4777</v>
      </c>
      <c r="CHM392" s="8" t="s">
        <v>4777</v>
      </c>
      <c r="CIB392" s="8" t="s">
        <v>10719</v>
      </c>
      <c r="CJX392" s="8" t="s">
        <v>10098</v>
      </c>
    </row>
    <row r="393" spans="1:1019 1031:1977 2072:3032 3080:3704">
      <c r="A393" s="8" t="s">
        <v>1295</v>
      </c>
      <c r="B393" s="10" t="s">
        <v>10707</v>
      </c>
      <c r="C393" s="8">
        <v>1008.82</v>
      </c>
      <c r="D393" s="15">
        <v>2.35</v>
      </c>
      <c r="AME393" s="8" t="s">
        <v>10707</v>
      </c>
      <c r="AYZ393" s="8" t="s">
        <v>1315</v>
      </c>
      <c r="BAV393" s="8" t="s">
        <v>1315</v>
      </c>
      <c r="BIF393" s="8" t="s">
        <v>3150</v>
      </c>
      <c r="BKB393" s="8" t="s">
        <v>3150</v>
      </c>
      <c r="CGF393" s="8" t="s">
        <v>4376</v>
      </c>
      <c r="CLT393" s="8" t="s">
        <v>10720</v>
      </c>
      <c r="CNP393" s="8" t="s">
        <v>10099</v>
      </c>
      <c r="CNQ393" s="8" t="s">
        <v>5480</v>
      </c>
      <c r="CPK393" s="8" t="s">
        <v>4778</v>
      </c>
      <c r="CPL393" s="8" t="s">
        <v>4778</v>
      </c>
      <c r="CPM393" s="8" t="s">
        <v>4778</v>
      </c>
    </row>
    <row r="394" spans="1:1019 1031:1977 2072:3032 3080:3704">
      <c r="A394" s="8" t="s">
        <v>1295</v>
      </c>
      <c r="B394" s="10" t="s">
        <v>10708</v>
      </c>
      <c r="C394" s="8">
        <v>1013.25</v>
      </c>
      <c r="D394" s="15">
        <v>9.51</v>
      </c>
      <c r="AMQ394" s="8" t="s">
        <v>10708</v>
      </c>
      <c r="BAW394" s="8" t="s">
        <v>137</v>
      </c>
      <c r="BCS394" s="8" t="s">
        <v>137</v>
      </c>
      <c r="BKA394" s="8" t="s">
        <v>3151</v>
      </c>
      <c r="BLW394" s="8" t="s">
        <v>3151</v>
      </c>
      <c r="CPL394" s="8" t="s">
        <v>4377</v>
      </c>
      <c r="CSK394" s="8" t="s">
        <v>10721</v>
      </c>
      <c r="CUG394" s="8" t="s">
        <v>10100</v>
      </c>
      <c r="CUZ394" s="8" t="s">
        <v>5481</v>
      </c>
      <c r="CVA394" s="8" t="s">
        <v>5481</v>
      </c>
      <c r="CWU394" s="8" t="s">
        <v>5359</v>
      </c>
      <c r="CWV394" s="8" t="s">
        <v>5359</v>
      </c>
      <c r="CWW394" s="8" t="s">
        <v>5359</v>
      </c>
    </row>
    <row r="395" spans="1:1019 1031:1977 2072:3032 3080:3704">
      <c r="A395" s="8" t="s">
        <v>1295</v>
      </c>
      <c r="B395" s="10" t="s">
        <v>10709</v>
      </c>
      <c r="C395" s="8">
        <v>1023.77</v>
      </c>
      <c r="D395" s="15">
        <v>14.82</v>
      </c>
      <c r="ANG395" s="8" t="s">
        <v>10709</v>
      </c>
      <c r="BGJ395" s="8" t="s">
        <v>138</v>
      </c>
      <c r="BIF395" s="8" t="s">
        <v>138</v>
      </c>
      <c r="BKH395" s="8" t="s">
        <v>3152</v>
      </c>
      <c r="BMD395" s="8" t="s">
        <v>3152</v>
      </c>
      <c r="CSN395" s="8" t="s">
        <v>10722</v>
      </c>
      <c r="CUJ395" s="8" t="s">
        <v>10101</v>
      </c>
      <c r="CWV395" s="8" t="s">
        <v>4378</v>
      </c>
      <c r="DAO395" s="8" t="s">
        <v>5482</v>
      </c>
      <c r="DAP395" s="8" t="s">
        <v>5482</v>
      </c>
      <c r="DCJ395" s="8" t="s">
        <v>4779</v>
      </c>
      <c r="DCL395" s="8" t="s">
        <v>4779</v>
      </c>
    </row>
    <row r="396" spans="1:1019 1031:1977 2072:3032 3080:3704">
      <c r="A396" s="8" t="s">
        <v>1295</v>
      </c>
      <c r="B396" s="10" t="s">
        <v>10710</v>
      </c>
      <c r="C396" s="8">
        <v>1039.5899999999999</v>
      </c>
      <c r="D396" s="15">
        <v>7.06</v>
      </c>
      <c r="ANO396" s="8" t="s">
        <v>10710</v>
      </c>
      <c r="BHG396" s="8" t="s">
        <v>20</v>
      </c>
      <c r="BJC396" s="8" t="s">
        <v>20</v>
      </c>
      <c r="BTH396" s="8" t="s">
        <v>3153</v>
      </c>
      <c r="BVD396" s="8" t="s">
        <v>3153</v>
      </c>
      <c r="CSX396" s="8" t="s">
        <v>10723</v>
      </c>
      <c r="CUT396" s="8" t="s">
        <v>10102</v>
      </c>
      <c r="DLP396" s="8" t="s">
        <v>4379</v>
      </c>
      <c r="DZP396" s="8" t="s">
        <v>5483</v>
      </c>
      <c r="DZQ396" s="8" t="s">
        <v>5483</v>
      </c>
      <c r="EBK396" s="8" t="s">
        <v>5298</v>
      </c>
      <c r="EBL396" s="8" t="s">
        <v>5298</v>
      </c>
      <c r="EBM396" s="8" t="s">
        <v>5298</v>
      </c>
    </row>
    <row r="397" spans="1:1019 1031:1977 2072:3032 3080:3704">
      <c r="A397" s="8" t="s">
        <v>1295</v>
      </c>
      <c r="B397" s="10" t="s">
        <v>13917</v>
      </c>
      <c r="C397" s="8">
        <v>1052.47</v>
      </c>
      <c r="D397" s="15">
        <v>2.4700000000000002</v>
      </c>
      <c r="ANW397" s="8" t="s">
        <v>13917</v>
      </c>
      <c r="BHK397" s="8" t="s">
        <v>21</v>
      </c>
      <c r="BJG397" s="8" t="s">
        <v>21</v>
      </c>
      <c r="BTH397" s="8" t="s">
        <v>3154</v>
      </c>
      <c r="BVD397" s="8" t="s">
        <v>3154</v>
      </c>
      <c r="CTD397" s="8" t="s">
        <v>10724</v>
      </c>
      <c r="CUZ397" s="8" t="s">
        <v>10103</v>
      </c>
      <c r="DNL397" s="8" t="s">
        <v>4380</v>
      </c>
      <c r="EBD397" s="8" t="s">
        <v>5484</v>
      </c>
      <c r="ECX397" s="8" t="s">
        <v>5297</v>
      </c>
      <c r="ECZ397" s="8" t="s">
        <v>5297</v>
      </c>
    </row>
    <row r="398" spans="1:1019 1031:1977 2072:3032 3080:3704">
      <c r="A398" s="8" t="s">
        <v>1295</v>
      </c>
      <c r="B398" s="10" t="s">
        <v>10711</v>
      </c>
      <c r="C398" s="8">
        <v>1055.94</v>
      </c>
      <c r="D398" s="15">
        <v>23.53</v>
      </c>
      <c r="AOU398" s="8" t="s">
        <v>10711</v>
      </c>
      <c r="BJX398" s="8" t="s">
        <v>139</v>
      </c>
      <c r="BLT398" s="8" t="s">
        <v>139</v>
      </c>
      <c r="BVD398" s="8" t="s">
        <v>3155</v>
      </c>
      <c r="BWZ398" s="8" t="s">
        <v>3155</v>
      </c>
      <c r="DHV398" s="8" t="s">
        <v>10725</v>
      </c>
      <c r="DJR398" s="8" t="s">
        <v>10104</v>
      </c>
      <c r="DYN398" s="8" t="s">
        <v>4381</v>
      </c>
      <c r="EED398" s="8" t="s">
        <v>5485</v>
      </c>
      <c r="EEE398" s="8" t="s">
        <v>5485</v>
      </c>
      <c r="EFY398" s="8" t="s">
        <v>4780</v>
      </c>
      <c r="EFZ398" s="8" t="s">
        <v>4780</v>
      </c>
      <c r="EGA398" s="8" t="s">
        <v>4780</v>
      </c>
    </row>
    <row r="399" spans="1:1019 1031:1977 2072:3032 3080:3704">
      <c r="A399" s="8" t="s">
        <v>1295</v>
      </c>
      <c r="B399" s="10" t="s">
        <v>10712</v>
      </c>
      <c r="C399" s="8">
        <v>1080.47</v>
      </c>
      <c r="D399" s="15">
        <v>23.53</v>
      </c>
      <c r="APT399" s="8" t="s">
        <v>10712</v>
      </c>
      <c r="BBQ399" s="8" t="s">
        <v>147</v>
      </c>
      <c r="BKB399" s="8" t="s">
        <v>140</v>
      </c>
      <c r="BLX399" s="8" t="s">
        <v>140</v>
      </c>
      <c r="CCN399" s="8" t="s">
        <v>3156</v>
      </c>
      <c r="CEJ399" s="8" t="s">
        <v>3156</v>
      </c>
      <c r="DHX399" s="8" t="s">
        <v>10726</v>
      </c>
      <c r="DJT399" s="8" t="s">
        <v>10105</v>
      </c>
      <c r="EJP399" s="8" t="s">
        <v>4382</v>
      </c>
    </row>
    <row r="400" spans="1:1019 1031:1977 2072:3032 3080:3704">
      <c r="A400" s="8" t="s">
        <v>1295</v>
      </c>
      <c r="B400" s="10" t="s">
        <v>10713</v>
      </c>
      <c r="C400" s="8">
        <v>1082.33</v>
      </c>
      <c r="D400" s="15">
        <v>9.41</v>
      </c>
      <c r="APH400" s="8" t="s">
        <v>10713</v>
      </c>
      <c r="AYZ400" s="8" t="s">
        <v>4185</v>
      </c>
      <c r="BAV400" s="8" t="s">
        <v>3617</v>
      </c>
      <c r="BCA400" s="8" t="s">
        <v>148</v>
      </c>
      <c r="BEN400" s="8" t="s">
        <v>3145</v>
      </c>
      <c r="BMP400" s="8" t="s">
        <v>17</v>
      </c>
      <c r="BOL400" s="8" t="s">
        <v>17</v>
      </c>
      <c r="CKD400" s="8" t="s">
        <v>3157</v>
      </c>
      <c r="CLZ400" s="8" t="s">
        <v>3157</v>
      </c>
      <c r="DHX400" s="8" t="s">
        <v>10727</v>
      </c>
      <c r="DJT400" s="8" t="s">
        <v>10106</v>
      </c>
      <c r="ELL400" s="8" t="s">
        <v>4383</v>
      </c>
    </row>
    <row r="401" spans="1:4 1131:2030 2072:3032 3080:4088 4376:4376">
      <c r="A401" s="8" t="s">
        <v>1295</v>
      </c>
      <c r="B401" s="10" t="s">
        <v>13918</v>
      </c>
      <c r="C401" s="8">
        <v>1120.94</v>
      </c>
      <c r="D401" s="15">
        <v>2.4700000000000002</v>
      </c>
      <c r="AQM401" s="8" t="s">
        <v>13918</v>
      </c>
      <c r="AYZ401" s="8" t="s">
        <v>4364</v>
      </c>
      <c r="BAV401" s="8" t="s">
        <v>3980</v>
      </c>
      <c r="BCR401" s="8" t="s">
        <v>3618</v>
      </c>
      <c r="BDP401" s="8" t="s">
        <v>149</v>
      </c>
      <c r="BGJ401" s="8" t="s">
        <v>3146</v>
      </c>
      <c r="BNV401" s="8" t="s">
        <v>22</v>
      </c>
      <c r="BPR401" s="8" t="s">
        <v>22</v>
      </c>
      <c r="CNP401" s="8" t="s">
        <v>3158</v>
      </c>
      <c r="CPL401" s="8" t="s">
        <v>3158</v>
      </c>
      <c r="FLH401" s="8" t="s">
        <v>4638</v>
      </c>
    </row>
    <row r="402" spans="1:4 1131:2030 2072:3032 3080:4088 4376:4376">
      <c r="A402" s="8" t="s">
        <v>1295</v>
      </c>
      <c r="B402" s="10" t="s">
        <v>13919</v>
      </c>
      <c r="C402" s="8">
        <v>1124.4100000000001</v>
      </c>
      <c r="D402" s="15">
        <v>1.88</v>
      </c>
      <c r="AQP402" s="8" t="s">
        <v>13919</v>
      </c>
      <c r="BAV402" s="8" t="s">
        <v>4365</v>
      </c>
      <c r="BCR402" s="8" t="s">
        <v>4186</v>
      </c>
      <c r="BEF402" s="8" t="s">
        <v>150</v>
      </c>
      <c r="BEN402" s="8" t="s">
        <v>3619</v>
      </c>
      <c r="BIF402" s="8" t="s">
        <v>3147</v>
      </c>
      <c r="BRP402" s="8" t="s">
        <v>23</v>
      </c>
      <c r="BTL402" s="8" t="s">
        <v>23</v>
      </c>
      <c r="CWV402" s="8" t="s">
        <v>3159</v>
      </c>
      <c r="CYR402" s="8" t="s">
        <v>3159</v>
      </c>
    </row>
    <row r="403" spans="1:4 1131:2030 2072:3032 3080:4088 4376:4376">
      <c r="A403" s="8" t="s">
        <v>1295</v>
      </c>
      <c r="B403" s="10" t="s">
        <v>13920</v>
      </c>
      <c r="C403" s="8">
        <v>1127.29</v>
      </c>
      <c r="D403" s="15">
        <v>24.71</v>
      </c>
      <c r="ARP403" s="8" t="s">
        <v>13920</v>
      </c>
      <c r="BAV403" s="8" t="s">
        <v>4366</v>
      </c>
      <c r="BCR403" s="8" t="s">
        <v>3981</v>
      </c>
      <c r="BEF403" s="8" t="s">
        <v>151</v>
      </c>
      <c r="BEN403" s="8" t="s">
        <v>3620</v>
      </c>
      <c r="BIF403" s="8" t="s">
        <v>3148</v>
      </c>
      <c r="BVE403" s="8" t="s">
        <v>141</v>
      </c>
      <c r="BXA403" s="8" t="s">
        <v>141</v>
      </c>
      <c r="DEF403" s="8" t="s">
        <v>3160</v>
      </c>
      <c r="DGB403" s="8" t="s">
        <v>3160</v>
      </c>
    </row>
    <row r="404" spans="1:4 1131:2030 2072:3032 3080:4088 4376:4376">
      <c r="A404" s="8" t="s">
        <v>1295</v>
      </c>
      <c r="B404" s="10" t="s">
        <v>13921</v>
      </c>
      <c r="C404" s="8">
        <v>1291.06</v>
      </c>
      <c r="D404" s="15">
        <v>4.9400000000000004</v>
      </c>
      <c r="AXD404" s="8" t="s">
        <v>13921</v>
      </c>
      <c r="BAV404" s="8" t="s">
        <v>4367</v>
      </c>
      <c r="BCR404" s="8" t="s">
        <v>3982</v>
      </c>
      <c r="BEN404" s="8" t="s">
        <v>3490</v>
      </c>
      <c r="BEO404" s="8" t="s">
        <v>152</v>
      </c>
      <c r="BIF404" s="8" t="s">
        <v>3149</v>
      </c>
      <c r="CGI404" s="8" t="s">
        <v>24</v>
      </c>
      <c r="CIE404" s="8" t="s">
        <v>24</v>
      </c>
      <c r="DSZ404" s="8" t="s">
        <v>3161</v>
      </c>
      <c r="DUV404" s="8" t="s">
        <v>3161</v>
      </c>
    </row>
    <row r="405" spans="1:4 1131:2030 2072:3032 3080:4088 4376:4376">
      <c r="A405" s="8" t="s">
        <v>1295</v>
      </c>
      <c r="B405" s="10" t="s">
        <v>13922</v>
      </c>
      <c r="C405" s="8">
        <v>1312.06</v>
      </c>
      <c r="D405" s="15">
        <v>7.41</v>
      </c>
      <c r="AYA405" s="8" t="s">
        <v>13922</v>
      </c>
      <c r="BAV405" s="8" t="s">
        <v>4368</v>
      </c>
      <c r="BCR405" s="8" t="s">
        <v>3983</v>
      </c>
      <c r="BEN405" s="8" t="s">
        <v>3621</v>
      </c>
      <c r="BEZ405" s="8" t="s">
        <v>153</v>
      </c>
      <c r="BIF405" s="8" t="s">
        <v>3150</v>
      </c>
      <c r="CIB405" s="8" t="s">
        <v>1316</v>
      </c>
      <c r="CJX405" s="8" t="s">
        <v>1316</v>
      </c>
      <c r="DUV405" s="8" t="s">
        <v>3162</v>
      </c>
      <c r="DWR405" s="8" t="s">
        <v>3162</v>
      </c>
    </row>
    <row r="406" spans="1:4 1131:2030 2072:3032 3080:4088 4376:4376">
      <c r="A406" s="8" t="s">
        <v>1295</v>
      </c>
      <c r="B406" s="10" t="s">
        <v>10714</v>
      </c>
      <c r="C406" s="8">
        <v>1320.47</v>
      </c>
      <c r="D406" s="15">
        <v>23.53</v>
      </c>
      <c r="AYZ406" s="8" t="s">
        <v>10714</v>
      </c>
      <c r="BCQ406" s="8" t="s">
        <v>4369</v>
      </c>
      <c r="BEM406" s="8" t="s">
        <v>4187</v>
      </c>
      <c r="BFP406" s="8" t="s">
        <v>154</v>
      </c>
      <c r="BGI406" s="8" t="s">
        <v>3622</v>
      </c>
      <c r="BGJ406" s="8" t="s">
        <v>2901</v>
      </c>
      <c r="BIF406" s="8" t="s">
        <v>2354</v>
      </c>
      <c r="BKA406" s="8" t="s">
        <v>3151</v>
      </c>
      <c r="DAE406" s="8" t="s">
        <v>142</v>
      </c>
      <c r="DCA406" s="8" t="s">
        <v>142</v>
      </c>
      <c r="EFX406" s="8" t="s">
        <v>3163</v>
      </c>
      <c r="EHT406" s="8" t="s">
        <v>3163</v>
      </c>
    </row>
    <row r="407" spans="1:4 1131:2030 2072:3032 3080:4088 4376:4376">
      <c r="A407" s="8" t="s">
        <v>1295</v>
      </c>
      <c r="B407" s="10" t="s">
        <v>13923</v>
      </c>
      <c r="C407" s="8">
        <v>1413.69</v>
      </c>
      <c r="D407" s="15">
        <v>26.31</v>
      </c>
      <c r="BCR407" s="8" t="s">
        <v>13923</v>
      </c>
      <c r="BCX407" s="8" t="s">
        <v>4370</v>
      </c>
      <c r="BET407" s="8" t="s">
        <v>3984</v>
      </c>
      <c r="BGJ407" s="8" t="s">
        <v>155</v>
      </c>
      <c r="BGP407" s="8" t="s">
        <v>3623</v>
      </c>
      <c r="BIF407" s="8" t="s">
        <v>2902</v>
      </c>
      <c r="BKB407" s="8" t="s">
        <v>2355</v>
      </c>
      <c r="BKH407" s="8" t="s">
        <v>3152</v>
      </c>
      <c r="DAP407" s="8" t="s">
        <v>25</v>
      </c>
      <c r="DCL407" s="8" t="s">
        <v>25</v>
      </c>
      <c r="EQZ407" s="8" t="s">
        <v>3164</v>
      </c>
      <c r="ESV407" s="8" t="s">
        <v>3164</v>
      </c>
    </row>
    <row r="408" spans="1:4 1131:2030 2072:3032 3080:4088 4376:4376">
      <c r="A408" s="8" t="s">
        <v>1295</v>
      </c>
      <c r="B408" s="10" t="s">
        <v>13924</v>
      </c>
      <c r="C408" s="8">
        <v>1773.65</v>
      </c>
      <c r="D408" s="15">
        <v>2.35</v>
      </c>
      <c r="BCR408" s="8" t="s">
        <v>6236</v>
      </c>
      <c r="BGJ408" s="8" t="s">
        <v>156</v>
      </c>
      <c r="BKB408" s="8" t="s">
        <v>2715</v>
      </c>
      <c r="BLX408" s="8" t="s">
        <v>4371</v>
      </c>
      <c r="BNT408" s="8" t="s">
        <v>3985</v>
      </c>
      <c r="BPP408" s="8" t="s">
        <v>13924</v>
      </c>
      <c r="BTH408" s="8" t="s">
        <v>3154</v>
      </c>
      <c r="DPJ408" s="8" t="s">
        <v>144</v>
      </c>
      <c r="DRF408" s="8" t="s">
        <v>144</v>
      </c>
      <c r="ESV408" s="8" t="s">
        <v>3165</v>
      </c>
      <c r="EUR408" s="8" t="s">
        <v>3165</v>
      </c>
    </row>
    <row r="409" spans="1:4 1131:2030 2072:3032 3080:4088 4376:4376">
      <c r="A409" s="8" t="s">
        <v>1295</v>
      </c>
      <c r="B409" s="10" t="s">
        <v>13925</v>
      </c>
      <c r="C409" s="8">
        <v>1814.12</v>
      </c>
      <c r="D409" s="15">
        <v>9.8800000000000008</v>
      </c>
      <c r="AYZ409" s="8" t="s">
        <v>5243</v>
      </c>
      <c r="BEN409" s="8" t="s">
        <v>6237</v>
      </c>
      <c r="BLX409" s="8" t="s">
        <v>2903</v>
      </c>
      <c r="BNT409" s="8" t="s">
        <v>4372</v>
      </c>
      <c r="BOK409" s="8" t="s">
        <v>157</v>
      </c>
      <c r="BPP409" s="8" t="s">
        <v>3986</v>
      </c>
      <c r="BRL409" s="8" t="s">
        <v>13925</v>
      </c>
      <c r="BVD409" s="8" t="s">
        <v>3155</v>
      </c>
      <c r="DYN409" s="8" t="s">
        <v>1317</v>
      </c>
      <c r="EAJ409" s="8" t="s">
        <v>1317</v>
      </c>
    </row>
    <row r="410" spans="1:4 1131:2030 2072:3032 3080:4088 4376:4376">
      <c r="A410" s="8" t="s">
        <v>1295</v>
      </c>
      <c r="B410" s="10" t="s">
        <v>13926</v>
      </c>
      <c r="C410" s="8">
        <v>1915.29</v>
      </c>
      <c r="D410" s="15">
        <v>4.71</v>
      </c>
      <c r="BAM410" s="8" t="s">
        <v>5244</v>
      </c>
      <c r="BEN410" s="8" t="s">
        <v>4373</v>
      </c>
      <c r="BLX410" s="8" t="s">
        <v>6238</v>
      </c>
      <c r="BNT410" s="8" t="s">
        <v>2356</v>
      </c>
      <c r="BOU410" s="8" t="s">
        <v>158</v>
      </c>
      <c r="BVD410" s="8" t="s">
        <v>13926</v>
      </c>
      <c r="BWZ410" s="8" t="s">
        <v>3987</v>
      </c>
      <c r="BYV410" s="8" t="s">
        <v>3624</v>
      </c>
      <c r="CCN410" s="8" t="s">
        <v>3156</v>
      </c>
      <c r="EYJ410" s="8" t="s">
        <v>145</v>
      </c>
      <c r="FAF410" s="8" t="s">
        <v>145</v>
      </c>
    </row>
    <row r="411" spans="1:4 1131:2030 2072:3032 3080:4088 4376:4376">
      <c r="A411" s="8" t="s">
        <v>1295</v>
      </c>
      <c r="B411" s="10" t="s">
        <v>10717</v>
      </c>
      <c r="C411" s="8">
        <v>2011.75</v>
      </c>
      <c r="D411" s="15">
        <v>4.71</v>
      </c>
      <c r="BBZ411" s="8" t="s">
        <v>5245</v>
      </c>
      <c r="BLT411" s="8" t="s">
        <v>4374</v>
      </c>
      <c r="BLX411" s="8" t="s">
        <v>2716</v>
      </c>
      <c r="BNT411" s="8" t="s">
        <v>2357</v>
      </c>
      <c r="BPP411" s="8" t="s">
        <v>159</v>
      </c>
      <c r="BTD411" s="8" t="s">
        <v>6239</v>
      </c>
      <c r="BYV411" s="8" t="s">
        <v>10717</v>
      </c>
      <c r="CCJ411" s="8" t="s">
        <v>4374</v>
      </c>
      <c r="CEF411" s="8" t="s">
        <v>3988</v>
      </c>
      <c r="CGB411" s="8" t="s">
        <v>3625</v>
      </c>
      <c r="CJT411" s="8" t="s">
        <v>3466</v>
      </c>
    </row>
    <row r="412" spans="1:4 1131:2030 2072:3032 3080:4088 4376:4376">
      <c r="A412" s="8" t="s">
        <v>1295</v>
      </c>
      <c r="B412" s="10" t="s">
        <v>10718</v>
      </c>
      <c r="C412" s="8">
        <v>2059.29</v>
      </c>
      <c r="D412" s="15">
        <v>4.71</v>
      </c>
      <c r="AYZ412" s="8" t="s">
        <v>5246</v>
      </c>
      <c r="AZU412" s="8" t="s">
        <v>800</v>
      </c>
      <c r="BBQ412" s="8" t="s">
        <v>800</v>
      </c>
      <c r="BCR412" s="8" t="s">
        <v>5246</v>
      </c>
      <c r="BLX412" s="8" t="s">
        <v>2717</v>
      </c>
      <c r="BMD412" s="8" t="s">
        <v>6109</v>
      </c>
      <c r="BNT412" s="8" t="s">
        <v>2358</v>
      </c>
      <c r="BRO412" s="8" t="s">
        <v>160</v>
      </c>
      <c r="BTN412" s="8" t="s">
        <v>6240</v>
      </c>
      <c r="CAR412" s="8" t="s">
        <v>10718</v>
      </c>
      <c r="CCT412" s="8" t="s">
        <v>4375</v>
      </c>
      <c r="CEP412" s="8" t="s">
        <v>4188</v>
      </c>
      <c r="CGL412" s="8" t="s">
        <v>3626</v>
      </c>
      <c r="CKD412" s="8" t="s">
        <v>3157</v>
      </c>
    </row>
    <row r="413" spans="1:4 1131:2030 2072:3032 3080:4088 4376:4376">
      <c r="A413" s="8" t="s">
        <v>1295</v>
      </c>
      <c r="B413" s="10" t="s">
        <v>10719</v>
      </c>
      <c r="C413" s="8">
        <v>2107.06</v>
      </c>
      <c r="D413" s="15">
        <v>4.9400000000000004</v>
      </c>
      <c r="BAE413" s="8" t="s">
        <v>801</v>
      </c>
      <c r="BBQ413" s="8" t="s">
        <v>801</v>
      </c>
      <c r="BBV413" s="8" t="s">
        <v>148</v>
      </c>
      <c r="BCA413" s="8" t="s">
        <v>5247</v>
      </c>
      <c r="BFS413" s="8" t="s">
        <v>5247</v>
      </c>
      <c r="BNS413" s="8" t="s">
        <v>2904</v>
      </c>
      <c r="BPO413" s="8" t="s">
        <v>2359</v>
      </c>
      <c r="BPP413" s="8" t="s">
        <v>4376</v>
      </c>
      <c r="BTS413" s="8" t="s">
        <v>161</v>
      </c>
      <c r="BWZ413" s="8" t="s">
        <v>6241</v>
      </c>
      <c r="CCN413" s="8" t="s">
        <v>10719</v>
      </c>
      <c r="CGF413" s="8" t="s">
        <v>4376</v>
      </c>
      <c r="CIB413" s="8" t="s">
        <v>3989</v>
      </c>
      <c r="CJX413" s="8" t="s">
        <v>3627</v>
      </c>
      <c r="CNP413" s="8" t="s">
        <v>3158</v>
      </c>
    </row>
    <row r="414" spans="1:4 1131:2030 2072:3032 3080:4088 4376:4376">
      <c r="A414" s="8" t="s">
        <v>1295</v>
      </c>
      <c r="B414" s="10" t="s">
        <v>13927</v>
      </c>
      <c r="C414" s="8">
        <v>2160.94</v>
      </c>
      <c r="D414" s="15">
        <v>47.06</v>
      </c>
      <c r="AZX414" s="8" t="s">
        <v>149</v>
      </c>
      <c r="BAE414" s="8" t="s">
        <v>802</v>
      </c>
      <c r="BBT414" s="8" t="s">
        <v>802</v>
      </c>
      <c r="BCA414" s="8" t="s">
        <v>149</v>
      </c>
      <c r="BDP414" s="8" t="s">
        <v>802</v>
      </c>
      <c r="BNZ414" s="8" t="s">
        <v>2718</v>
      </c>
      <c r="BPV414" s="8" t="s">
        <v>2360</v>
      </c>
      <c r="BTY414" s="8" t="s">
        <v>162</v>
      </c>
      <c r="BYV414" s="8" t="s">
        <v>4377</v>
      </c>
      <c r="CGF414" s="8" t="s">
        <v>13927</v>
      </c>
      <c r="CPL414" s="8" t="s">
        <v>4377</v>
      </c>
      <c r="CRH414" s="8" t="s">
        <v>3990</v>
      </c>
      <c r="CTD414" s="8" t="s">
        <v>3628</v>
      </c>
      <c r="CWV414" s="8" t="s">
        <v>3159</v>
      </c>
    </row>
    <row r="415" spans="1:4 1131:2030 2072:3032 3080:4088 4376:4376">
      <c r="A415" s="8" t="s">
        <v>1295</v>
      </c>
      <c r="B415" s="10" t="s">
        <v>10721</v>
      </c>
      <c r="C415" s="8">
        <v>2370.65</v>
      </c>
      <c r="D415" s="15">
        <v>9.8800000000000008</v>
      </c>
      <c r="BBQ415" s="8" t="s">
        <v>147</v>
      </c>
      <c r="BCJ415" s="8" t="s">
        <v>803</v>
      </c>
      <c r="BDP415" s="8" t="s">
        <v>803</v>
      </c>
      <c r="BDV415" s="8" t="s">
        <v>150</v>
      </c>
      <c r="BEF415" s="8" t="s">
        <v>803</v>
      </c>
      <c r="BLX415" s="8" t="s">
        <v>4384</v>
      </c>
      <c r="BUB415" s="8" t="s">
        <v>163</v>
      </c>
      <c r="BWZ415" s="8" t="s">
        <v>2905</v>
      </c>
      <c r="BYV415" s="8" t="s">
        <v>2361</v>
      </c>
      <c r="CGF415" s="8" t="s">
        <v>4378</v>
      </c>
      <c r="CMW415" s="8" t="s">
        <v>10721</v>
      </c>
      <c r="CNP415" s="8" t="s">
        <v>6242</v>
      </c>
      <c r="CWV415" s="8" t="s">
        <v>4378</v>
      </c>
      <c r="CYR415" s="8" t="s">
        <v>3991</v>
      </c>
      <c r="DAN415" s="8" t="s">
        <v>3629</v>
      </c>
      <c r="DEF415" s="8" t="s">
        <v>3160</v>
      </c>
    </row>
    <row r="416" spans="1:4 1131:2030 2072:3032 3080:4088 4376:4376">
      <c r="A416" s="8" t="s">
        <v>1295</v>
      </c>
      <c r="B416" s="10" t="s">
        <v>10722</v>
      </c>
      <c r="C416" s="8">
        <v>2381.5300000000002</v>
      </c>
      <c r="D416" s="15">
        <v>2.35</v>
      </c>
      <c r="BCA416" s="8" t="s">
        <v>148</v>
      </c>
      <c r="BCJ416" s="8" t="s">
        <v>804</v>
      </c>
      <c r="BEF416" s="8" t="s">
        <v>804</v>
      </c>
      <c r="BET416" s="8" t="s">
        <v>151</v>
      </c>
      <c r="BUV416" s="8" t="s">
        <v>164</v>
      </c>
      <c r="BZB416" s="8" t="s">
        <v>2719</v>
      </c>
      <c r="CAX416" s="8" t="s">
        <v>2362</v>
      </c>
      <c r="CMZ416" s="8" t="s">
        <v>10722</v>
      </c>
      <c r="CUZ416" s="8" t="s">
        <v>4379</v>
      </c>
      <c r="DCJ416" s="8" t="s">
        <v>6243</v>
      </c>
      <c r="DLP416" s="8" t="s">
        <v>4379</v>
      </c>
      <c r="DNL416" s="8" t="s">
        <v>3992</v>
      </c>
      <c r="DPH416" s="8" t="s">
        <v>3630</v>
      </c>
      <c r="DSZ416" s="8" t="s">
        <v>3161</v>
      </c>
    </row>
    <row r="417" spans="1:327 1352:2024 2052:2986 3080:4040">
      <c r="A417" s="8" t="s">
        <v>1295</v>
      </c>
      <c r="B417" s="10" t="s">
        <v>10723</v>
      </c>
      <c r="C417" s="8">
        <v>2384.88</v>
      </c>
      <c r="D417" s="15">
        <v>9.41</v>
      </c>
      <c r="AZY417" s="8" t="s">
        <v>4764</v>
      </c>
      <c r="BBU417" s="8" t="s">
        <v>4764</v>
      </c>
      <c r="BBV417" s="8" t="s">
        <v>4764</v>
      </c>
      <c r="BCS417" s="8" t="s">
        <v>805</v>
      </c>
      <c r="BDP417" s="8" t="s">
        <v>149</v>
      </c>
      <c r="BEF417" s="8" t="s">
        <v>805</v>
      </c>
      <c r="BEK417" s="8" t="s">
        <v>152</v>
      </c>
      <c r="BEO417" s="8" t="s">
        <v>805</v>
      </c>
      <c r="BVE417" s="8" t="s">
        <v>165</v>
      </c>
      <c r="CGF417" s="8" t="s">
        <v>2720</v>
      </c>
      <c r="CIB417" s="8" t="s">
        <v>2363</v>
      </c>
      <c r="CNJ417" s="8" t="s">
        <v>10723</v>
      </c>
      <c r="CWV417" s="8" t="s">
        <v>4380</v>
      </c>
      <c r="DEF417" s="8" t="s">
        <v>6244</v>
      </c>
      <c r="DNL417" s="8" t="s">
        <v>4380</v>
      </c>
      <c r="DPH417" s="8" t="s">
        <v>3993</v>
      </c>
      <c r="DRD417" s="8" t="s">
        <v>3631</v>
      </c>
      <c r="DUV417" s="8" t="s">
        <v>3162</v>
      </c>
    </row>
    <row r="418" spans="1:327 1352:2024 2052:2986 3080:4040">
      <c r="A418" s="8" t="s">
        <v>1295</v>
      </c>
      <c r="B418" s="10" t="s">
        <v>10724</v>
      </c>
      <c r="C418" s="8">
        <v>2395.29</v>
      </c>
      <c r="D418" s="15">
        <v>4.71</v>
      </c>
      <c r="AZA418" s="8" t="s">
        <v>153</v>
      </c>
      <c r="BAV418" s="8" t="s">
        <v>4765</v>
      </c>
      <c r="BBH418" s="8" t="s">
        <v>153</v>
      </c>
      <c r="BCR418" s="8" t="s">
        <v>4765</v>
      </c>
      <c r="BCS418" s="8" t="s">
        <v>4765</v>
      </c>
      <c r="BDD418" s="8" t="s">
        <v>806</v>
      </c>
      <c r="BEF418" s="8" t="s">
        <v>150</v>
      </c>
      <c r="BEO418" s="8" t="s">
        <v>153</v>
      </c>
      <c r="BEZ418" s="8" t="s">
        <v>806</v>
      </c>
      <c r="BZX418" s="8" t="s">
        <v>166</v>
      </c>
      <c r="CNP418" s="8" t="s">
        <v>10724</v>
      </c>
      <c r="CNV418" s="8" t="s">
        <v>2906</v>
      </c>
      <c r="CPR418" s="8" t="s">
        <v>2364</v>
      </c>
      <c r="DHX418" s="8" t="s">
        <v>4381</v>
      </c>
      <c r="DPH418" s="8" t="s">
        <v>6245</v>
      </c>
      <c r="DYN418" s="8" t="s">
        <v>4381</v>
      </c>
      <c r="EAJ418" s="8" t="s">
        <v>3994</v>
      </c>
      <c r="ECF418" s="8" t="s">
        <v>3632</v>
      </c>
      <c r="EFX418" s="8" t="s">
        <v>3163</v>
      </c>
    </row>
    <row r="419" spans="1:327 1352:2024 2052:2986 3080:4040">
      <c r="A419" s="8" t="s">
        <v>1295</v>
      </c>
      <c r="B419" s="10" t="s">
        <v>10725</v>
      </c>
      <c r="C419" s="8">
        <v>2772.18</v>
      </c>
      <c r="D419" s="15">
        <v>9.8800000000000008</v>
      </c>
      <c r="AZL419" s="17" t="s">
        <v>154</v>
      </c>
      <c r="BBT419" s="8" t="s">
        <v>4766</v>
      </c>
      <c r="BDP419" s="8" t="s">
        <v>4766</v>
      </c>
      <c r="BDQ419" s="8" t="s">
        <v>4766</v>
      </c>
      <c r="BDT419" s="8" t="s">
        <v>807</v>
      </c>
      <c r="BEF419" s="8" t="s">
        <v>151</v>
      </c>
      <c r="BEZ419" s="8" t="s">
        <v>807</v>
      </c>
      <c r="BFG419" s="8" t="s">
        <v>154</v>
      </c>
      <c r="BFP419" s="8" t="s">
        <v>807</v>
      </c>
      <c r="CHE419" s="8" t="s">
        <v>167</v>
      </c>
      <c r="CRH419" s="8" t="s">
        <v>2721</v>
      </c>
      <c r="CTD419" s="8" t="s">
        <v>2365</v>
      </c>
      <c r="DCH419" s="8" t="s">
        <v>10725</v>
      </c>
      <c r="DSZ419" s="8" t="s">
        <v>4382</v>
      </c>
      <c r="EAJ419" s="8" t="s">
        <v>6246</v>
      </c>
      <c r="EJP419" s="8" t="s">
        <v>4382</v>
      </c>
      <c r="ELL419" s="8" t="s">
        <v>3995</v>
      </c>
      <c r="ENH419" s="8" t="s">
        <v>3633</v>
      </c>
      <c r="EQZ419" s="8" t="s">
        <v>3164</v>
      </c>
    </row>
    <row r="420" spans="1:327 1352:2024 2052:2986 3080:4040">
      <c r="A420" s="8" t="s">
        <v>1295</v>
      </c>
      <c r="B420" s="10" t="s">
        <v>10727</v>
      </c>
      <c r="C420" s="8">
        <v>2783.06</v>
      </c>
      <c r="D420" s="15">
        <v>0.94</v>
      </c>
      <c r="AZQ420" s="8" t="s">
        <v>158</v>
      </c>
      <c r="BAB420" s="17" t="s">
        <v>155</v>
      </c>
      <c r="BBM420" s="8" t="s">
        <v>158</v>
      </c>
      <c r="BCM420" s="8" t="s">
        <v>4767</v>
      </c>
      <c r="BCN420" s="8" t="s">
        <v>4767</v>
      </c>
      <c r="BDI420" s="8" t="s">
        <v>158</v>
      </c>
      <c r="BEI420" s="8" t="s">
        <v>4767</v>
      </c>
      <c r="BEJ420" s="8" t="s">
        <v>4767</v>
      </c>
      <c r="BEN420" s="8" t="s">
        <v>808</v>
      </c>
      <c r="BEO420" s="8" t="s">
        <v>152</v>
      </c>
      <c r="BFE420" s="8" t="s">
        <v>158</v>
      </c>
      <c r="BFP420" s="8" t="s">
        <v>808</v>
      </c>
      <c r="BGJ420" s="8" t="s">
        <v>808</v>
      </c>
      <c r="CIZ420" s="8" t="s">
        <v>168</v>
      </c>
      <c r="DAN420" s="8" t="s">
        <v>2722</v>
      </c>
      <c r="DCJ420" s="8" t="s">
        <v>10727</v>
      </c>
      <c r="DUV420" s="8" t="s">
        <v>4383</v>
      </c>
      <c r="ECF420" s="8" t="s">
        <v>6247</v>
      </c>
      <c r="ELL420" s="8" t="s">
        <v>4383</v>
      </c>
      <c r="ENH420" s="8" t="s">
        <v>3996</v>
      </c>
      <c r="EPD420" s="8" t="s">
        <v>3634</v>
      </c>
      <c r="ESV420" s="8" t="s">
        <v>3165</v>
      </c>
    </row>
    <row r="421" spans="1:327 1352:2024 2052:2986 3080:4040">
      <c r="A421" s="8" t="s">
        <v>1295</v>
      </c>
      <c r="B421" s="10" t="s">
        <v>13928</v>
      </c>
      <c r="C421" s="8">
        <v>3734.12</v>
      </c>
      <c r="D421" s="15">
        <v>9.8800000000000008</v>
      </c>
      <c r="BAA421" s="8" t="s">
        <v>159</v>
      </c>
      <c r="BAV421" s="8" t="s">
        <v>156</v>
      </c>
      <c r="BBW421" s="8" t="s">
        <v>159</v>
      </c>
      <c r="BCR421" s="8" t="s">
        <v>4768</v>
      </c>
      <c r="BDS421" s="8" t="s">
        <v>159</v>
      </c>
      <c r="BEN421" s="8" t="s">
        <v>4768</v>
      </c>
      <c r="BEO421" s="8" t="s">
        <v>4768</v>
      </c>
      <c r="BEZ421" s="8" t="s">
        <v>153</v>
      </c>
      <c r="BFO421" s="8" t="s">
        <v>159</v>
      </c>
      <c r="BGJ421" s="8" t="s">
        <v>809</v>
      </c>
      <c r="CJS421" s="8" t="s">
        <v>169</v>
      </c>
      <c r="DHX421" s="8" t="s">
        <v>2723</v>
      </c>
      <c r="DJT421" s="8" t="s">
        <v>2366</v>
      </c>
      <c r="ENH421" s="8" t="s">
        <v>13928</v>
      </c>
    </row>
    <row r="422" spans="1:327 1352:2024 2052:2986 3080:4040">
      <c r="A422" s="8" t="s">
        <v>1296</v>
      </c>
      <c r="B422" s="10" t="s">
        <v>10728</v>
      </c>
      <c r="C422" s="8">
        <v>97</v>
      </c>
      <c r="D422" s="15">
        <v>14.82</v>
      </c>
      <c r="DP422" s="8" t="s">
        <v>10728</v>
      </c>
      <c r="BAV422" s="8" t="s">
        <v>160</v>
      </c>
      <c r="BCR422" s="8" t="s">
        <v>4769</v>
      </c>
      <c r="BEN422" s="8" t="s">
        <v>4769</v>
      </c>
      <c r="BEO422" s="8" t="s">
        <v>4769</v>
      </c>
      <c r="BFP422" s="8" t="s">
        <v>154</v>
      </c>
      <c r="BGJ422" s="8" t="s">
        <v>160</v>
      </c>
      <c r="BMO422" s="8" t="s">
        <v>810</v>
      </c>
      <c r="BOK422" s="8" t="s">
        <v>810</v>
      </c>
      <c r="CJX422" s="8" t="s">
        <v>170</v>
      </c>
      <c r="DWR422" s="8" t="s">
        <v>2724</v>
      </c>
      <c r="DYN422" s="8" t="s">
        <v>2367</v>
      </c>
    </row>
    <row r="423" spans="1:327 1352:2024 2052:2986 3080:4040">
      <c r="A423" s="8" t="s">
        <v>1296</v>
      </c>
      <c r="B423" s="10" t="s">
        <v>10729</v>
      </c>
      <c r="C423" s="8">
        <v>123.71</v>
      </c>
      <c r="D423" s="15">
        <v>1.53</v>
      </c>
      <c r="EC423" s="8" t="s">
        <v>10729</v>
      </c>
      <c r="AYZ423" s="8" t="s">
        <v>3166</v>
      </c>
      <c r="BAV423" s="8" t="s">
        <v>3166</v>
      </c>
      <c r="BCR423" s="8" t="s">
        <v>1361</v>
      </c>
      <c r="BCU423" s="8" t="s">
        <v>4770</v>
      </c>
      <c r="BEN423" s="8" t="s">
        <v>1361</v>
      </c>
      <c r="BEQ423" s="8" t="s">
        <v>4770</v>
      </c>
      <c r="BER423" s="8" t="s">
        <v>4770</v>
      </c>
      <c r="BGJ423" s="8" t="s">
        <v>1361</v>
      </c>
      <c r="BIF423" s="8" t="s">
        <v>1361</v>
      </c>
      <c r="BIW423" s="8" t="s">
        <v>158</v>
      </c>
      <c r="BMY423" s="8" t="s">
        <v>811</v>
      </c>
      <c r="BOK423" s="8" t="s">
        <v>811</v>
      </c>
      <c r="BOU423" s="8" t="s">
        <v>811</v>
      </c>
      <c r="CJX423" s="8" t="s">
        <v>171</v>
      </c>
      <c r="DYN423" s="8" t="s">
        <v>2725</v>
      </c>
      <c r="EAJ423" s="8" t="s">
        <v>2368</v>
      </c>
    </row>
    <row r="424" spans="1:327 1352:2024 2052:2986 3080:4040">
      <c r="A424" s="8" t="s">
        <v>1296</v>
      </c>
      <c r="B424" s="10" t="s">
        <v>10730</v>
      </c>
      <c r="C424" s="8">
        <v>145</v>
      </c>
      <c r="D424" s="15">
        <v>9.8800000000000008</v>
      </c>
      <c r="FG424" s="8" t="s">
        <v>10730</v>
      </c>
      <c r="AZC424" s="8" t="s">
        <v>1476</v>
      </c>
      <c r="BCU424" s="8" t="s">
        <v>161</v>
      </c>
      <c r="BEQ424" s="8" t="s">
        <v>161</v>
      </c>
      <c r="BGJ424" s="8" t="s">
        <v>156</v>
      </c>
      <c r="BGM424" s="8" t="s">
        <v>161</v>
      </c>
      <c r="BII424" s="8" t="s">
        <v>161</v>
      </c>
      <c r="BJG424" s="8" t="s">
        <v>159</v>
      </c>
      <c r="BKB424" s="8" t="s">
        <v>4771</v>
      </c>
      <c r="BLX424" s="8" t="s">
        <v>4771</v>
      </c>
      <c r="BLY424" s="8" t="s">
        <v>4771</v>
      </c>
      <c r="BNT424" s="8" t="s">
        <v>812</v>
      </c>
      <c r="BOU424" s="8" t="s">
        <v>812</v>
      </c>
      <c r="BPF424" s="8" t="s">
        <v>159</v>
      </c>
      <c r="BPP424" s="8" t="s">
        <v>812</v>
      </c>
      <c r="CKA424" s="8" t="s">
        <v>172</v>
      </c>
      <c r="EJP424" s="8" t="s">
        <v>2726</v>
      </c>
      <c r="ELL424" s="8" t="s">
        <v>2369</v>
      </c>
    </row>
    <row r="425" spans="1:327 1352:2024 2052:2986 3080:4040">
      <c r="A425" s="8" t="s">
        <v>1296</v>
      </c>
      <c r="B425" s="10" t="s">
        <v>10731</v>
      </c>
      <c r="C425" s="8">
        <v>162.82</v>
      </c>
      <c r="D425" s="15">
        <v>1.06</v>
      </c>
      <c r="FP425" s="8" t="s">
        <v>10731</v>
      </c>
      <c r="AZK425" s="8" t="s">
        <v>1907</v>
      </c>
      <c r="BBG425" s="8" t="s">
        <v>1477</v>
      </c>
      <c r="BCR425" s="8" t="s">
        <v>3167</v>
      </c>
      <c r="BEN425" s="8" t="s">
        <v>3167</v>
      </c>
      <c r="BEY425" s="8" t="s">
        <v>162</v>
      </c>
      <c r="BGU425" s="8" t="s">
        <v>162</v>
      </c>
      <c r="BIQ425" s="8" t="s">
        <v>162</v>
      </c>
      <c r="BKB425" s="8" t="s">
        <v>160</v>
      </c>
      <c r="BKM425" s="8" t="s">
        <v>162</v>
      </c>
      <c r="BNT425" s="8" t="s">
        <v>813</v>
      </c>
      <c r="BNW425" s="8" t="s">
        <v>160</v>
      </c>
      <c r="BOK425" s="8" t="s">
        <v>157</v>
      </c>
      <c r="BOU425" s="8" t="s">
        <v>4772</v>
      </c>
      <c r="BOV425" s="8" t="s">
        <v>4772</v>
      </c>
      <c r="BPP425" s="8" t="s">
        <v>160</v>
      </c>
      <c r="BPS425" s="8" t="s">
        <v>813</v>
      </c>
      <c r="BQQ425" s="8" t="s">
        <v>4772</v>
      </c>
      <c r="BQR425" s="8" t="s">
        <v>4772</v>
      </c>
      <c r="BRO425" s="8" t="s">
        <v>813</v>
      </c>
      <c r="CQR425" s="8" t="s">
        <v>173</v>
      </c>
      <c r="EUR425" s="8" t="s">
        <v>2727</v>
      </c>
      <c r="EWN425" s="8" t="s">
        <v>2370</v>
      </c>
    </row>
    <row r="426" spans="1:327 1352:2024 2052:2986 3080:4040">
      <c r="A426" s="8" t="s">
        <v>1296</v>
      </c>
      <c r="B426" s="10" t="s">
        <v>10631</v>
      </c>
      <c r="C426" s="8">
        <v>171</v>
      </c>
      <c r="D426" s="15">
        <v>4.71</v>
      </c>
      <c r="GB426" s="8" t="s">
        <v>10631</v>
      </c>
      <c r="AZQ426" s="8" t="s">
        <v>1908</v>
      </c>
      <c r="BBM426" s="8" t="s">
        <v>1478</v>
      </c>
      <c r="BFE426" s="8" t="s">
        <v>163</v>
      </c>
      <c r="BHA426" s="8" t="s">
        <v>163</v>
      </c>
      <c r="BIW426" s="8" t="s">
        <v>163</v>
      </c>
      <c r="BKS426" s="8" t="s">
        <v>163</v>
      </c>
      <c r="BMA426" s="8" t="s">
        <v>161</v>
      </c>
      <c r="BMX426" s="8" t="s">
        <v>161</v>
      </c>
      <c r="BNW426" s="8" t="s">
        <v>814</v>
      </c>
      <c r="BOU426" s="8" t="s">
        <v>158</v>
      </c>
      <c r="BPP426" s="8" t="s">
        <v>4773</v>
      </c>
      <c r="BRL426" s="8" t="s">
        <v>4773</v>
      </c>
      <c r="BRM426" s="8" t="s">
        <v>4773</v>
      </c>
      <c r="BRO426" s="8" t="s">
        <v>161</v>
      </c>
      <c r="BRW426" s="8" t="s">
        <v>814</v>
      </c>
      <c r="BTH426" s="8" t="s">
        <v>3168</v>
      </c>
      <c r="BTS426" s="8" t="s">
        <v>814</v>
      </c>
      <c r="BVD426" s="8" t="s">
        <v>3168</v>
      </c>
      <c r="CRH426" s="8" t="s">
        <v>174</v>
      </c>
      <c r="EWN426" s="8" t="s">
        <v>2728</v>
      </c>
      <c r="EYJ426" s="8" t="s">
        <v>2371</v>
      </c>
    </row>
    <row r="427" spans="1:327 1352:2024 2052:2986 3080:4040">
      <c r="A427" s="8" t="s">
        <v>1296</v>
      </c>
      <c r="B427" s="10" t="s">
        <v>10732</v>
      </c>
      <c r="C427" s="8">
        <v>193</v>
      </c>
      <c r="D427" s="15">
        <v>4.9400000000000004</v>
      </c>
      <c r="GX427" s="8" t="s">
        <v>10732</v>
      </c>
      <c r="AZT427" s="8" t="s">
        <v>1909</v>
      </c>
      <c r="BBP427" s="8" t="s">
        <v>1479</v>
      </c>
      <c r="BFH427" s="8" t="s">
        <v>164</v>
      </c>
      <c r="BHD427" s="8" t="s">
        <v>164</v>
      </c>
      <c r="BIZ427" s="8" t="s">
        <v>164</v>
      </c>
      <c r="BKV427" s="8" t="s">
        <v>164</v>
      </c>
      <c r="BOE427" s="8" t="s">
        <v>162</v>
      </c>
      <c r="BPP427" s="8" t="s">
        <v>159</v>
      </c>
      <c r="BSC427" s="8" t="s">
        <v>815</v>
      </c>
      <c r="BTS427" s="8" t="s">
        <v>815</v>
      </c>
      <c r="BTY427" s="8" t="s">
        <v>815</v>
      </c>
      <c r="CCN427" s="8" t="s">
        <v>4774</v>
      </c>
      <c r="CEJ427" s="8" t="s">
        <v>4774</v>
      </c>
      <c r="CEK427" s="8" t="s">
        <v>4774</v>
      </c>
      <c r="CTG427" s="8" t="s">
        <v>175</v>
      </c>
    </row>
    <row r="428" spans="1:327 1352:2024 2052:2986 3080:4040">
      <c r="A428" s="8" t="s">
        <v>1296</v>
      </c>
      <c r="B428" s="10" t="s">
        <v>10733</v>
      </c>
      <c r="C428" s="8">
        <v>193</v>
      </c>
      <c r="D428" s="15">
        <v>4.9400000000000004</v>
      </c>
      <c r="GX428" s="8" t="s">
        <v>10733</v>
      </c>
      <c r="BAN428" s="8" t="s">
        <v>1910</v>
      </c>
      <c r="BCJ428" s="8" t="s">
        <v>1480</v>
      </c>
      <c r="BGB428" s="8" t="s">
        <v>165</v>
      </c>
      <c r="BHX428" s="8" t="s">
        <v>165</v>
      </c>
      <c r="BJT428" s="8" t="s">
        <v>165</v>
      </c>
      <c r="BLP428" s="8" t="s">
        <v>165</v>
      </c>
      <c r="BOK428" s="8" t="s">
        <v>163</v>
      </c>
      <c r="BRO428" s="8" t="s">
        <v>160</v>
      </c>
      <c r="BSF428" s="8" t="s">
        <v>816</v>
      </c>
      <c r="BTY428" s="8" t="s">
        <v>816</v>
      </c>
      <c r="BUB428" s="8" t="s">
        <v>816</v>
      </c>
      <c r="BUD428" s="8" t="s">
        <v>163</v>
      </c>
      <c r="CJX428" s="8" t="s">
        <v>4775</v>
      </c>
      <c r="CLT428" s="8" t="s">
        <v>4775</v>
      </c>
      <c r="CLU428" s="8" t="s">
        <v>4775</v>
      </c>
      <c r="CWV428" s="8" t="s">
        <v>176</v>
      </c>
    </row>
    <row r="429" spans="1:327 1352:2024 2052:2986 3080:4040">
      <c r="A429" s="8" t="s">
        <v>1296</v>
      </c>
      <c r="B429" s="10" t="s">
        <v>10734</v>
      </c>
      <c r="C429" s="8">
        <v>241</v>
      </c>
      <c r="D429" s="15">
        <v>4.82</v>
      </c>
      <c r="IT429" s="8" t="s">
        <v>10734</v>
      </c>
      <c r="BAW429" s="8" t="s">
        <v>1911</v>
      </c>
      <c r="BCS429" s="8" t="s">
        <v>1481</v>
      </c>
      <c r="BGK429" s="8" t="s">
        <v>166</v>
      </c>
      <c r="BIG429" s="8" t="s">
        <v>166</v>
      </c>
      <c r="BKC429" s="8" t="s">
        <v>166</v>
      </c>
      <c r="BLY429" s="8" t="s">
        <v>166</v>
      </c>
      <c r="BON429" s="8" t="s">
        <v>164</v>
      </c>
      <c r="BSZ429" s="8" t="s">
        <v>817</v>
      </c>
      <c r="BTS429" s="8" t="s">
        <v>161</v>
      </c>
      <c r="BUB429" s="8" t="s">
        <v>817</v>
      </c>
      <c r="BUE429" s="8" t="s">
        <v>164</v>
      </c>
      <c r="BUV429" s="8" t="s">
        <v>817</v>
      </c>
      <c r="CJX429" s="8" t="s">
        <v>4776</v>
      </c>
      <c r="CLT429" s="8" t="s">
        <v>4776</v>
      </c>
      <c r="CLU429" s="8" t="s">
        <v>4776</v>
      </c>
      <c r="DHY429" s="8" t="s">
        <v>177</v>
      </c>
    </row>
    <row r="430" spans="1:327 1352:2024 2052:2986 3080:4040">
      <c r="A430" s="8" t="s">
        <v>1296</v>
      </c>
      <c r="B430" s="10" t="s">
        <v>10743</v>
      </c>
      <c r="C430" s="8">
        <v>261.02999999999997</v>
      </c>
      <c r="D430" s="15">
        <v>47.06</v>
      </c>
      <c r="LD430" s="8" t="s">
        <v>10743</v>
      </c>
      <c r="BFP430" s="8" t="s">
        <v>1912</v>
      </c>
      <c r="BHL430" s="8" t="s">
        <v>1482</v>
      </c>
      <c r="BLD430" s="8" t="s">
        <v>167</v>
      </c>
      <c r="BMZ430" s="8" t="s">
        <v>167</v>
      </c>
      <c r="BOV430" s="8" t="s">
        <v>167</v>
      </c>
      <c r="BPH430" s="8" t="s">
        <v>165</v>
      </c>
      <c r="BQR430" s="8" t="s">
        <v>167</v>
      </c>
      <c r="BTI430" s="8" t="s">
        <v>818</v>
      </c>
      <c r="BTY430" s="8" t="s">
        <v>162</v>
      </c>
      <c r="BUV430" s="8" t="s">
        <v>818</v>
      </c>
      <c r="BVE430" s="8" t="s">
        <v>818</v>
      </c>
      <c r="BVO430" s="8" t="s">
        <v>165</v>
      </c>
      <c r="CMZ430" s="8" t="s">
        <v>4777</v>
      </c>
      <c r="COV430" s="8" t="s">
        <v>4777</v>
      </c>
      <c r="COW430" s="8" t="s">
        <v>4777</v>
      </c>
      <c r="DJT430" s="8" t="s">
        <v>178</v>
      </c>
    </row>
    <row r="431" spans="1:327 1352:2024 2052:2986 3080:4040">
      <c r="A431" s="8" t="s">
        <v>1296</v>
      </c>
      <c r="B431" s="10" t="s">
        <v>10735</v>
      </c>
      <c r="C431" s="8">
        <v>299.88</v>
      </c>
      <c r="D431" s="15">
        <v>4.9400000000000004</v>
      </c>
      <c r="LA431" s="8" t="s">
        <v>10735</v>
      </c>
      <c r="AYZ431" s="8" t="s">
        <v>3166</v>
      </c>
      <c r="BMW431" s="8" t="s">
        <v>1913</v>
      </c>
      <c r="BOM431" s="8" t="s">
        <v>166</v>
      </c>
      <c r="BOS431" s="8" t="s">
        <v>1483</v>
      </c>
      <c r="BPQ431" s="8" t="s">
        <v>166</v>
      </c>
      <c r="BSK431" s="8" t="s">
        <v>168</v>
      </c>
      <c r="BUB431" s="8" t="s">
        <v>163</v>
      </c>
      <c r="BUG431" s="8" t="s">
        <v>168</v>
      </c>
      <c r="BVE431" s="8" t="s">
        <v>166</v>
      </c>
      <c r="BWC431" s="8" t="s">
        <v>168</v>
      </c>
      <c r="BXY431" s="8" t="s">
        <v>168</v>
      </c>
      <c r="BYB431" s="8" t="s">
        <v>819</v>
      </c>
      <c r="BZX431" s="8" t="s">
        <v>819</v>
      </c>
      <c r="CUZ431" s="8" t="s">
        <v>4778</v>
      </c>
      <c r="CWV431" s="8" t="s">
        <v>4778</v>
      </c>
      <c r="CWW431" s="8" t="s">
        <v>4778</v>
      </c>
      <c r="DRD431" s="8" t="s">
        <v>179</v>
      </c>
    </row>
    <row r="432" spans="1:327 1352:2024 2052:2986 3080:4040">
      <c r="A432" s="8" t="s">
        <v>1296</v>
      </c>
      <c r="B432" s="10" t="s">
        <v>10738</v>
      </c>
      <c r="C432" s="8">
        <v>309.08999999999997</v>
      </c>
      <c r="D432" s="15">
        <v>9.8800000000000008</v>
      </c>
      <c r="LO432" s="8" t="s">
        <v>10738</v>
      </c>
      <c r="BNT432" s="8" t="s">
        <v>1914</v>
      </c>
      <c r="BPP432" s="8" t="s">
        <v>1484</v>
      </c>
      <c r="BSN432" s="8" t="s">
        <v>820</v>
      </c>
      <c r="BSZ432" s="8" t="s">
        <v>167</v>
      </c>
      <c r="BTH432" s="8" t="s">
        <v>146</v>
      </c>
      <c r="BUJ432" s="8" t="s">
        <v>167</v>
      </c>
      <c r="BUV432" s="8" t="s">
        <v>164</v>
      </c>
      <c r="BVD432" s="8" t="s">
        <v>146</v>
      </c>
      <c r="BWZ432" s="8" t="s">
        <v>146</v>
      </c>
      <c r="BYV432" s="8" t="s">
        <v>146</v>
      </c>
      <c r="BZX432" s="8" t="s">
        <v>167</v>
      </c>
      <c r="CFI432" s="8" t="s">
        <v>820</v>
      </c>
      <c r="CHE432" s="8" t="s">
        <v>820</v>
      </c>
      <c r="DHY432" s="8" t="s">
        <v>4779</v>
      </c>
      <c r="DHZ432" s="8" t="s">
        <v>4779</v>
      </c>
      <c r="DJU432" s="8" t="s">
        <v>4779</v>
      </c>
      <c r="DJV432" s="8" t="s">
        <v>4779</v>
      </c>
      <c r="DRD432" s="8" t="s">
        <v>180</v>
      </c>
    </row>
    <row r="433" spans="1:847 1352:2048 2052:3032 3080:3939">
      <c r="A433" s="8" t="s">
        <v>1296</v>
      </c>
      <c r="B433" s="10" t="s">
        <v>10737</v>
      </c>
      <c r="C433" s="8">
        <v>325.92</v>
      </c>
      <c r="D433" s="15">
        <v>4.9400000000000004</v>
      </c>
      <c r="MA433" s="8" t="s">
        <v>10737</v>
      </c>
      <c r="AYZ433" s="8" t="s">
        <v>3870</v>
      </c>
      <c r="BCR433" s="8" t="s">
        <v>3167</v>
      </c>
      <c r="BOR433" s="8" t="s">
        <v>1915</v>
      </c>
      <c r="BQN433" s="8" t="s">
        <v>1485</v>
      </c>
      <c r="BUF433" s="8" t="s">
        <v>169</v>
      </c>
      <c r="BVE433" s="8" t="s">
        <v>165</v>
      </c>
      <c r="BWB433" s="8" t="s">
        <v>169</v>
      </c>
      <c r="BXX433" s="8" t="s">
        <v>169</v>
      </c>
      <c r="BZT433" s="8" t="s">
        <v>169</v>
      </c>
      <c r="CBQ433" s="8" t="s">
        <v>168</v>
      </c>
      <c r="CFC433" s="8" t="s">
        <v>168</v>
      </c>
      <c r="CFI433" s="8" t="s">
        <v>821</v>
      </c>
      <c r="CHD433" s="8" t="s">
        <v>821</v>
      </c>
      <c r="CHE433" s="8" t="s">
        <v>168</v>
      </c>
      <c r="CIZ433" s="8" t="s">
        <v>821</v>
      </c>
      <c r="ECF433" s="8" t="s">
        <v>181</v>
      </c>
      <c r="ELN433" s="8" t="s">
        <v>4780</v>
      </c>
      <c r="ELO433" s="8" t="s">
        <v>4780</v>
      </c>
      <c r="ENJ433" s="8" t="s">
        <v>4780</v>
      </c>
      <c r="ENK433" s="8" t="s">
        <v>4780</v>
      </c>
    </row>
    <row r="434" spans="1:847 1352:2048 2052:3032 3080:3939">
      <c r="A434" s="8" t="s">
        <v>1296</v>
      </c>
      <c r="B434" s="10" t="s">
        <v>13929</v>
      </c>
      <c r="C434" s="8">
        <v>331.86</v>
      </c>
      <c r="D434" s="15">
        <v>12.23</v>
      </c>
      <c r="MN434" s="8" t="s">
        <v>13929</v>
      </c>
      <c r="BCR434" s="8" t="s">
        <v>6248</v>
      </c>
      <c r="BLX434" s="8" t="s">
        <v>4384</v>
      </c>
      <c r="BNT434" s="8" t="s">
        <v>3997</v>
      </c>
      <c r="BPK434" s="8" t="s">
        <v>1916</v>
      </c>
      <c r="BPP434" s="8" t="s">
        <v>3635</v>
      </c>
      <c r="BRG434" s="8" t="s">
        <v>1486</v>
      </c>
      <c r="BTH434" s="8" t="s">
        <v>3168</v>
      </c>
      <c r="BUY434" s="8" t="s">
        <v>170</v>
      </c>
      <c r="BWU434" s="8" t="s">
        <v>170</v>
      </c>
      <c r="BYQ434" s="8" t="s">
        <v>170</v>
      </c>
      <c r="BZX434" s="8" t="s">
        <v>166</v>
      </c>
      <c r="CAM434" s="8" t="s">
        <v>170</v>
      </c>
      <c r="CDL434" s="8" t="s">
        <v>169</v>
      </c>
      <c r="CHW434" s="8" t="s">
        <v>822</v>
      </c>
      <c r="CIZ434" s="8" t="s">
        <v>822</v>
      </c>
      <c r="CJJ434" s="8" t="s">
        <v>169</v>
      </c>
      <c r="CJS434" s="8" t="s">
        <v>822</v>
      </c>
      <c r="EJP434" s="8" t="s">
        <v>182</v>
      </c>
    </row>
    <row r="435" spans="1:847 1352:2048 2052:3032 3080:3939">
      <c r="A435" s="8" t="s">
        <v>1296</v>
      </c>
      <c r="B435" s="10" t="s">
        <v>10740</v>
      </c>
      <c r="C435" s="8">
        <v>340.12</v>
      </c>
      <c r="D435" s="15">
        <v>4.9400000000000004</v>
      </c>
      <c r="MO435" s="8" t="s">
        <v>10740</v>
      </c>
      <c r="BPP435" s="8" t="s">
        <v>1917</v>
      </c>
      <c r="BRL435" s="8" t="s">
        <v>1487</v>
      </c>
      <c r="BVD435" s="8" t="s">
        <v>171</v>
      </c>
      <c r="BWZ435" s="8" t="s">
        <v>171</v>
      </c>
      <c r="BYV435" s="8" t="s">
        <v>171</v>
      </c>
      <c r="CAR435" s="8" t="s">
        <v>171</v>
      </c>
      <c r="CEE435" s="8" t="s">
        <v>170</v>
      </c>
      <c r="CHE435" s="8" t="s">
        <v>167</v>
      </c>
      <c r="CIB435" s="8" t="s">
        <v>823</v>
      </c>
      <c r="CJS435" s="8" t="s">
        <v>823</v>
      </c>
      <c r="CJX435" s="8" t="s">
        <v>823</v>
      </c>
      <c r="EPE435" s="8" t="s">
        <v>183</v>
      </c>
    </row>
    <row r="436" spans="1:847 1352:2048 2052:3032 3080:3939">
      <c r="A436" s="8" t="s">
        <v>1296</v>
      </c>
      <c r="B436" s="10" t="s">
        <v>10739</v>
      </c>
      <c r="C436" s="8">
        <v>345.09</v>
      </c>
      <c r="D436" s="15">
        <v>4.9400000000000004</v>
      </c>
      <c r="MT436" s="8" t="s">
        <v>10739</v>
      </c>
      <c r="BPP436" s="8" t="s">
        <v>1918</v>
      </c>
      <c r="BRL436" s="8" t="s">
        <v>1488</v>
      </c>
      <c r="BVD436" s="8" t="s">
        <v>172</v>
      </c>
      <c r="BWZ436" s="8" t="s">
        <v>172</v>
      </c>
      <c r="BYV436" s="8" t="s">
        <v>172</v>
      </c>
      <c r="CAR436" s="8" t="s">
        <v>172</v>
      </c>
      <c r="CEJ436" s="8" t="s">
        <v>171</v>
      </c>
      <c r="CIB436" s="8" t="s">
        <v>824</v>
      </c>
      <c r="CIZ436" s="8" t="s">
        <v>168</v>
      </c>
      <c r="CJX436" s="8" t="s">
        <v>824</v>
      </c>
      <c r="EUM436" s="8" t="s">
        <v>184</v>
      </c>
    </row>
    <row r="437" spans="1:847 1352:2048 2052:3032 3080:3939">
      <c r="A437" s="8" t="s">
        <v>1296</v>
      </c>
      <c r="B437" s="10" t="s">
        <v>10745</v>
      </c>
      <c r="C437" s="8">
        <v>351.03</v>
      </c>
      <c r="D437" s="15">
        <v>49.29</v>
      </c>
      <c r="OR437" s="8" t="s">
        <v>10745</v>
      </c>
      <c r="BPS437" s="8" t="s">
        <v>1919</v>
      </c>
      <c r="BRO437" s="8" t="s">
        <v>1489</v>
      </c>
      <c r="BVG437" s="8" t="s">
        <v>173</v>
      </c>
      <c r="BXC437" s="8" t="s">
        <v>173</v>
      </c>
      <c r="BYY437" s="8" t="s">
        <v>173</v>
      </c>
      <c r="CAU437" s="8" t="s">
        <v>173</v>
      </c>
      <c r="CEJ437" s="8" t="s">
        <v>172</v>
      </c>
      <c r="CIE437" s="8" t="s">
        <v>825</v>
      </c>
      <c r="CJS437" s="8" t="s">
        <v>169</v>
      </c>
      <c r="CJX437" s="8" t="s">
        <v>825</v>
      </c>
      <c r="CKA437" s="8" t="s">
        <v>825</v>
      </c>
    </row>
    <row r="438" spans="1:847 1352:2048 2052:3032 3080:3939">
      <c r="A438" s="8" t="s">
        <v>1296</v>
      </c>
      <c r="B438" s="10" t="s">
        <v>10741</v>
      </c>
      <c r="C438" s="8">
        <v>385</v>
      </c>
      <c r="D438" s="15">
        <v>9.8800000000000008</v>
      </c>
      <c r="OM438" s="8" t="s">
        <v>10741</v>
      </c>
      <c r="BWJ438" s="8" t="s">
        <v>1920</v>
      </c>
      <c r="BYF438" s="8" t="s">
        <v>1490</v>
      </c>
      <c r="CBX438" s="8" t="s">
        <v>174</v>
      </c>
      <c r="CCL438" s="8" t="s">
        <v>173</v>
      </c>
      <c r="CCQ438" s="8" t="s">
        <v>826</v>
      </c>
      <c r="CDT438" s="8" t="s">
        <v>174</v>
      </c>
      <c r="CEM438" s="8" t="s">
        <v>173</v>
      </c>
      <c r="CFP438" s="8" t="s">
        <v>174</v>
      </c>
      <c r="CHL438" s="8" t="s">
        <v>174</v>
      </c>
      <c r="CJX438" s="8" t="s">
        <v>170</v>
      </c>
      <c r="CKA438" s="8" t="s">
        <v>173</v>
      </c>
      <c r="COV438" s="8" t="s">
        <v>826</v>
      </c>
      <c r="CQR438" s="8" t="s">
        <v>826</v>
      </c>
    </row>
    <row r="439" spans="1:847 1352:2048 2052:3032 3080:3939">
      <c r="A439" s="8" t="s">
        <v>1296</v>
      </c>
      <c r="B439" s="10" t="s">
        <v>10736</v>
      </c>
      <c r="C439" s="8">
        <v>407.26</v>
      </c>
      <c r="D439" s="15">
        <v>13.84</v>
      </c>
      <c r="PM439" s="8" t="s">
        <v>10736</v>
      </c>
      <c r="BWZ439" s="8" t="s">
        <v>1921</v>
      </c>
      <c r="BYV439" s="8" t="s">
        <v>1491</v>
      </c>
      <c r="CCN439" s="8" t="s">
        <v>175</v>
      </c>
      <c r="CEJ439" s="8" t="s">
        <v>175</v>
      </c>
      <c r="CGF439" s="8" t="s">
        <v>175</v>
      </c>
      <c r="CIB439" s="8" t="s">
        <v>175</v>
      </c>
      <c r="CJX439" s="8" t="s">
        <v>171</v>
      </c>
      <c r="CLD439" s="8" t="s">
        <v>174</v>
      </c>
      <c r="CPL439" s="8" t="s">
        <v>827</v>
      </c>
      <c r="CQR439" s="8" t="s">
        <v>827</v>
      </c>
      <c r="CRH439" s="8" t="s">
        <v>827</v>
      </c>
    </row>
    <row r="440" spans="1:847 1352:2048 2052:3032 3080:3939">
      <c r="A440" s="8" t="s">
        <v>1296</v>
      </c>
      <c r="B440" s="10" t="s">
        <v>10744</v>
      </c>
      <c r="C440" s="8">
        <v>647.75</v>
      </c>
      <c r="D440" s="15">
        <v>4.9400000000000004</v>
      </c>
      <c r="YK440" s="8" t="s">
        <v>10744</v>
      </c>
      <c r="BYY440" s="8" t="s">
        <v>1922</v>
      </c>
      <c r="CAU440" s="8" t="s">
        <v>1492</v>
      </c>
      <c r="CEM440" s="8" t="s">
        <v>176</v>
      </c>
      <c r="CGI440" s="8" t="s">
        <v>176</v>
      </c>
      <c r="CIE440" s="8" t="s">
        <v>176</v>
      </c>
      <c r="CKA440" s="8" t="s">
        <v>176</v>
      </c>
      <c r="CLT440" s="8" t="s">
        <v>175</v>
      </c>
      <c r="CPA440" s="8" t="s">
        <v>175</v>
      </c>
      <c r="CPL440" s="8" t="s">
        <v>828</v>
      </c>
      <c r="CRH440" s="8" t="s">
        <v>175</v>
      </c>
      <c r="CRK440" s="8" t="s">
        <v>828</v>
      </c>
      <c r="CTG440" s="8" t="s">
        <v>828</v>
      </c>
    </row>
    <row r="441" spans="1:847 1352:2048 2052:3032 3080:3939">
      <c r="A441" s="8" t="s">
        <v>1296</v>
      </c>
      <c r="B441" s="10" t="s">
        <v>10742</v>
      </c>
      <c r="C441" s="8">
        <v>653.69000000000005</v>
      </c>
      <c r="D441" s="15">
        <v>8.15</v>
      </c>
      <c r="YT441" s="8" t="s">
        <v>10742</v>
      </c>
      <c r="CCN441" s="8" t="s">
        <v>1923</v>
      </c>
      <c r="CEJ441" s="8" t="s">
        <v>1493</v>
      </c>
      <c r="CIB441" s="8" t="s">
        <v>177</v>
      </c>
      <c r="CJX441" s="8" t="s">
        <v>177</v>
      </c>
      <c r="CLT441" s="8" t="s">
        <v>177</v>
      </c>
      <c r="CNP441" s="8" t="s">
        <v>177</v>
      </c>
      <c r="CNS441" s="8" t="s">
        <v>176</v>
      </c>
      <c r="CPL441" s="8" t="s">
        <v>176</v>
      </c>
      <c r="CPO441" s="8" t="s">
        <v>829</v>
      </c>
      <c r="CQR441" s="8" t="s">
        <v>173</v>
      </c>
      <c r="CTG441" s="8" t="s">
        <v>176</v>
      </c>
      <c r="CUZ441" s="8" t="s">
        <v>829</v>
      </c>
      <c r="CWV441" s="8" t="s">
        <v>829</v>
      </c>
    </row>
    <row r="442" spans="1:847 1352:2048 2052:3032 3080:3939">
      <c r="A442" s="8" t="s">
        <v>1296</v>
      </c>
      <c r="B442" s="10" t="s">
        <v>13930</v>
      </c>
      <c r="C442" s="8">
        <v>673</v>
      </c>
      <c r="D442" s="15">
        <v>9.76</v>
      </c>
      <c r="ZO442" s="8" t="s">
        <v>13930</v>
      </c>
      <c r="AYZ442" s="8" t="s">
        <v>4385</v>
      </c>
      <c r="CLT442" s="8" t="s">
        <v>830</v>
      </c>
      <c r="CME442" s="8" t="s">
        <v>177</v>
      </c>
      <c r="CNQ442" s="8" t="s">
        <v>1924</v>
      </c>
      <c r="CPM442" s="8" t="s">
        <v>1494</v>
      </c>
      <c r="CRH442" s="8" t="s">
        <v>177</v>
      </c>
      <c r="CTE442" s="8" t="s">
        <v>178</v>
      </c>
      <c r="CVA442" s="8" t="s">
        <v>178</v>
      </c>
      <c r="CWV442" s="8" t="s">
        <v>177</v>
      </c>
      <c r="CWW442" s="8" t="s">
        <v>178</v>
      </c>
      <c r="CYS442" s="8" t="s">
        <v>178</v>
      </c>
      <c r="DGC442" s="8" t="s">
        <v>830</v>
      </c>
      <c r="DHY442" s="8" t="s">
        <v>830</v>
      </c>
    </row>
    <row r="443" spans="1:847 1352:2048 2052:3032 3080:3939">
      <c r="A443" s="8" t="s">
        <v>1296</v>
      </c>
      <c r="B443" s="10" t="s">
        <v>13931</v>
      </c>
      <c r="C443" s="8">
        <v>779.12</v>
      </c>
      <c r="D443" s="15">
        <v>9.8800000000000008</v>
      </c>
      <c r="ADQ443" s="8" t="s">
        <v>13931</v>
      </c>
      <c r="BAV443" s="8" t="s">
        <v>4639</v>
      </c>
      <c r="BAW443" s="8" t="s">
        <v>178</v>
      </c>
      <c r="BBU443" s="8" t="s">
        <v>178</v>
      </c>
      <c r="BCS443" s="8" t="s">
        <v>831</v>
      </c>
      <c r="CPL443" s="8" t="s">
        <v>1925</v>
      </c>
      <c r="CRH443" s="8" t="s">
        <v>1495</v>
      </c>
      <c r="CTG443" s="8" t="s">
        <v>175</v>
      </c>
      <c r="CUZ443" s="8" t="s">
        <v>179</v>
      </c>
      <c r="CWV443" s="8" t="s">
        <v>179</v>
      </c>
      <c r="CYR443" s="8" t="s">
        <v>179</v>
      </c>
      <c r="DAN443" s="8" t="s">
        <v>179</v>
      </c>
      <c r="DCK443" s="8" t="s">
        <v>178</v>
      </c>
      <c r="DFR443" s="8" t="s">
        <v>178</v>
      </c>
      <c r="DGC443" s="8" t="s">
        <v>831</v>
      </c>
      <c r="DHX443" s="8" t="s">
        <v>831</v>
      </c>
      <c r="DHY443" s="8" t="s">
        <v>178</v>
      </c>
      <c r="DJT443" s="8" t="s">
        <v>831</v>
      </c>
    </row>
    <row r="444" spans="1:847 1352:2048 2052:3032 3080:3939">
      <c r="A444" s="8" t="s">
        <v>1296</v>
      </c>
      <c r="B444" s="10" t="s">
        <v>13932</v>
      </c>
      <c r="C444" s="8">
        <v>795.89</v>
      </c>
      <c r="D444" s="15">
        <v>3.46</v>
      </c>
      <c r="AEA444" s="8" t="s">
        <v>13932</v>
      </c>
      <c r="BBT444" s="8" t="s">
        <v>179</v>
      </c>
      <c r="BCR444" s="8" t="s">
        <v>179</v>
      </c>
      <c r="BDP444" s="8" t="s">
        <v>832</v>
      </c>
      <c r="BGJ444" s="8" t="s">
        <v>4386</v>
      </c>
      <c r="CWV444" s="8" t="s">
        <v>1926</v>
      </c>
      <c r="CYR444" s="8" t="s">
        <v>1496</v>
      </c>
      <c r="DCJ444" s="8" t="s">
        <v>180</v>
      </c>
      <c r="DEF444" s="8" t="s">
        <v>180</v>
      </c>
      <c r="DGB444" s="8" t="s">
        <v>180</v>
      </c>
      <c r="DHX444" s="8" t="s">
        <v>180</v>
      </c>
      <c r="DJT444" s="8" t="s">
        <v>179</v>
      </c>
      <c r="DPH444" s="8" t="s">
        <v>832</v>
      </c>
      <c r="DRD444" s="8" t="s">
        <v>832</v>
      </c>
    </row>
    <row r="445" spans="1:847 1352:2048 2052:3032 3080:3939">
      <c r="A445" s="8" t="s">
        <v>1296</v>
      </c>
      <c r="B445" s="10" t="s">
        <v>10746</v>
      </c>
      <c r="C445" s="8">
        <v>800.35</v>
      </c>
      <c r="D445" s="15">
        <v>9.8800000000000008</v>
      </c>
      <c r="AEL445" s="8" t="s">
        <v>10746</v>
      </c>
      <c r="AZA445" s="8" t="s">
        <v>4786</v>
      </c>
      <c r="AZB445" s="8" t="s">
        <v>4786</v>
      </c>
      <c r="BFL445" s="8" t="s">
        <v>180</v>
      </c>
      <c r="BGJ445" s="8" t="s">
        <v>4387</v>
      </c>
      <c r="BHH445" s="8" t="s">
        <v>833</v>
      </c>
      <c r="CWV445" s="8" t="s">
        <v>1927</v>
      </c>
      <c r="CYR445" s="8" t="s">
        <v>1497</v>
      </c>
      <c r="DCJ445" s="8" t="s">
        <v>181</v>
      </c>
      <c r="DEF445" s="8" t="s">
        <v>181</v>
      </c>
      <c r="DGB445" s="8" t="s">
        <v>181</v>
      </c>
      <c r="DHX445" s="8" t="s">
        <v>181</v>
      </c>
      <c r="DHY445" s="8" t="s">
        <v>177</v>
      </c>
      <c r="DLP445" s="8" t="s">
        <v>180</v>
      </c>
      <c r="DPH445" s="8" t="s">
        <v>833</v>
      </c>
      <c r="DRD445" s="8" t="s">
        <v>833</v>
      </c>
    </row>
    <row r="446" spans="1:847 1352:2048 2052:3032 3080:3939">
      <c r="A446" s="8" t="s">
        <v>1296</v>
      </c>
      <c r="B446" s="10" t="s">
        <v>10747</v>
      </c>
      <c r="C446" s="8">
        <v>811.23</v>
      </c>
      <c r="D446" s="15">
        <v>8.2799999999999994</v>
      </c>
      <c r="AEV446" s="8" t="s">
        <v>10747</v>
      </c>
      <c r="BFL446" s="8" t="s">
        <v>181</v>
      </c>
      <c r="BGJ446" s="8" t="s">
        <v>181</v>
      </c>
      <c r="BHH446" s="8" t="s">
        <v>834</v>
      </c>
      <c r="BIF446" s="8" t="s">
        <v>4388</v>
      </c>
      <c r="DGB446" s="8" t="s">
        <v>834</v>
      </c>
      <c r="DHX446" s="8" t="s">
        <v>1928</v>
      </c>
      <c r="DJT446" s="8" t="s">
        <v>1498</v>
      </c>
      <c r="DLP446" s="8" t="s">
        <v>181</v>
      </c>
      <c r="DNL446" s="8" t="s">
        <v>182</v>
      </c>
      <c r="DPH446" s="8" t="s">
        <v>182</v>
      </c>
      <c r="DRD446" s="8" t="s">
        <v>182</v>
      </c>
      <c r="DSZ446" s="8" t="s">
        <v>182</v>
      </c>
      <c r="EAJ446" s="8" t="s">
        <v>834</v>
      </c>
      <c r="ECF446" s="8" t="s">
        <v>834</v>
      </c>
    </row>
    <row r="447" spans="1:847 1352:2048 2052:3032 3080:3939">
      <c r="A447" s="8" t="s">
        <v>1296</v>
      </c>
      <c r="B447" s="10" t="s">
        <v>13933</v>
      </c>
      <c r="C447" s="8">
        <v>820.32</v>
      </c>
      <c r="D447" s="15">
        <v>11.86</v>
      </c>
      <c r="AFH447" s="8" t="s">
        <v>13933</v>
      </c>
      <c r="AZE447" s="8" t="s">
        <v>4788</v>
      </c>
      <c r="AZF447" s="8" t="s">
        <v>4788</v>
      </c>
      <c r="BKB447" s="8" t="s">
        <v>4389</v>
      </c>
      <c r="BKZ447" s="8" t="s">
        <v>182</v>
      </c>
      <c r="BLX447" s="8" t="s">
        <v>182</v>
      </c>
      <c r="BMV447" s="8" t="s">
        <v>835</v>
      </c>
      <c r="DRD447" s="8" t="s">
        <v>179</v>
      </c>
      <c r="DUV447" s="8" t="s">
        <v>835</v>
      </c>
      <c r="DUW447" s="8" t="s">
        <v>1929</v>
      </c>
      <c r="DVK447" s="8" t="s">
        <v>182</v>
      </c>
      <c r="DWR447" s="8" t="s">
        <v>182</v>
      </c>
      <c r="DWS447" s="8" t="s">
        <v>1499</v>
      </c>
      <c r="EAK447" s="8" t="s">
        <v>184</v>
      </c>
      <c r="ECF447" s="8" t="s">
        <v>182</v>
      </c>
      <c r="ECG447" s="8" t="s">
        <v>184</v>
      </c>
      <c r="EEC447" s="8" t="s">
        <v>184</v>
      </c>
      <c r="EFY447" s="8" t="s">
        <v>184</v>
      </c>
      <c r="EHT447" s="8" t="s">
        <v>835</v>
      </c>
      <c r="EJP447" s="8" t="s">
        <v>835</v>
      </c>
    </row>
    <row r="448" spans="1:847 1352:2048 2052:3032 3080:3939">
      <c r="A448" s="8" t="s">
        <v>1296</v>
      </c>
      <c r="B448" s="10" t="s">
        <v>10748</v>
      </c>
      <c r="C448" s="8">
        <v>820.51</v>
      </c>
      <c r="D448" s="15">
        <v>18.82</v>
      </c>
      <c r="AFO448" s="8" t="s">
        <v>10748</v>
      </c>
      <c r="AYZ448" s="8" t="s">
        <v>4789</v>
      </c>
      <c r="AZA448" s="8" t="s">
        <v>4789</v>
      </c>
      <c r="BCR448" s="8" t="s">
        <v>5248</v>
      </c>
      <c r="BNH448" s="8" t="s">
        <v>4390</v>
      </c>
      <c r="BOR448" s="8" t="s">
        <v>183</v>
      </c>
      <c r="BPP448" s="8" t="s">
        <v>183</v>
      </c>
      <c r="BQN448" s="8" t="s">
        <v>836</v>
      </c>
      <c r="DRD448" s="8" t="s">
        <v>180</v>
      </c>
      <c r="EAE448" s="8" t="s">
        <v>1930</v>
      </c>
      <c r="ECA448" s="8" t="s">
        <v>1500</v>
      </c>
      <c r="EDY448" s="8" t="s">
        <v>183</v>
      </c>
      <c r="EEB448" s="8" t="s">
        <v>183</v>
      </c>
      <c r="EFS448" s="8" t="s">
        <v>185</v>
      </c>
      <c r="EHO448" s="8" t="s">
        <v>185</v>
      </c>
      <c r="EJK448" s="8" t="s">
        <v>185</v>
      </c>
      <c r="EJP448" s="8" t="s">
        <v>183</v>
      </c>
      <c r="ELG448" s="8" t="s">
        <v>185</v>
      </c>
      <c r="ENI448" s="8" t="s">
        <v>836</v>
      </c>
      <c r="EPE448" s="8" t="s">
        <v>836</v>
      </c>
    </row>
    <row r="449" spans="1:1016 1047:1991 2182:2984 3104:4090 4137:4330 8284:8307">
      <c r="A449" s="8" t="s">
        <v>1296</v>
      </c>
      <c r="B449" s="10" t="s">
        <v>10749</v>
      </c>
      <c r="C449" s="8">
        <v>840.33</v>
      </c>
      <c r="D449" s="15">
        <v>3.29</v>
      </c>
      <c r="AFT449" s="17" t="s">
        <v>10749</v>
      </c>
      <c r="AYZ449" s="8" t="s">
        <v>5249</v>
      </c>
      <c r="BCR449" s="8" t="s">
        <v>5249</v>
      </c>
      <c r="BEK449" s="8" t="s">
        <v>4790</v>
      </c>
      <c r="BEL449" s="8" t="s">
        <v>4790</v>
      </c>
      <c r="BNT449" s="8" t="s">
        <v>4391</v>
      </c>
      <c r="BRM449" s="8" t="s">
        <v>184</v>
      </c>
      <c r="BSK449" s="8" t="s">
        <v>184</v>
      </c>
      <c r="BTI449" s="8" t="s">
        <v>837</v>
      </c>
      <c r="ECF449" s="8" t="s">
        <v>181</v>
      </c>
      <c r="EJA449" s="8" t="s">
        <v>184</v>
      </c>
      <c r="EJQ449" s="8" t="s">
        <v>184</v>
      </c>
      <c r="EPE449" s="8" t="s">
        <v>184</v>
      </c>
      <c r="ESQ449" s="8" t="s">
        <v>837</v>
      </c>
      <c r="EUM449" s="8" t="s">
        <v>837</v>
      </c>
      <c r="EUS449" s="8" t="s">
        <v>1931</v>
      </c>
      <c r="EWO449" s="8" t="s">
        <v>1501</v>
      </c>
      <c r="FAG449" s="8" t="s">
        <v>1318</v>
      </c>
      <c r="FCC449" s="8" t="s">
        <v>1318</v>
      </c>
      <c r="FDY449" s="8" t="s">
        <v>1318</v>
      </c>
      <c r="FFU449" s="8" t="s">
        <v>1318</v>
      </c>
    </row>
    <row r="450" spans="1:1016 1047:1991 2182:2984 3104:4090 4137:4330 8284:8307">
      <c r="A450" s="8" t="s">
        <v>1296</v>
      </c>
      <c r="B450" s="10" t="s">
        <v>10750</v>
      </c>
      <c r="C450" s="8">
        <v>844.62</v>
      </c>
      <c r="D450" s="15">
        <v>1.98</v>
      </c>
      <c r="AFW450" s="8" t="s">
        <v>10750</v>
      </c>
      <c r="BAV450" s="8" t="s">
        <v>5250</v>
      </c>
      <c r="BEN450" s="8" t="s">
        <v>5250</v>
      </c>
      <c r="BGJ450" s="8" t="s">
        <v>4791</v>
      </c>
      <c r="BGK450" s="8" t="s">
        <v>4791</v>
      </c>
      <c r="BUC450" s="8" t="s">
        <v>185</v>
      </c>
      <c r="BVA450" s="8" t="s">
        <v>185</v>
      </c>
      <c r="BVY450" s="8" t="s">
        <v>1262</v>
      </c>
      <c r="BXN450" s="8" t="s">
        <v>4392</v>
      </c>
      <c r="EJP450" s="8" t="s">
        <v>182</v>
      </c>
      <c r="EOY450" s="8" t="s">
        <v>185</v>
      </c>
      <c r="EUM450" s="8" t="s">
        <v>185</v>
      </c>
      <c r="EYL450" s="8" t="s">
        <v>1932</v>
      </c>
      <c r="FAH450" s="8" t="s">
        <v>1502</v>
      </c>
      <c r="FDZ450" s="8" t="s">
        <v>1319</v>
      </c>
      <c r="FFV450" s="8" t="s">
        <v>1319</v>
      </c>
      <c r="FHR450" s="8" t="s">
        <v>1319</v>
      </c>
      <c r="FJN450" s="8" t="s">
        <v>1319</v>
      </c>
      <c r="LFP450" s="8" t="s">
        <v>185</v>
      </c>
      <c r="LGM450" s="8" t="s">
        <v>1262</v>
      </c>
    </row>
    <row r="451" spans="1:1016 1047:1991 2182:2984 3104:4090 4137:4330 8284:8307">
      <c r="A451" s="8" t="s">
        <v>1296</v>
      </c>
      <c r="B451" s="10" t="s">
        <v>10751</v>
      </c>
      <c r="C451" s="8">
        <v>847.6</v>
      </c>
      <c r="D451" s="15">
        <v>4.71</v>
      </c>
      <c r="AGB451" s="8" t="s">
        <v>10751</v>
      </c>
      <c r="BCR451" s="8" t="s">
        <v>5251</v>
      </c>
      <c r="BGJ451" s="8" t="s">
        <v>5251</v>
      </c>
      <c r="BHW451" s="8" t="s">
        <v>5301</v>
      </c>
      <c r="BHX451" s="8" t="s">
        <v>5301</v>
      </c>
      <c r="BVD451" s="8" t="s">
        <v>4393</v>
      </c>
      <c r="EPE451" s="8" t="s">
        <v>183</v>
      </c>
    </row>
    <row r="452" spans="1:1016 1047:1991 2182:2984 3104:4090 4137:4330 8284:8307">
      <c r="A452" s="8" t="s">
        <v>1296</v>
      </c>
      <c r="B452" s="10" t="s">
        <v>10752</v>
      </c>
      <c r="C452" s="8">
        <v>853.31</v>
      </c>
      <c r="D452" s="15">
        <v>9.41</v>
      </c>
      <c r="AGM452" s="8" t="s">
        <v>10752</v>
      </c>
      <c r="BEN452" s="8" t="s">
        <v>5252</v>
      </c>
      <c r="BIF452" s="8" t="s">
        <v>5252</v>
      </c>
      <c r="BJC452" s="8" t="s">
        <v>4792</v>
      </c>
      <c r="BJD452" s="8" t="s">
        <v>4792</v>
      </c>
      <c r="BWZ452" s="8" t="s">
        <v>4394</v>
      </c>
      <c r="EUM452" s="8" t="s">
        <v>184</v>
      </c>
    </row>
    <row r="453" spans="1:1016 1047:1991 2182:2984 3104:4090 4137:4330 8284:8307">
      <c r="A453" s="8" t="s">
        <v>1296</v>
      </c>
      <c r="B453" s="10" t="s">
        <v>10753</v>
      </c>
      <c r="C453" s="8">
        <v>863.72</v>
      </c>
      <c r="D453" s="15">
        <v>7.54</v>
      </c>
      <c r="AGU453" s="8" t="s">
        <v>10753</v>
      </c>
      <c r="AYZ453" s="8" t="s">
        <v>10107</v>
      </c>
      <c r="BKB453" s="8" t="s">
        <v>4793</v>
      </c>
      <c r="BKC453" s="8" t="s">
        <v>4793</v>
      </c>
      <c r="CLT453" s="8" t="s">
        <v>4395</v>
      </c>
    </row>
    <row r="454" spans="1:1016 1047:1991 2182:2984 3104:4090 4137:4330 8284:8307">
      <c r="A454" s="8" t="s">
        <v>1296</v>
      </c>
      <c r="B454" s="10" t="s">
        <v>10754</v>
      </c>
      <c r="C454" s="8">
        <v>957.65</v>
      </c>
      <c r="D454" s="15">
        <v>2.35</v>
      </c>
      <c r="AKF454" s="8" t="s">
        <v>10754</v>
      </c>
      <c r="BAA454" s="8" t="s">
        <v>10765</v>
      </c>
      <c r="BBW454" s="8" t="s">
        <v>10108</v>
      </c>
      <c r="BJP454" s="8" t="s">
        <v>4794</v>
      </c>
      <c r="BJQ454" s="8" t="s">
        <v>4794</v>
      </c>
      <c r="CNP454" s="8" t="s">
        <v>4640</v>
      </c>
    </row>
    <row r="455" spans="1:1016 1047:1991 2182:2984 3104:4090 4137:4330 8284:8307">
      <c r="A455" s="8" t="s">
        <v>1296</v>
      </c>
      <c r="B455" s="10" t="s">
        <v>10755</v>
      </c>
      <c r="C455" s="8">
        <v>1003.06</v>
      </c>
      <c r="D455" s="15">
        <v>4.9400000000000004</v>
      </c>
      <c r="AMB455" s="8" t="s">
        <v>10755</v>
      </c>
      <c r="BCQ455" s="8" t="s">
        <v>10766</v>
      </c>
      <c r="BEM455" s="8" t="s">
        <v>10109</v>
      </c>
      <c r="BFB455" s="8" t="s">
        <v>3169</v>
      </c>
      <c r="BGX455" s="8" t="s">
        <v>3169</v>
      </c>
      <c r="BTH455" s="8" t="s">
        <v>5302</v>
      </c>
      <c r="BTI455" s="8" t="s">
        <v>5302</v>
      </c>
      <c r="CUZ455" s="8" t="s">
        <v>4396</v>
      </c>
    </row>
    <row r="456" spans="1:1016 1047:1991 2182:2984 3104:4090 4137:4330 8284:8307">
      <c r="A456" s="8" t="s">
        <v>1296</v>
      </c>
      <c r="B456" s="10" t="s">
        <v>10756</v>
      </c>
      <c r="C456" s="8">
        <v>1029.99</v>
      </c>
      <c r="D456" s="15">
        <v>9.41</v>
      </c>
      <c r="ANG456" s="8" t="s">
        <v>10756</v>
      </c>
      <c r="BCR456" s="8" t="s">
        <v>2729</v>
      </c>
      <c r="BDJ456" s="8" t="s">
        <v>10767</v>
      </c>
      <c r="BEN456" s="8" t="s">
        <v>3170</v>
      </c>
      <c r="BFF456" s="8" t="s">
        <v>10110</v>
      </c>
      <c r="BGJ456" s="8" t="s">
        <v>3170</v>
      </c>
      <c r="CPL456" s="8" t="s">
        <v>4797</v>
      </c>
      <c r="CPM456" s="8" t="s">
        <v>4797</v>
      </c>
      <c r="DJT456" s="8" t="s">
        <v>4397</v>
      </c>
    </row>
    <row r="457" spans="1:1016 1047:1991 2182:2984 3104:4090 4137:4330 8284:8307">
      <c r="A457" s="8" t="s">
        <v>1296</v>
      </c>
      <c r="B457" s="10" t="s">
        <v>10757</v>
      </c>
      <c r="C457" s="8">
        <v>1051.06</v>
      </c>
      <c r="D457" s="15">
        <v>4.9400000000000004</v>
      </c>
      <c r="ANX457" s="8" t="s">
        <v>10757</v>
      </c>
      <c r="BEH457" s="8" t="s">
        <v>10768</v>
      </c>
      <c r="BGD457" s="8" t="s">
        <v>10111</v>
      </c>
      <c r="BGJ457" s="8" t="s">
        <v>3171</v>
      </c>
      <c r="BIF457" s="8" t="s">
        <v>3171</v>
      </c>
      <c r="CTD457" s="8" t="s">
        <v>4798</v>
      </c>
      <c r="CTE457" s="8" t="s">
        <v>4798</v>
      </c>
      <c r="DOJ457" s="8" t="s">
        <v>4398</v>
      </c>
    </row>
    <row r="458" spans="1:1016 1047:1991 2182:2984 3104:4090 4137:4330 8284:8307">
      <c r="A458" s="8" t="s">
        <v>1296</v>
      </c>
      <c r="B458" s="10" t="s">
        <v>10758</v>
      </c>
      <c r="C458" s="8">
        <v>1087.77</v>
      </c>
      <c r="D458" s="15">
        <v>2.4700000000000002</v>
      </c>
      <c r="APF458" s="8" t="s">
        <v>10758</v>
      </c>
      <c r="BIF458" s="8" t="s">
        <v>10769</v>
      </c>
      <c r="BKB458" s="8" t="s">
        <v>10112</v>
      </c>
      <c r="BNT458" s="8" t="s">
        <v>3172</v>
      </c>
      <c r="BPP458" s="8" t="s">
        <v>3172</v>
      </c>
      <c r="CLT458" s="8" t="s">
        <v>2730</v>
      </c>
      <c r="CNP458" s="8" t="s">
        <v>2372</v>
      </c>
      <c r="CWV458" s="8" t="s">
        <v>4799</v>
      </c>
      <c r="CWW458" s="8" t="s">
        <v>4799</v>
      </c>
    </row>
    <row r="459" spans="1:1016 1047:1991 2182:2984 3104:4090 4137:4330 8284:8307">
      <c r="A459" s="8" t="s">
        <v>1296</v>
      </c>
      <c r="B459" s="10" t="s">
        <v>10759</v>
      </c>
      <c r="C459" s="8">
        <v>1091.24</v>
      </c>
      <c r="D459" s="15">
        <v>2.35</v>
      </c>
      <c r="APJ459" s="8" t="s">
        <v>10759</v>
      </c>
      <c r="BPH459" s="8" t="s">
        <v>3173</v>
      </c>
      <c r="BRD459" s="8" t="s">
        <v>3173</v>
      </c>
      <c r="BVD459" s="8" t="s">
        <v>10770</v>
      </c>
      <c r="BWZ459" s="8" t="s">
        <v>10113</v>
      </c>
      <c r="DAN459" s="8" t="s">
        <v>4800</v>
      </c>
      <c r="DAO459" s="8" t="s">
        <v>4800</v>
      </c>
    </row>
    <row r="460" spans="1:1016 1047:1991 2182:2984 3104:4090 4137:4330 8284:8307">
      <c r="A460" s="8" t="s">
        <v>1296</v>
      </c>
      <c r="B460" s="10" t="s">
        <v>10760</v>
      </c>
      <c r="C460" s="8">
        <v>1094.5899999999999</v>
      </c>
      <c r="D460" s="15">
        <v>9.41</v>
      </c>
      <c r="APT460" s="8" t="s">
        <v>10760</v>
      </c>
      <c r="BPP460" s="8" t="s">
        <v>3174</v>
      </c>
      <c r="BRL460" s="8" t="s">
        <v>3174</v>
      </c>
      <c r="BVS460" s="8" t="s">
        <v>10771</v>
      </c>
      <c r="BXO460" s="8" t="s">
        <v>10114</v>
      </c>
      <c r="DHH460" s="8" t="s">
        <v>5303</v>
      </c>
      <c r="DHI460" s="8" t="s">
        <v>5303</v>
      </c>
    </row>
    <row r="461" spans="1:1016 1047:1991 2182:2984 3104:4090 4137:4330 8284:8307">
      <c r="A461" s="8" t="s">
        <v>1296</v>
      </c>
      <c r="B461" s="10" t="s">
        <v>13934</v>
      </c>
      <c r="C461" s="8">
        <v>1108.44</v>
      </c>
      <c r="D461" s="15">
        <v>25.45</v>
      </c>
      <c r="AQX461" s="8" t="s">
        <v>13934</v>
      </c>
      <c r="BRL461" s="8" t="s">
        <v>3175</v>
      </c>
      <c r="BTH461" s="8" t="s">
        <v>3175</v>
      </c>
      <c r="CIB461" s="8" t="s">
        <v>10772</v>
      </c>
      <c r="CJX461" s="8" t="s">
        <v>10115</v>
      </c>
      <c r="DHR461" s="8" t="s">
        <v>5304</v>
      </c>
      <c r="DHS461" s="8" t="s">
        <v>5304</v>
      </c>
    </row>
    <row r="462" spans="1:1016 1047:1991 2182:2984 3104:4090 4137:4330 8284:8307">
      <c r="A462" s="8" t="s">
        <v>1296</v>
      </c>
      <c r="B462" s="10" t="s">
        <v>10761</v>
      </c>
      <c r="C462" s="8">
        <v>1134.8800000000001</v>
      </c>
      <c r="D462" s="15">
        <v>4.71</v>
      </c>
      <c r="ARD462" s="8" t="s">
        <v>10761</v>
      </c>
      <c r="BUR462" s="8" t="s">
        <v>3176</v>
      </c>
      <c r="BWN462" s="8" t="s">
        <v>3176</v>
      </c>
      <c r="CTD462" s="8" t="s">
        <v>10773</v>
      </c>
      <c r="CUZ462" s="8" t="s">
        <v>10116</v>
      </c>
      <c r="DHX462" s="8" t="s">
        <v>4801</v>
      </c>
      <c r="DHY462" s="8" t="s">
        <v>4801</v>
      </c>
    </row>
    <row r="463" spans="1:1016 1047:1991 2182:2984 3104:4090 4137:4330 8284:8307">
      <c r="A463" s="8" t="s">
        <v>1296</v>
      </c>
      <c r="B463" s="10" t="s">
        <v>10762</v>
      </c>
      <c r="C463" s="8">
        <v>1140.5899999999999</v>
      </c>
      <c r="D463" s="15">
        <v>2.35</v>
      </c>
      <c r="ARG463" s="8" t="s">
        <v>10762</v>
      </c>
      <c r="BVD463" s="8" t="s">
        <v>3177</v>
      </c>
      <c r="BWZ463" s="8" t="s">
        <v>3177</v>
      </c>
      <c r="DEF463" s="8" t="s">
        <v>10774</v>
      </c>
      <c r="DGB463" s="8" t="s">
        <v>10117</v>
      </c>
      <c r="DWR463" s="8" t="s">
        <v>4802</v>
      </c>
      <c r="DWS463" s="8" t="s">
        <v>4802</v>
      </c>
    </row>
    <row r="464" spans="1:1016 1047:1991 2182:2984 3104:4090 4137:4330 8284:8307">
      <c r="A464" s="8" t="s">
        <v>1296</v>
      </c>
      <c r="B464" s="10" t="s">
        <v>10763</v>
      </c>
      <c r="C464" s="8">
        <v>1143.94</v>
      </c>
      <c r="D464" s="15">
        <v>2.35</v>
      </c>
      <c r="ARJ464" s="8" t="s">
        <v>10763</v>
      </c>
      <c r="CEX464" s="8" t="s">
        <v>3178</v>
      </c>
      <c r="CGT464" s="8" t="s">
        <v>3178</v>
      </c>
      <c r="DHR464" s="8" t="s">
        <v>10775</v>
      </c>
      <c r="DJN464" s="8" t="s">
        <v>10118</v>
      </c>
    </row>
    <row r="465" spans="1:4 1160:2038 2072:3032 3080:3704">
      <c r="A465" s="8" t="s">
        <v>1296</v>
      </c>
      <c r="B465" s="10" t="s">
        <v>10764</v>
      </c>
      <c r="C465" s="8">
        <v>1147.29</v>
      </c>
      <c r="D465" s="15">
        <v>4.71</v>
      </c>
      <c r="ARP465" s="8" t="s">
        <v>10764</v>
      </c>
      <c r="AZN465" s="8" t="s">
        <v>3998</v>
      </c>
      <c r="BBJ465" s="8" t="s">
        <v>3636</v>
      </c>
      <c r="BFB465" s="8" t="s">
        <v>3169</v>
      </c>
      <c r="CCN465" s="8" t="s">
        <v>3179</v>
      </c>
      <c r="CEJ465" s="8" t="s">
        <v>3179</v>
      </c>
      <c r="DHX465" s="8" t="s">
        <v>10776</v>
      </c>
      <c r="DJT465" s="8" t="s">
        <v>10119</v>
      </c>
    </row>
    <row r="466" spans="1:4 1160:2038 2072:3032 3080:3704">
      <c r="A466" s="8" t="s">
        <v>1296</v>
      </c>
      <c r="B466" s="10" t="s">
        <v>10765</v>
      </c>
      <c r="C466" s="8">
        <v>1201</v>
      </c>
      <c r="D466" s="15">
        <v>4.9400000000000004</v>
      </c>
      <c r="ATR466" s="8" t="s">
        <v>10765</v>
      </c>
      <c r="AYZ466" s="8" t="s">
        <v>3999</v>
      </c>
      <c r="BAR466" s="19" t="s">
        <v>5486</v>
      </c>
      <c r="BAS466" s="8" t="s">
        <v>5486</v>
      </c>
      <c r="BAV466" s="8" t="s">
        <v>3637</v>
      </c>
      <c r="BCN466" s="8" t="s">
        <v>4790</v>
      </c>
      <c r="BCP466" s="8" t="s">
        <v>4790</v>
      </c>
      <c r="BEN466" s="8" t="s">
        <v>3170</v>
      </c>
      <c r="CEJ466" s="8" t="s">
        <v>3180</v>
      </c>
      <c r="CGF466" s="8" t="s">
        <v>3180</v>
      </c>
      <c r="DSZ466" s="8" t="s">
        <v>10777</v>
      </c>
      <c r="DUV466" s="8" t="s">
        <v>10120</v>
      </c>
    </row>
    <row r="467" spans="1:4 1160:2038 2072:3032 3080:3704">
      <c r="A467" s="8" t="s">
        <v>1296</v>
      </c>
      <c r="B467" s="10" t="s">
        <v>10766</v>
      </c>
      <c r="C467" s="8">
        <v>1290.3800000000001</v>
      </c>
      <c r="D467" s="15">
        <v>4.71</v>
      </c>
      <c r="AXC467" s="8" t="s">
        <v>10766</v>
      </c>
      <c r="AYZ467" s="8" t="s">
        <v>4385</v>
      </c>
      <c r="BAV467" s="8" t="s">
        <v>4000</v>
      </c>
      <c r="BCR467" s="8" t="s">
        <v>5377</v>
      </c>
      <c r="BEM467" s="8" t="s">
        <v>4791</v>
      </c>
      <c r="BEN467" s="8" t="s">
        <v>4791</v>
      </c>
      <c r="BEO467" s="8" t="s">
        <v>4791</v>
      </c>
      <c r="BGJ467" s="8" t="s">
        <v>3171</v>
      </c>
      <c r="CTD467" s="8" t="s">
        <v>3181</v>
      </c>
      <c r="CUZ467" s="8" t="s">
        <v>3181</v>
      </c>
      <c r="DUV467" s="8" t="s">
        <v>10778</v>
      </c>
      <c r="DWR467" s="8" t="s">
        <v>10121</v>
      </c>
    </row>
    <row r="468" spans="1:4 1160:2038 2072:3032 3080:3704">
      <c r="A468" s="8" t="s">
        <v>1296</v>
      </c>
      <c r="B468" s="10" t="s">
        <v>10767</v>
      </c>
      <c r="C468" s="8">
        <v>1309.0899999999999</v>
      </c>
      <c r="D468" s="15">
        <v>4.71</v>
      </c>
      <c r="AXV468" s="8" t="s">
        <v>10767</v>
      </c>
      <c r="BEE468" s="8" t="s">
        <v>5487</v>
      </c>
      <c r="BFZ468" s="8" t="s">
        <v>5301</v>
      </c>
      <c r="BGA468" s="8" t="s">
        <v>5301</v>
      </c>
      <c r="BGB468" s="8" t="s">
        <v>5301</v>
      </c>
      <c r="BGJ468" s="8" t="s">
        <v>4386</v>
      </c>
      <c r="BIF468" s="8" t="s">
        <v>4001</v>
      </c>
      <c r="BKB468" s="8" t="s">
        <v>3638</v>
      </c>
      <c r="BNT468" s="8" t="s">
        <v>3173</v>
      </c>
      <c r="DCJ468" s="8" t="s">
        <v>3182</v>
      </c>
      <c r="DEF468" s="8" t="s">
        <v>3182</v>
      </c>
      <c r="EAJ468" s="8" t="s">
        <v>10779</v>
      </c>
      <c r="ECF468" s="8" t="s">
        <v>10122</v>
      </c>
    </row>
    <row r="469" spans="1:4 1160:2038 2072:3032 3080:3704">
      <c r="A469" s="8" t="s">
        <v>1296</v>
      </c>
      <c r="B469" s="10" t="s">
        <v>10768</v>
      </c>
      <c r="C469" s="8">
        <v>1314.76</v>
      </c>
      <c r="D469" s="15">
        <v>23.53</v>
      </c>
      <c r="AYT469" s="8" t="s">
        <v>10768</v>
      </c>
      <c r="BGJ469" s="8" t="s">
        <v>5488</v>
      </c>
      <c r="BGK469" s="8" t="s">
        <v>5488</v>
      </c>
      <c r="BIE469" s="8" t="s">
        <v>4793</v>
      </c>
      <c r="BIF469" s="8" t="s">
        <v>4793</v>
      </c>
      <c r="BIG469" s="8" t="s">
        <v>4793</v>
      </c>
      <c r="BKB469" s="8" t="s">
        <v>3639</v>
      </c>
      <c r="BNT469" s="8" t="s">
        <v>3172</v>
      </c>
      <c r="DRD469" s="8" t="s">
        <v>3183</v>
      </c>
      <c r="DSZ469" s="8" t="s">
        <v>3183</v>
      </c>
      <c r="EJP469" s="8" t="s">
        <v>10780</v>
      </c>
      <c r="ELL469" s="8" t="s">
        <v>10123</v>
      </c>
    </row>
    <row r="470" spans="1:4 1160:2038 2072:3032 3080:3704">
      <c r="A470" s="8" t="s">
        <v>1296</v>
      </c>
      <c r="B470" s="10" t="s">
        <v>13935</v>
      </c>
      <c r="C470" s="8">
        <v>1370.44</v>
      </c>
      <c r="D470" s="15">
        <v>38.909999999999997</v>
      </c>
      <c r="AYZ470" s="8" t="s">
        <v>6249</v>
      </c>
      <c r="BBM470" s="8" t="s">
        <v>13935</v>
      </c>
      <c r="BFX470" s="8" t="s">
        <v>5489</v>
      </c>
      <c r="BHS470" s="8" t="s">
        <v>4794</v>
      </c>
      <c r="BHT470" s="8" t="s">
        <v>4794</v>
      </c>
      <c r="BHU470" s="8" t="s">
        <v>4794</v>
      </c>
      <c r="BIF470" s="8" t="s">
        <v>4388</v>
      </c>
      <c r="BKB470" s="8" t="s">
        <v>4189</v>
      </c>
      <c r="BLX470" s="8" t="s">
        <v>3640</v>
      </c>
      <c r="BPP470" s="8" t="s">
        <v>3174</v>
      </c>
      <c r="DVT470" s="8" t="s">
        <v>3184</v>
      </c>
      <c r="DXP470" s="8" t="s">
        <v>3184</v>
      </c>
    </row>
    <row r="471" spans="1:4 1160:2038 2072:3032 3080:3704">
      <c r="A471" s="8" t="s">
        <v>1296</v>
      </c>
      <c r="B471" s="10" t="s">
        <v>10769</v>
      </c>
      <c r="C471" s="8">
        <v>1410.35</v>
      </c>
      <c r="D471" s="15">
        <v>29.65</v>
      </c>
      <c r="BAV471" s="8" t="s">
        <v>6250</v>
      </c>
      <c r="BCR471" s="8" t="s">
        <v>10769</v>
      </c>
      <c r="BKB471" s="8" t="s">
        <v>4389</v>
      </c>
      <c r="BLC471" s="8" t="s">
        <v>5490</v>
      </c>
      <c r="BLX471" s="8" t="s">
        <v>4002</v>
      </c>
      <c r="BMW471" s="8" t="s">
        <v>5299</v>
      </c>
      <c r="BMY471" s="8" t="s">
        <v>5299</v>
      </c>
      <c r="BNT471" s="8" t="s">
        <v>3641</v>
      </c>
      <c r="BRL471" s="8" t="s">
        <v>3175</v>
      </c>
    </row>
    <row r="472" spans="1:4 1160:2038 2072:3032 3080:3704">
      <c r="A472" s="8" t="s">
        <v>1296</v>
      </c>
      <c r="B472" s="10" t="s">
        <v>13936</v>
      </c>
      <c r="C472" s="8">
        <v>1677.53</v>
      </c>
      <c r="D472" s="15">
        <v>2.4700000000000002</v>
      </c>
      <c r="BEB472" s="8" t="s">
        <v>6251</v>
      </c>
      <c r="BLX472" s="8" t="s">
        <v>13936</v>
      </c>
      <c r="BNH472" s="8" t="s">
        <v>4390</v>
      </c>
      <c r="BPD472" s="8" t="s">
        <v>4003</v>
      </c>
      <c r="BPP472" s="8" t="s">
        <v>5491</v>
      </c>
      <c r="BPQ472" s="8" t="s">
        <v>5491</v>
      </c>
      <c r="BQZ472" s="8" t="s">
        <v>3642</v>
      </c>
      <c r="BRK472" s="8" t="s">
        <v>5302</v>
      </c>
      <c r="BRL472" s="8" t="s">
        <v>5302</v>
      </c>
      <c r="BRM472" s="8" t="s">
        <v>5302</v>
      </c>
      <c r="BUR472" s="8" t="s">
        <v>3176</v>
      </c>
    </row>
    <row r="473" spans="1:4 1160:2038 2072:3032 3080:3704">
      <c r="A473" s="8" t="s">
        <v>1296</v>
      </c>
      <c r="B473" s="10" t="s">
        <v>13937</v>
      </c>
      <c r="C473" s="8">
        <v>1766.12</v>
      </c>
      <c r="D473" s="15">
        <v>9.8800000000000008</v>
      </c>
      <c r="BEN473" s="8" t="s">
        <v>6252</v>
      </c>
      <c r="BNT473" s="8" t="s">
        <v>4391</v>
      </c>
      <c r="BPP473" s="8" t="s">
        <v>13937</v>
      </c>
      <c r="BRL473" s="8" t="s">
        <v>3643</v>
      </c>
      <c r="BVD473" s="8" t="s">
        <v>3177</v>
      </c>
      <c r="CGF473" s="8" t="s">
        <v>5492</v>
      </c>
      <c r="CIA473" s="8" t="s">
        <v>5360</v>
      </c>
      <c r="CIB473" s="8" t="s">
        <v>5360</v>
      </c>
      <c r="CIC473" s="8" t="s">
        <v>5360</v>
      </c>
    </row>
    <row r="474" spans="1:4 1160:2038 2072:3032 3080:3704">
      <c r="A474" s="8" t="s">
        <v>1296</v>
      </c>
      <c r="B474" s="10" t="s">
        <v>10771</v>
      </c>
      <c r="C474" s="8">
        <v>1781.86</v>
      </c>
      <c r="D474" s="15">
        <v>9.41</v>
      </c>
      <c r="BGX474" s="8" t="s">
        <v>4392</v>
      </c>
      <c r="BOH474" s="8" t="s">
        <v>6253</v>
      </c>
      <c r="BQE474" s="8" t="s">
        <v>10771</v>
      </c>
      <c r="BXN474" s="8" t="s">
        <v>4392</v>
      </c>
      <c r="BZJ474" s="8" t="s">
        <v>4004</v>
      </c>
      <c r="CBF474" s="8" t="s">
        <v>3644</v>
      </c>
      <c r="CEX474" s="8" t="s">
        <v>3178</v>
      </c>
      <c r="CLT474" s="8" t="s">
        <v>5493</v>
      </c>
      <c r="CLU474" s="8" t="s">
        <v>5493</v>
      </c>
      <c r="CNO474" s="8" t="s">
        <v>4797</v>
      </c>
      <c r="CNP474" s="8" t="s">
        <v>4797</v>
      </c>
      <c r="CNQ474" s="8" t="s">
        <v>4797</v>
      </c>
    </row>
    <row r="475" spans="1:4 1160:2038 2072:3032 3080:3704">
      <c r="A475" s="8" t="s">
        <v>1296</v>
      </c>
      <c r="B475" s="10" t="s">
        <v>10772</v>
      </c>
      <c r="C475" s="8">
        <v>2093.1799999999998</v>
      </c>
      <c r="D475" s="15">
        <v>18.82</v>
      </c>
      <c r="BEN475" s="8" t="s">
        <v>6110</v>
      </c>
      <c r="BLX475" s="8" t="s">
        <v>6254</v>
      </c>
      <c r="BVD475" s="8" t="s">
        <v>4393</v>
      </c>
      <c r="BWZ475" s="8" t="s">
        <v>4190</v>
      </c>
      <c r="BYV475" s="8" t="s">
        <v>3645</v>
      </c>
      <c r="CCN475" s="8" t="s">
        <v>10772</v>
      </c>
      <c r="CPL475" s="8" t="s">
        <v>5494</v>
      </c>
      <c r="CPM475" s="8" t="s">
        <v>5494</v>
      </c>
      <c r="CRG475" s="8" t="s">
        <v>4798</v>
      </c>
      <c r="CRI475" s="8" t="s">
        <v>4798</v>
      </c>
    </row>
    <row r="476" spans="1:4 1160:2038 2072:3032 3080:3704">
      <c r="A476" s="8" t="s">
        <v>1296</v>
      </c>
      <c r="B476" s="10" t="s">
        <v>10773</v>
      </c>
      <c r="C476" s="8">
        <v>2395.29</v>
      </c>
      <c r="D476" s="15">
        <v>4.71</v>
      </c>
      <c r="BGJ476" s="8" t="s">
        <v>4394</v>
      </c>
      <c r="BNT476" s="8" t="s">
        <v>6255</v>
      </c>
      <c r="BWZ476" s="8" t="s">
        <v>4394</v>
      </c>
      <c r="BYV476" s="8" t="s">
        <v>4005</v>
      </c>
      <c r="CAR476" s="8" t="s">
        <v>3646</v>
      </c>
      <c r="CEJ476" s="8" t="s">
        <v>3180</v>
      </c>
      <c r="CNP476" s="8" t="s">
        <v>10773</v>
      </c>
      <c r="CRH476" s="8" t="s">
        <v>5495</v>
      </c>
      <c r="CRI476" s="8" t="s">
        <v>5495</v>
      </c>
      <c r="CTC476" s="8" t="s">
        <v>5300</v>
      </c>
      <c r="CTD476" s="8" t="s">
        <v>5300</v>
      </c>
      <c r="CTE476" s="8" t="s">
        <v>5300</v>
      </c>
    </row>
    <row r="477" spans="1:4 1160:2038 2072:3032 3080:3704">
      <c r="A477" s="8" t="s">
        <v>1296</v>
      </c>
      <c r="B477" s="10" t="s">
        <v>10774</v>
      </c>
      <c r="C477" s="8">
        <v>2640.94</v>
      </c>
      <c r="D477" s="15">
        <v>47.06</v>
      </c>
      <c r="BVD477" s="8" t="s">
        <v>4395</v>
      </c>
      <c r="CCN477" s="8" t="s">
        <v>6256</v>
      </c>
      <c r="CLT477" s="8" t="s">
        <v>4395</v>
      </c>
      <c r="CNP477" s="8" t="s">
        <v>4006</v>
      </c>
      <c r="CPL477" s="8" t="s">
        <v>3647</v>
      </c>
      <c r="CTD477" s="8" t="s">
        <v>3181</v>
      </c>
      <c r="CWV477" s="8" t="s">
        <v>5496</v>
      </c>
      <c r="CYQ477" s="8" t="s">
        <v>4800</v>
      </c>
      <c r="CYR477" s="8" t="s">
        <v>10774</v>
      </c>
      <c r="CYS477" s="8" t="s">
        <v>4800</v>
      </c>
    </row>
    <row r="478" spans="1:4 1160:2038 2072:3032 3080:3704">
      <c r="A478" s="8" t="s">
        <v>1296</v>
      </c>
      <c r="B478" s="10" t="s">
        <v>10775</v>
      </c>
      <c r="C478" s="8">
        <v>2775.94</v>
      </c>
      <c r="D478" s="15">
        <v>2.35</v>
      </c>
      <c r="CEJ478" s="8" t="s">
        <v>4396</v>
      </c>
      <c r="CLT478" s="8" t="s">
        <v>6257</v>
      </c>
      <c r="CUZ478" s="8" t="s">
        <v>4396</v>
      </c>
      <c r="CWV478" s="8" t="s">
        <v>4007</v>
      </c>
      <c r="CYR478" s="8" t="s">
        <v>3648</v>
      </c>
      <c r="DCD478" s="8" t="s">
        <v>10775</v>
      </c>
      <c r="DCJ478" s="8" t="s">
        <v>3182</v>
      </c>
      <c r="DDP478" s="8" t="s">
        <v>5497</v>
      </c>
      <c r="DFK478" s="8" t="s">
        <v>5303</v>
      </c>
      <c r="DFL478" s="8" t="s">
        <v>5303</v>
      </c>
      <c r="DFM478" s="8" t="s">
        <v>5303</v>
      </c>
    </row>
    <row r="479" spans="1:4 1160:2038 2072:3032 3080:3704">
      <c r="A479" s="8" t="s">
        <v>1296</v>
      </c>
      <c r="B479" s="10" t="s">
        <v>10776</v>
      </c>
      <c r="C479" s="8">
        <v>2779.29</v>
      </c>
      <c r="D479" s="15">
        <v>4.71</v>
      </c>
      <c r="CTD479" s="8" t="s">
        <v>4397</v>
      </c>
      <c r="DAN479" s="8" t="s">
        <v>6258</v>
      </c>
      <c r="DCJ479" s="8" t="s">
        <v>10776</v>
      </c>
      <c r="DDZ479" s="8" t="s">
        <v>5498</v>
      </c>
      <c r="DFU479" s="8" t="s">
        <v>5304</v>
      </c>
      <c r="DFV479" s="8" t="s">
        <v>5304</v>
      </c>
      <c r="DFW479" s="8" t="s">
        <v>5304</v>
      </c>
      <c r="DJT479" s="8" t="s">
        <v>4397</v>
      </c>
      <c r="DLP479" s="8" t="s">
        <v>4008</v>
      </c>
      <c r="DNL479" s="8" t="s">
        <v>3649</v>
      </c>
      <c r="DRD479" s="8" t="s">
        <v>3183</v>
      </c>
    </row>
    <row r="480" spans="1:4 1160:2038 2072:3032 3080:3704">
      <c r="A480" s="8" t="s">
        <v>1296</v>
      </c>
      <c r="B480" s="10" t="s">
        <v>13938</v>
      </c>
      <c r="C480" s="8">
        <v>3062.59</v>
      </c>
      <c r="D480" s="15">
        <v>9.41</v>
      </c>
      <c r="AYZ480" s="8" t="s">
        <v>156</v>
      </c>
      <c r="CXT480" s="8" t="s">
        <v>6111</v>
      </c>
      <c r="DEF480" s="8" t="s">
        <v>5499</v>
      </c>
      <c r="DEG480" s="8" t="s">
        <v>5499</v>
      </c>
      <c r="DFD480" s="8" t="s">
        <v>6259</v>
      </c>
      <c r="DGA480" s="8" t="s">
        <v>4801</v>
      </c>
      <c r="DGB480" s="8" t="s">
        <v>4801</v>
      </c>
      <c r="DGC480" s="8" t="s">
        <v>4801</v>
      </c>
      <c r="DNL480" s="8" t="s">
        <v>13938</v>
      </c>
      <c r="DOJ480" s="8" t="s">
        <v>4398</v>
      </c>
      <c r="DQF480" s="8" t="s">
        <v>4191</v>
      </c>
      <c r="DSB480" s="8" t="s">
        <v>3650</v>
      </c>
      <c r="DVT480" s="8" t="s">
        <v>3184</v>
      </c>
    </row>
    <row r="481" spans="1:49 1352:2120 3128:3512">
      <c r="A481" s="8" t="s">
        <v>1296</v>
      </c>
      <c r="B481" s="10" t="s">
        <v>10778</v>
      </c>
      <c r="C481" s="8">
        <v>3110.59</v>
      </c>
      <c r="D481" s="15">
        <v>9.41</v>
      </c>
      <c r="AYZ481" s="8" t="s">
        <v>5253</v>
      </c>
      <c r="DPH481" s="8" t="s">
        <v>10778</v>
      </c>
      <c r="DSZ481" s="8" t="s">
        <v>5500</v>
      </c>
      <c r="DTA481" s="8" t="s">
        <v>5500</v>
      </c>
      <c r="DUU481" s="8" t="s">
        <v>4802</v>
      </c>
      <c r="DUV481" s="8" t="s">
        <v>4802</v>
      </c>
      <c r="DUW481" s="8" t="s">
        <v>4802</v>
      </c>
    </row>
    <row r="482" spans="1:49 1352:2120 3128:3512">
      <c r="A482" s="8" t="s">
        <v>1296</v>
      </c>
      <c r="B482" s="10" t="s">
        <v>10779</v>
      </c>
      <c r="C482" s="8">
        <v>3259.29</v>
      </c>
      <c r="D482" s="15">
        <v>4.71</v>
      </c>
      <c r="BBZ482" s="8" t="s">
        <v>5254</v>
      </c>
      <c r="BFE482" s="8" t="s">
        <v>158</v>
      </c>
      <c r="BHA482" s="8" t="s">
        <v>158</v>
      </c>
      <c r="DUV482" s="8" t="s">
        <v>10779</v>
      </c>
    </row>
    <row r="483" spans="1:49 1352:2120 3128:3512">
      <c r="A483" s="8" t="s">
        <v>1296</v>
      </c>
      <c r="B483" s="10" t="s">
        <v>10780</v>
      </c>
      <c r="C483" s="8">
        <v>3456.94</v>
      </c>
      <c r="D483" s="15">
        <v>47.06</v>
      </c>
      <c r="BAV483" s="8" t="s">
        <v>5255</v>
      </c>
      <c r="BEN483" s="8" t="s">
        <v>5255</v>
      </c>
      <c r="BFO483" s="8" t="s">
        <v>159</v>
      </c>
      <c r="BHK483" s="8" t="s">
        <v>159</v>
      </c>
      <c r="EEB483" s="8" t="s">
        <v>10780</v>
      </c>
    </row>
    <row r="484" spans="1:49 1352:2120 3128:3512">
      <c r="A484" s="8" t="s">
        <v>1297</v>
      </c>
      <c r="B484" s="10" t="s">
        <v>10781</v>
      </c>
      <c r="C484" s="8">
        <v>-377.86</v>
      </c>
      <c r="D484" s="15">
        <v>7.46</v>
      </c>
      <c r="H484" s="8" t="s">
        <v>10781</v>
      </c>
      <c r="BCX484" s="8" t="s">
        <v>5256</v>
      </c>
      <c r="BGJ484" s="8" t="s">
        <v>160</v>
      </c>
      <c r="BGP484" s="8" t="s">
        <v>5256</v>
      </c>
      <c r="BIF484" s="8" t="s">
        <v>160</v>
      </c>
    </row>
    <row r="485" spans="1:49 1352:2120 3128:3512">
      <c r="A485" s="8" t="s">
        <v>1297</v>
      </c>
      <c r="B485" s="10" t="s">
        <v>13939</v>
      </c>
      <c r="C485" s="8">
        <v>-285</v>
      </c>
      <c r="D485" s="15">
        <v>15.71</v>
      </c>
      <c r="H485" s="8" t="s">
        <v>13939</v>
      </c>
      <c r="BII485" s="8" t="s">
        <v>161</v>
      </c>
      <c r="BKE485" s="8" t="s">
        <v>161</v>
      </c>
    </row>
    <row r="486" spans="1:49 1352:2120 3128:3512">
      <c r="A486" s="8" t="s">
        <v>1297</v>
      </c>
      <c r="B486" s="10" t="s">
        <v>10787</v>
      </c>
      <c r="C486" s="8">
        <v>-198.24</v>
      </c>
      <c r="D486" s="15">
        <v>2.36</v>
      </c>
      <c r="H486" s="8" t="s">
        <v>10787</v>
      </c>
      <c r="BKM486" s="8" t="s">
        <v>162</v>
      </c>
      <c r="BMI486" s="8" t="s">
        <v>162</v>
      </c>
    </row>
    <row r="487" spans="1:49 1352:2120 3128:3512">
      <c r="A487" s="8" t="s">
        <v>1297</v>
      </c>
      <c r="B487" s="10" t="s">
        <v>10782</v>
      </c>
      <c r="C487" s="8">
        <v>-197.5</v>
      </c>
      <c r="D487" s="15">
        <v>3.14</v>
      </c>
      <c r="H487" s="8" t="s">
        <v>10782</v>
      </c>
      <c r="BKS487" s="8" t="s">
        <v>163</v>
      </c>
      <c r="BMO487" s="8" t="s">
        <v>163</v>
      </c>
    </row>
    <row r="488" spans="1:49 1352:2120 3128:3512">
      <c r="A488" s="8" t="s">
        <v>1297</v>
      </c>
      <c r="B488" s="10" t="s">
        <v>10788</v>
      </c>
      <c r="C488" s="8">
        <v>-194.55</v>
      </c>
      <c r="D488" s="15">
        <v>3.93</v>
      </c>
      <c r="H488" s="8" t="s">
        <v>10788</v>
      </c>
      <c r="BKV488" s="8" t="s">
        <v>164</v>
      </c>
      <c r="BMR488" s="8" t="s">
        <v>164</v>
      </c>
    </row>
    <row r="489" spans="1:49 1352:2120 3128:3512">
      <c r="A489" s="8" t="s">
        <v>1297</v>
      </c>
      <c r="B489" s="10" t="s">
        <v>10783</v>
      </c>
      <c r="C489" s="8">
        <v>-168.4</v>
      </c>
      <c r="D489" s="15">
        <v>15.24</v>
      </c>
      <c r="H489" s="8" t="s">
        <v>10783</v>
      </c>
      <c r="BAV489" s="8" t="s">
        <v>2731</v>
      </c>
      <c r="BCR489" s="8" t="s">
        <v>2373</v>
      </c>
      <c r="BLP489" s="8" t="s">
        <v>165</v>
      </c>
      <c r="BNL489" s="8" t="s">
        <v>165</v>
      </c>
    </row>
    <row r="490" spans="1:49 1352:2120 3128:3512">
      <c r="A490" s="8" t="s">
        <v>1297</v>
      </c>
      <c r="B490" s="10" t="s">
        <v>10784</v>
      </c>
      <c r="C490" s="8">
        <v>-151.82</v>
      </c>
      <c r="D490" s="15">
        <v>15.71</v>
      </c>
      <c r="H490" s="8" t="s">
        <v>10784</v>
      </c>
      <c r="BIT490" s="8" t="s">
        <v>2732</v>
      </c>
      <c r="BKP490" s="8" t="s">
        <v>2374</v>
      </c>
      <c r="BLY490" s="8" t="s">
        <v>166</v>
      </c>
      <c r="BNU490" s="8" t="s">
        <v>166</v>
      </c>
    </row>
    <row r="491" spans="1:49 1352:2120 3128:3512">
      <c r="A491" s="8" t="s">
        <v>1297</v>
      </c>
      <c r="B491" s="10" t="s">
        <v>10785</v>
      </c>
      <c r="C491" s="8">
        <v>-125.23</v>
      </c>
      <c r="D491" s="15">
        <v>11.16</v>
      </c>
      <c r="H491" s="8" t="s">
        <v>10785</v>
      </c>
      <c r="BIF491" s="8" t="s">
        <v>2733</v>
      </c>
      <c r="BKB491" s="8" t="s">
        <v>2375</v>
      </c>
      <c r="BQR491" s="8" t="s">
        <v>167</v>
      </c>
      <c r="BSN491" s="8" t="s">
        <v>167</v>
      </c>
    </row>
    <row r="492" spans="1:49 1352:2120 3128:3512">
      <c r="A492" s="8" t="s">
        <v>1297</v>
      </c>
      <c r="B492" s="10" t="s">
        <v>10786</v>
      </c>
      <c r="C492" s="8">
        <v>-119.86</v>
      </c>
      <c r="D492" s="15">
        <v>5</v>
      </c>
      <c r="H492" s="8" t="s">
        <v>10786</v>
      </c>
      <c r="BKB492" s="8" t="s">
        <v>2734</v>
      </c>
      <c r="BLX492" s="8" t="s">
        <v>2376</v>
      </c>
      <c r="BXY492" s="8" t="s">
        <v>168</v>
      </c>
      <c r="BZU492" s="8" t="s">
        <v>168</v>
      </c>
    </row>
    <row r="493" spans="1:49 1352:2120 3128:3512">
      <c r="A493" s="8" t="s">
        <v>1297</v>
      </c>
      <c r="B493" s="10" t="s">
        <v>10789</v>
      </c>
      <c r="C493" s="8">
        <v>-95</v>
      </c>
      <c r="D493" s="15">
        <v>3.77</v>
      </c>
      <c r="H493" s="8" t="s">
        <v>10789</v>
      </c>
      <c r="BRL493" s="8" t="s">
        <v>2907</v>
      </c>
      <c r="BTH493" s="8" t="s">
        <v>2377</v>
      </c>
      <c r="BYV493" s="8" t="s">
        <v>146</v>
      </c>
      <c r="CAR493" s="8" t="s">
        <v>146</v>
      </c>
    </row>
    <row r="494" spans="1:49 1352:2120 3128:3512">
      <c r="A494" s="8" t="s">
        <v>1297</v>
      </c>
      <c r="B494" s="10" t="s">
        <v>13940</v>
      </c>
      <c r="C494" s="8">
        <v>-47</v>
      </c>
      <c r="D494" s="15">
        <v>2.36</v>
      </c>
      <c r="H494" s="8" t="s">
        <v>13940</v>
      </c>
      <c r="AZV494" s="8" t="s">
        <v>5257</v>
      </c>
      <c r="BTH494" s="8" t="s">
        <v>2908</v>
      </c>
      <c r="BVD494" s="8" t="s">
        <v>2378</v>
      </c>
      <c r="BZT494" s="8" t="s">
        <v>169</v>
      </c>
      <c r="CBP494" s="8" t="s">
        <v>169</v>
      </c>
    </row>
    <row r="495" spans="1:49 1352:2120 3128:3512">
      <c r="A495" s="8" t="s">
        <v>1297</v>
      </c>
      <c r="B495" s="10" t="s">
        <v>13941</v>
      </c>
      <c r="C495" s="8">
        <v>18.14</v>
      </c>
      <c r="D495" s="15">
        <v>7.86</v>
      </c>
      <c r="AH495" s="8" t="s">
        <v>13941</v>
      </c>
      <c r="BAV495" s="8" t="s">
        <v>5258</v>
      </c>
      <c r="BYJ495" s="8" t="s">
        <v>2735</v>
      </c>
      <c r="CAF495" s="8" t="s">
        <v>2379</v>
      </c>
      <c r="CAM495" s="8" t="s">
        <v>170</v>
      </c>
      <c r="CCI495" s="8" t="s">
        <v>170</v>
      </c>
    </row>
    <row r="496" spans="1:49 1352:2120 3128:3512">
      <c r="A496" s="8" t="s">
        <v>1297</v>
      </c>
      <c r="B496" s="10" t="s">
        <v>10790</v>
      </c>
      <c r="C496" s="8">
        <v>39.03</v>
      </c>
      <c r="D496" s="15">
        <v>2.36</v>
      </c>
      <c r="AW496" s="8" t="s">
        <v>10790</v>
      </c>
      <c r="BYV496" s="8" t="s">
        <v>2909</v>
      </c>
      <c r="CAR496" s="8" t="s">
        <v>2380</v>
      </c>
      <c r="CCN496" s="8" t="s">
        <v>171</v>
      </c>
    </row>
    <row r="497" spans="1:657 1354:1640 2072:2984 3224:3747 4233:4378">
      <c r="A497" s="8" t="s">
        <v>1297</v>
      </c>
      <c r="B497" s="10" t="s">
        <v>13942</v>
      </c>
      <c r="C497" s="8">
        <v>90.14</v>
      </c>
      <c r="D497" s="15">
        <v>7.86</v>
      </c>
      <c r="DB497" s="8" t="s">
        <v>13942</v>
      </c>
      <c r="CAR497" s="8" t="s">
        <v>172</v>
      </c>
      <c r="CCN497" s="8" t="s">
        <v>172</v>
      </c>
      <c r="CGF497" s="8" t="s">
        <v>2910</v>
      </c>
      <c r="CIB497" s="8" t="s">
        <v>2381</v>
      </c>
    </row>
    <row r="498" spans="1:657 1354:1640 2072:2984 3224:3747 4233:4378">
      <c r="A498" s="8" t="s">
        <v>1297</v>
      </c>
      <c r="B498" s="10" t="s">
        <v>10791</v>
      </c>
      <c r="C498" s="8">
        <v>120.21</v>
      </c>
      <c r="D498" s="15">
        <v>2.3199999999999998</v>
      </c>
      <c r="EA498" s="8" t="s">
        <v>10791</v>
      </c>
      <c r="CAU498" s="8" t="s">
        <v>173</v>
      </c>
      <c r="CCQ498" s="8" t="s">
        <v>173</v>
      </c>
      <c r="CIB498" s="8" t="s">
        <v>2736</v>
      </c>
      <c r="CJX498" s="8" t="s">
        <v>2382</v>
      </c>
    </row>
    <row r="499" spans="1:657 1354:1640 2072:2984 3224:3747 4233:4378">
      <c r="A499" s="8" t="s">
        <v>1297</v>
      </c>
      <c r="B499" s="10" t="s">
        <v>13943</v>
      </c>
      <c r="C499" s="8">
        <v>145</v>
      </c>
      <c r="D499" s="15">
        <v>3.93</v>
      </c>
      <c r="FA499" s="8" t="s">
        <v>13943</v>
      </c>
      <c r="CHL499" s="8" t="s">
        <v>174</v>
      </c>
      <c r="CJH499" s="8" t="s">
        <v>174</v>
      </c>
      <c r="CWV499" s="8" t="s">
        <v>2737</v>
      </c>
      <c r="CYR499" s="8" t="s">
        <v>2383</v>
      </c>
    </row>
    <row r="500" spans="1:657 1354:1640 2072:2984 3224:3747 4233:4378">
      <c r="A500" s="8" t="s">
        <v>1297</v>
      </c>
      <c r="B500" s="10" t="s">
        <v>13944</v>
      </c>
      <c r="C500" s="8">
        <v>206.57</v>
      </c>
      <c r="D500" s="15">
        <v>2.36</v>
      </c>
      <c r="HI500" s="8" t="s">
        <v>13944</v>
      </c>
      <c r="CIB500" s="8" t="s">
        <v>175</v>
      </c>
      <c r="CJX500" s="8" t="s">
        <v>175</v>
      </c>
      <c r="DGB500" s="8" t="s">
        <v>2738</v>
      </c>
      <c r="DHX500" s="8" t="s">
        <v>2384</v>
      </c>
    </row>
    <row r="501" spans="1:657 1354:1640 2072:2984 3224:3747 4233:4378">
      <c r="A501" s="8" t="s">
        <v>1297</v>
      </c>
      <c r="B501" s="10" t="s">
        <v>10792</v>
      </c>
      <c r="C501" s="8">
        <v>243.62</v>
      </c>
      <c r="D501" s="15">
        <v>11.63</v>
      </c>
      <c r="JC501" s="8" t="s">
        <v>10792</v>
      </c>
      <c r="CKA501" s="8" t="s">
        <v>176</v>
      </c>
      <c r="CLW501" s="8" t="s">
        <v>176</v>
      </c>
      <c r="DUV501" s="8" t="s">
        <v>2739</v>
      </c>
      <c r="DWR501" s="8" t="s">
        <v>2385</v>
      </c>
    </row>
    <row r="502" spans="1:657 1354:1640 2072:2984 3224:3747 4233:4378">
      <c r="A502" s="8" t="s">
        <v>1297</v>
      </c>
      <c r="B502" s="10" t="s">
        <v>10796</v>
      </c>
      <c r="C502" s="8">
        <v>327.14</v>
      </c>
      <c r="D502" s="15">
        <v>7.86</v>
      </c>
      <c r="ME502" s="8" t="s">
        <v>10796</v>
      </c>
      <c r="CNP502" s="8" t="s">
        <v>177</v>
      </c>
      <c r="CPL502" s="8" t="s">
        <v>177</v>
      </c>
      <c r="DZL502" s="8" t="s">
        <v>2911</v>
      </c>
      <c r="EBH502" s="8" t="s">
        <v>2386</v>
      </c>
    </row>
    <row r="503" spans="1:657 1354:1640 2072:2984 3224:3747 4233:4378">
      <c r="A503" s="8" t="s">
        <v>1297</v>
      </c>
      <c r="B503" s="10" t="s">
        <v>13945</v>
      </c>
      <c r="C503" s="8">
        <v>328.73</v>
      </c>
      <c r="D503" s="15">
        <v>15.71</v>
      </c>
      <c r="MN503" s="8" t="s">
        <v>13945</v>
      </c>
      <c r="CYS503" s="8" t="s">
        <v>178</v>
      </c>
      <c r="DAO503" s="8" t="s">
        <v>178</v>
      </c>
    </row>
    <row r="504" spans="1:657 1354:1640 2072:2984 3224:3747 4233:4378">
      <c r="A504" s="8" t="s">
        <v>1297</v>
      </c>
      <c r="B504" s="10" t="s">
        <v>13946</v>
      </c>
      <c r="C504" s="8">
        <v>332.36</v>
      </c>
      <c r="D504" s="15">
        <v>7.86</v>
      </c>
      <c r="MJ504" s="8" t="s">
        <v>13946</v>
      </c>
      <c r="DAN504" s="8" t="s">
        <v>179</v>
      </c>
      <c r="DCJ504" s="8" t="s">
        <v>179</v>
      </c>
    </row>
    <row r="505" spans="1:657 1354:1640 2072:2984 3224:3747 4233:4378">
      <c r="A505" s="8" t="s">
        <v>1297</v>
      </c>
      <c r="B505" s="10" t="s">
        <v>10793</v>
      </c>
      <c r="C505" s="8">
        <v>351.38</v>
      </c>
      <c r="D505" s="15">
        <v>39.29</v>
      </c>
      <c r="OI505" s="8" t="s">
        <v>10793</v>
      </c>
      <c r="BBE505" s="8" t="s">
        <v>187</v>
      </c>
      <c r="DHX505" s="8" t="s">
        <v>180</v>
      </c>
      <c r="DJT505" s="8" t="s">
        <v>180</v>
      </c>
    </row>
    <row r="506" spans="1:657 1354:1640 2072:2984 3224:3747 4233:4378">
      <c r="A506" s="8" t="s">
        <v>1297</v>
      </c>
      <c r="B506" s="10" t="s">
        <v>10794</v>
      </c>
      <c r="C506" s="8">
        <v>390.67</v>
      </c>
      <c r="D506" s="15">
        <v>7.86</v>
      </c>
      <c r="OQ506" s="8" t="s">
        <v>10794</v>
      </c>
      <c r="BCC506" s="8" t="s">
        <v>188</v>
      </c>
      <c r="DHX506" s="8" t="s">
        <v>181</v>
      </c>
      <c r="DJT506" s="8" t="s">
        <v>181</v>
      </c>
    </row>
    <row r="507" spans="1:657 1354:1640 2072:2984 3224:3747 4233:4378">
      <c r="A507" s="8" t="s">
        <v>1297</v>
      </c>
      <c r="B507" s="10" t="s">
        <v>13947</v>
      </c>
      <c r="C507" s="8">
        <v>411.21</v>
      </c>
      <c r="D507" s="15">
        <v>1.57</v>
      </c>
      <c r="PE507" s="8" t="s">
        <v>13947</v>
      </c>
      <c r="BDW507" s="8" t="s">
        <v>189</v>
      </c>
      <c r="DSZ507" s="8" t="s">
        <v>182</v>
      </c>
      <c r="DUV507" s="8" t="s">
        <v>182</v>
      </c>
    </row>
    <row r="508" spans="1:657 1354:1640 2072:2984 3224:3747 4233:4378">
      <c r="A508" s="8" t="s">
        <v>1297</v>
      </c>
      <c r="B508" s="10" t="s">
        <v>13948</v>
      </c>
      <c r="C508" s="8">
        <v>415.79</v>
      </c>
      <c r="D508" s="15">
        <v>7.86</v>
      </c>
      <c r="PP508" s="8" t="s">
        <v>13948</v>
      </c>
      <c r="BEC508" s="8" t="s">
        <v>190</v>
      </c>
      <c r="BHD508" s="8" t="s">
        <v>4399</v>
      </c>
      <c r="EFY508" s="8" t="s">
        <v>184</v>
      </c>
      <c r="EHU508" s="8" t="s">
        <v>184</v>
      </c>
    </row>
    <row r="509" spans="1:657 1354:1640 2072:2984 3224:3747 4233:4378">
      <c r="A509" s="8" t="s">
        <v>1297</v>
      </c>
      <c r="B509" s="10" t="s">
        <v>10795</v>
      </c>
      <c r="C509" s="8">
        <v>429.64</v>
      </c>
      <c r="D509" s="15">
        <v>2.36</v>
      </c>
      <c r="PX509" s="8" t="s">
        <v>10795</v>
      </c>
      <c r="BGB509" s="8" t="s">
        <v>191</v>
      </c>
      <c r="BIF509" s="8" t="s">
        <v>4400</v>
      </c>
      <c r="ELG509" s="8" t="s">
        <v>185</v>
      </c>
      <c r="ENC509" s="8" t="s">
        <v>185</v>
      </c>
    </row>
    <row r="510" spans="1:657 1354:1640 2072:2984 3224:3747 4233:4378">
      <c r="A510" s="8" t="s">
        <v>1297</v>
      </c>
      <c r="B510" s="10" t="s">
        <v>13949</v>
      </c>
      <c r="C510" s="8">
        <v>625</v>
      </c>
      <c r="D510" s="15">
        <v>14.93</v>
      </c>
      <c r="XX510" s="8" t="s">
        <v>13949</v>
      </c>
      <c r="AZB510" s="8" t="s">
        <v>4781</v>
      </c>
      <c r="BAX510" s="8" t="s">
        <v>4781</v>
      </c>
      <c r="BAY510" s="8" t="s">
        <v>4781</v>
      </c>
      <c r="BGE510" s="8" t="s">
        <v>192</v>
      </c>
      <c r="BIF510" s="8" t="s">
        <v>4401</v>
      </c>
      <c r="FFU510" s="8" t="s">
        <v>1318</v>
      </c>
      <c r="FHQ510" s="8" t="s">
        <v>1318</v>
      </c>
    </row>
    <row r="511" spans="1:657 1354:1640 2072:2984 3224:3747 4233:4378">
      <c r="A511" s="8" t="s">
        <v>1297</v>
      </c>
      <c r="B511" s="10" t="s">
        <v>13950</v>
      </c>
      <c r="C511" s="8">
        <v>640.92999999999995</v>
      </c>
      <c r="D511" s="15">
        <v>3.93</v>
      </c>
      <c r="YC511" s="8" t="s">
        <v>13950</v>
      </c>
      <c r="BAF511" s="8" t="s">
        <v>4782</v>
      </c>
      <c r="BCB511" s="8" t="s">
        <v>4782</v>
      </c>
      <c r="BCC511" s="8" t="s">
        <v>4782</v>
      </c>
      <c r="BIF511" s="8" t="s">
        <v>193</v>
      </c>
      <c r="BKB511" s="8" t="s">
        <v>4402</v>
      </c>
      <c r="FJN511" s="8" t="s">
        <v>1319</v>
      </c>
      <c r="FLJ511" s="8" t="s">
        <v>1319</v>
      </c>
    </row>
    <row r="512" spans="1:657 1354:1640 2072:2984 3224:3747 4233:4378">
      <c r="A512" s="8" t="s">
        <v>1297</v>
      </c>
      <c r="B512" s="10" t="s">
        <v>13951</v>
      </c>
      <c r="C512" s="8">
        <v>646.19000000000005</v>
      </c>
      <c r="D512" s="15">
        <v>2.36</v>
      </c>
      <c r="YG512" s="8" t="s">
        <v>13951</v>
      </c>
      <c r="BAP512" s="8" t="s">
        <v>4783</v>
      </c>
      <c r="BAQ512" s="8" t="s">
        <v>4783</v>
      </c>
      <c r="BCL512" s="8" t="s">
        <v>4783</v>
      </c>
      <c r="BCM512" s="8" t="s">
        <v>4783</v>
      </c>
      <c r="BIV512" s="8" t="s">
        <v>194</v>
      </c>
      <c r="BKB512" s="8" t="s">
        <v>4403</v>
      </c>
    </row>
    <row r="513" spans="1:923 1352:2024 2218:3032 3128:4040">
      <c r="A513" s="8" t="s">
        <v>1297</v>
      </c>
      <c r="B513" s="10" t="s">
        <v>10797</v>
      </c>
      <c r="C513" s="8">
        <v>649.54999999999995</v>
      </c>
      <c r="D513" s="15">
        <v>3.57</v>
      </c>
      <c r="YK513" s="8" t="s">
        <v>10797</v>
      </c>
      <c r="BAV513" s="8" t="s">
        <v>4784</v>
      </c>
      <c r="BCR513" s="8" t="s">
        <v>4784</v>
      </c>
      <c r="BCS513" s="8" t="s">
        <v>4784</v>
      </c>
      <c r="BJG513" s="8" t="s">
        <v>195</v>
      </c>
      <c r="BLX513" s="8" t="s">
        <v>4404</v>
      </c>
    </row>
    <row r="514" spans="1:923 1352:2024 2218:3032 3128:4040">
      <c r="A514" s="8" t="s">
        <v>1297</v>
      </c>
      <c r="B514" s="10" t="s">
        <v>13952</v>
      </c>
      <c r="C514" s="8">
        <v>655.88</v>
      </c>
      <c r="D514" s="15">
        <v>18.86</v>
      </c>
      <c r="ZG514" s="8" t="s">
        <v>13952</v>
      </c>
      <c r="BBW514" s="8" t="s">
        <v>4785</v>
      </c>
      <c r="BBX514" s="8" t="s">
        <v>4785</v>
      </c>
      <c r="BDS514" s="8" t="s">
        <v>4785</v>
      </c>
      <c r="BDT514" s="8" t="s">
        <v>4785</v>
      </c>
      <c r="BJV514" s="8" t="s">
        <v>196</v>
      </c>
      <c r="BNT514" s="8" t="s">
        <v>4405</v>
      </c>
    </row>
    <row r="515" spans="1:923 1352:2024 2218:3032 3128:4040">
      <c r="A515" s="8" t="s">
        <v>1297</v>
      </c>
      <c r="B515" s="10" t="s">
        <v>10798</v>
      </c>
      <c r="C515" s="8">
        <v>656.24</v>
      </c>
      <c r="D515" s="15">
        <v>2.36</v>
      </c>
      <c r="YQ515" s="8" t="s">
        <v>10798</v>
      </c>
      <c r="BCS515" s="8" t="s">
        <v>4786</v>
      </c>
      <c r="BEO515" s="8" t="s">
        <v>4786</v>
      </c>
      <c r="BEP515" s="8" t="s">
        <v>4786</v>
      </c>
      <c r="BKB515" s="8" t="s">
        <v>197</v>
      </c>
      <c r="BYV515" s="8" t="s">
        <v>4406</v>
      </c>
    </row>
    <row r="516" spans="1:923 1352:2024 2218:3032 3128:4040">
      <c r="A516" s="8" t="s">
        <v>1297</v>
      </c>
      <c r="B516" s="10" t="s">
        <v>10799</v>
      </c>
      <c r="C516" s="8">
        <v>658.43</v>
      </c>
      <c r="D516" s="15">
        <v>3.57</v>
      </c>
      <c r="YT516" s="8" t="s">
        <v>10799</v>
      </c>
      <c r="AZB516" s="8" t="s">
        <v>4807</v>
      </c>
      <c r="AZC516" s="8" t="s">
        <v>4807</v>
      </c>
      <c r="BCH516" s="8" t="s">
        <v>4787</v>
      </c>
      <c r="BED516" s="8" t="s">
        <v>4787</v>
      </c>
      <c r="BEE516" s="8" t="s">
        <v>4787</v>
      </c>
      <c r="BPP516" s="8" t="s">
        <v>198</v>
      </c>
      <c r="CLT516" s="8" t="s">
        <v>4407</v>
      </c>
    </row>
    <row r="517" spans="1:923 1352:2024 2218:3032 3128:4040">
      <c r="A517" s="8" t="s">
        <v>1297</v>
      </c>
      <c r="B517" s="10" t="s">
        <v>13953</v>
      </c>
      <c r="C517" s="8">
        <v>663.33</v>
      </c>
      <c r="D517" s="15">
        <v>7.14</v>
      </c>
      <c r="ZB517" s="8" t="s">
        <v>13953</v>
      </c>
      <c r="AYZ517" s="8" t="s">
        <v>5259</v>
      </c>
      <c r="BCR517" s="8" t="s">
        <v>5259</v>
      </c>
      <c r="BCW517" s="8" t="s">
        <v>4788</v>
      </c>
      <c r="BEN517" s="8" t="s">
        <v>4808</v>
      </c>
      <c r="BEO517" s="8" t="s">
        <v>4808</v>
      </c>
      <c r="BES517" s="8" t="s">
        <v>4788</v>
      </c>
      <c r="BET517" s="8" t="s">
        <v>4788</v>
      </c>
      <c r="BRL517" s="8" t="s">
        <v>199</v>
      </c>
      <c r="DAN517" s="8" t="s">
        <v>4408</v>
      </c>
    </row>
    <row r="518" spans="1:923 1352:2024 2218:3032 3128:4040">
      <c r="A518" s="8" t="s">
        <v>1297</v>
      </c>
      <c r="B518" s="10" t="s">
        <v>13954</v>
      </c>
      <c r="C518" s="8">
        <v>664.62</v>
      </c>
      <c r="D518" s="15">
        <v>18.86</v>
      </c>
      <c r="ZO518" s="8" t="s">
        <v>13954</v>
      </c>
      <c r="AZI518" s="8" t="s">
        <v>838</v>
      </c>
      <c r="BAV518" s="8" t="s">
        <v>5260</v>
      </c>
      <c r="BBE518" s="8" t="s">
        <v>838</v>
      </c>
      <c r="BCR518" s="8" t="s">
        <v>4789</v>
      </c>
      <c r="BCS518" s="8" t="s">
        <v>4789</v>
      </c>
      <c r="BEN518" s="8" t="s">
        <v>5260</v>
      </c>
      <c r="BEO518" s="8" t="s">
        <v>4789</v>
      </c>
      <c r="BHO518" s="8" t="s">
        <v>4809</v>
      </c>
      <c r="BHP518" s="8" t="s">
        <v>4809</v>
      </c>
      <c r="BUI518" s="8" t="s">
        <v>200</v>
      </c>
      <c r="DCJ518" s="8" t="s">
        <v>4409</v>
      </c>
    </row>
    <row r="519" spans="1:923 1352:2024 2218:3032 3128:4040">
      <c r="A519" s="8" t="s">
        <v>1297</v>
      </c>
      <c r="B519" s="10" t="s">
        <v>13955</v>
      </c>
      <c r="C519" s="8">
        <v>673.14</v>
      </c>
      <c r="D519" s="15">
        <v>142.86000000000001</v>
      </c>
      <c r="AER519" s="8" t="s">
        <v>13955</v>
      </c>
      <c r="AYZ519" s="8" t="s">
        <v>10124</v>
      </c>
      <c r="AZI519" s="8" t="s">
        <v>839</v>
      </c>
      <c r="BAG519" s="8" t="s">
        <v>839</v>
      </c>
      <c r="BBE519" s="8" t="s">
        <v>188</v>
      </c>
      <c r="BCC519" s="8" t="s">
        <v>839</v>
      </c>
      <c r="BIB519" s="8" t="s">
        <v>4790</v>
      </c>
      <c r="BIC519" s="8" t="s">
        <v>4790</v>
      </c>
      <c r="BJX519" s="8" t="s">
        <v>4790</v>
      </c>
      <c r="BJY519" s="8" t="s">
        <v>4790</v>
      </c>
      <c r="BJZ519" s="8" t="s">
        <v>4790</v>
      </c>
      <c r="BKB519" s="8" t="s">
        <v>5305</v>
      </c>
      <c r="BKC519" s="8" t="s">
        <v>5305</v>
      </c>
      <c r="BUX519" s="8" t="s">
        <v>201</v>
      </c>
      <c r="DCJ519" s="8" t="s">
        <v>4410</v>
      </c>
    </row>
    <row r="520" spans="1:923 1352:2024 2218:3032 3128:4040">
      <c r="A520" s="8" t="s">
        <v>1297</v>
      </c>
      <c r="B520" s="10" t="s">
        <v>10801</v>
      </c>
      <c r="C520" s="8">
        <v>677.14</v>
      </c>
      <c r="D520" s="15">
        <v>42.86</v>
      </c>
      <c r="AAZ520" s="8" t="s">
        <v>10801</v>
      </c>
      <c r="AZP520" s="8" t="s">
        <v>195</v>
      </c>
      <c r="BAE520" s="8" t="s">
        <v>189</v>
      </c>
      <c r="BAG520" s="8" t="s">
        <v>840</v>
      </c>
      <c r="BCA520" s="8" t="s">
        <v>840</v>
      </c>
      <c r="BCC520" s="8" t="s">
        <v>189</v>
      </c>
      <c r="BDW520" s="8" t="s">
        <v>840</v>
      </c>
      <c r="BKB520" s="8" t="s">
        <v>4791</v>
      </c>
      <c r="BKC520" s="8" t="s">
        <v>4791</v>
      </c>
      <c r="BLK520" s="8" t="s">
        <v>4810</v>
      </c>
      <c r="BLL520" s="8" t="s">
        <v>4810</v>
      </c>
      <c r="BLX520" s="8" t="s">
        <v>4791</v>
      </c>
      <c r="BLY520" s="8" t="s">
        <v>4791</v>
      </c>
      <c r="BVD520" s="8" t="s">
        <v>202</v>
      </c>
      <c r="DEF520" s="8" t="s">
        <v>4411</v>
      </c>
    </row>
    <row r="521" spans="1:923 1352:2024 2218:3032 3128:4040">
      <c r="A521" s="8" t="s">
        <v>1297</v>
      </c>
      <c r="B521" s="10" t="s">
        <v>10802</v>
      </c>
      <c r="C521" s="8">
        <v>749.33</v>
      </c>
      <c r="D521" s="15">
        <v>66.67</v>
      </c>
      <c r="AER521" s="8" t="s">
        <v>10802</v>
      </c>
      <c r="BAA521" s="8" t="s">
        <v>196</v>
      </c>
      <c r="BBE521" s="8" t="s">
        <v>187</v>
      </c>
      <c r="BCG521" s="8" t="s">
        <v>841</v>
      </c>
      <c r="BDW521" s="8" t="s">
        <v>841</v>
      </c>
      <c r="BEC521" s="8" t="s">
        <v>841</v>
      </c>
      <c r="BEU521" s="8" t="s">
        <v>190</v>
      </c>
      <c r="BLO521" s="8" t="s">
        <v>4811</v>
      </c>
      <c r="BLP521" s="8" t="s">
        <v>4811</v>
      </c>
      <c r="BMU521" s="8" t="s">
        <v>4792</v>
      </c>
      <c r="BMV521" s="8" t="s">
        <v>4792</v>
      </c>
      <c r="BOQ521" s="8" t="s">
        <v>4792</v>
      </c>
      <c r="BOR521" s="8" t="s">
        <v>4792</v>
      </c>
      <c r="CGH521" s="8" t="s">
        <v>203</v>
      </c>
      <c r="DEF521" s="8" t="s">
        <v>4412</v>
      </c>
    </row>
    <row r="522" spans="1:923 1352:2024 2218:3032 3128:4040">
      <c r="A522" s="8" t="s">
        <v>1297</v>
      </c>
      <c r="B522" s="10" t="s">
        <v>10803</v>
      </c>
      <c r="C522" s="8">
        <v>762.14</v>
      </c>
      <c r="D522" s="15">
        <v>1.43</v>
      </c>
      <c r="ACR522" s="19" t="s">
        <v>10803</v>
      </c>
      <c r="AYZ522" s="8" t="s">
        <v>10125</v>
      </c>
      <c r="BAP522" s="8" t="s">
        <v>197</v>
      </c>
      <c r="BAV522" s="8" t="s">
        <v>3185</v>
      </c>
      <c r="BCC522" s="8" t="s">
        <v>188</v>
      </c>
      <c r="BCG522" s="8" t="s">
        <v>842</v>
      </c>
      <c r="BCJ522" s="8" t="s">
        <v>191</v>
      </c>
      <c r="BEC522" s="8" t="s">
        <v>191</v>
      </c>
      <c r="BEF522" s="8" t="s">
        <v>842</v>
      </c>
      <c r="BGB522" s="8" t="s">
        <v>842</v>
      </c>
      <c r="BLR522" s="8" t="s">
        <v>4812</v>
      </c>
      <c r="BLS522" s="8" t="s">
        <v>4812</v>
      </c>
      <c r="BNT522" s="8" t="s">
        <v>4793</v>
      </c>
      <c r="BPP522" s="8" t="s">
        <v>4793</v>
      </c>
      <c r="BPQ522" s="8" t="s">
        <v>4793</v>
      </c>
      <c r="CHV522" s="8" t="s">
        <v>204</v>
      </c>
      <c r="DLP522" s="8" t="s">
        <v>4413</v>
      </c>
    </row>
    <row r="523" spans="1:923 1352:2024 2218:3032 3128:4040">
      <c r="A523" s="8" t="s">
        <v>1297</v>
      </c>
      <c r="B523" s="10" t="s">
        <v>10804</v>
      </c>
      <c r="C523" s="8">
        <v>762.47</v>
      </c>
      <c r="D523" s="15">
        <v>7.14</v>
      </c>
      <c r="ACX523" s="8" t="s">
        <v>10804</v>
      </c>
      <c r="AYZ523" s="8" t="s">
        <v>3186</v>
      </c>
      <c r="BAN523" s="8" t="s">
        <v>192</v>
      </c>
      <c r="BAV523" s="8" t="s">
        <v>3186</v>
      </c>
      <c r="BCR523" s="8" t="s">
        <v>199</v>
      </c>
      <c r="BDW523" s="8" t="s">
        <v>189</v>
      </c>
      <c r="BEI523" s="8" t="s">
        <v>843</v>
      </c>
      <c r="BEN523" s="8" t="s">
        <v>10817</v>
      </c>
      <c r="BGB523" s="8" t="s">
        <v>843</v>
      </c>
      <c r="BGE523" s="8" t="s">
        <v>843</v>
      </c>
      <c r="BGH523" s="8" t="s">
        <v>192</v>
      </c>
      <c r="BGJ523" s="8" t="s">
        <v>10126</v>
      </c>
      <c r="BLX523" s="8" t="s">
        <v>4813</v>
      </c>
      <c r="BLY523" s="8" t="s">
        <v>4813</v>
      </c>
      <c r="BNH523" s="8" t="s">
        <v>4794</v>
      </c>
      <c r="BPD523" s="8" t="s">
        <v>4794</v>
      </c>
      <c r="BPE523" s="8" t="s">
        <v>4794</v>
      </c>
      <c r="CIB523" s="8" t="s">
        <v>205</v>
      </c>
      <c r="DPH523" s="8" t="s">
        <v>4641</v>
      </c>
    </row>
    <row r="524" spans="1:923 1352:2024 2218:3032 3128:4040">
      <c r="A524" s="8" t="s">
        <v>1297</v>
      </c>
      <c r="B524" s="10" t="s">
        <v>10805</v>
      </c>
      <c r="C524" s="8">
        <v>766.57</v>
      </c>
      <c r="D524" s="15">
        <v>1.43</v>
      </c>
      <c r="ACV524" s="8" t="s">
        <v>10805</v>
      </c>
      <c r="AYZ524" s="8" t="s">
        <v>3187</v>
      </c>
      <c r="BAQ524" s="8" t="s">
        <v>193</v>
      </c>
      <c r="BAV524" s="8" t="s">
        <v>3187</v>
      </c>
      <c r="BCR524" s="8" t="s">
        <v>200</v>
      </c>
      <c r="BEC524" s="8" t="s">
        <v>190</v>
      </c>
      <c r="BEI524" s="8" t="s">
        <v>844</v>
      </c>
      <c r="BEN524" s="8" t="s">
        <v>10818</v>
      </c>
      <c r="BGE524" s="8" t="s">
        <v>193</v>
      </c>
      <c r="BGJ524" s="8" t="s">
        <v>10127</v>
      </c>
      <c r="BIF524" s="8" t="s">
        <v>200</v>
      </c>
      <c r="BPF524" s="8" t="s">
        <v>4795</v>
      </c>
      <c r="BPG524" s="8" t="s">
        <v>4795</v>
      </c>
      <c r="BRB524" s="8" t="s">
        <v>4795</v>
      </c>
      <c r="BRC524" s="8" t="s">
        <v>4795</v>
      </c>
      <c r="BRK524" s="8" t="s">
        <v>4814</v>
      </c>
      <c r="BRL524" s="8" t="s">
        <v>4814</v>
      </c>
      <c r="CJX524" s="8" t="s">
        <v>206</v>
      </c>
      <c r="DUV524" s="8" t="s">
        <v>4414</v>
      </c>
    </row>
    <row r="525" spans="1:923 1352:2024 2218:3032 3128:4040">
      <c r="A525" s="8" t="s">
        <v>1297</v>
      </c>
      <c r="B525" s="10" t="s">
        <v>13956</v>
      </c>
      <c r="C525" s="8">
        <v>773.83</v>
      </c>
      <c r="D525" s="15">
        <v>2.36</v>
      </c>
      <c r="ADD525" s="8" t="s">
        <v>13956</v>
      </c>
      <c r="BAA525" s="8" t="s">
        <v>1933</v>
      </c>
      <c r="BAV525" s="8" t="s">
        <v>3188</v>
      </c>
      <c r="BBW525" s="8" t="s">
        <v>1503</v>
      </c>
      <c r="BCR525" s="8" t="s">
        <v>3188</v>
      </c>
      <c r="BEW525" s="8" t="s">
        <v>194</v>
      </c>
      <c r="BFO525" s="8" t="s">
        <v>201</v>
      </c>
      <c r="BFX525" s="8" t="s">
        <v>10819</v>
      </c>
      <c r="BGB525" s="8" t="s">
        <v>191</v>
      </c>
      <c r="BGJ525" s="8" t="s">
        <v>845</v>
      </c>
      <c r="BGZ525" s="8" t="s">
        <v>845</v>
      </c>
      <c r="BHK525" s="8" t="s">
        <v>201</v>
      </c>
      <c r="BHT525" s="8" t="s">
        <v>10128</v>
      </c>
      <c r="BIF525" s="8" t="s">
        <v>194</v>
      </c>
      <c r="BIV525" s="8" t="s">
        <v>845</v>
      </c>
      <c r="BJG525" s="8" t="s">
        <v>201</v>
      </c>
      <c r="BLC525" s="8" t="s">
        <v>201</v>
      </c>
      <c r="BPP525" s="8" t="s">
        <v>4796</v>
      </c>
      <c r="BRL525" s="8" t="s">
        <v>4796</v>
      </c>
      <c r="BRM525" s="8" t="s">
        <v>4796</v>
      </c>
      <c r="BSD525" s="8" t="s">
        <v>4815</v>
      </c>
      <c r="BSE525" s="8" t="s">
        <v>4815</v>
      </c>
      <c r="CPH525" s="8" t="s">
        <v>207</v>
      </c>
      <c r="EWN525" s="8" t="s">
        <v>4415</v>
      </c>
    </row>
    <row r="526" spans="1:923 1352:2024 2218:3032 3128:4040">
      <c r="A526" s="8" t="s">
        <v>1297</v>
      </c>
      <c r="B526" s="10" t="s">
        <v>13957</v>
      </c>
      <c r="C526" s="8">
        <v>808.5</v>
      </c>
      <c r="D526" s="15">
        <v>7.5</v>
      </c>
      <c r="AER526" s="8" t="s">
        <v>13957</v>
      </c>
      <c r="BAP526" s="8" t="s">
        <v>1934</v>
      </c>
      <c r="BCL526" s="8" t="s">
        <v>1504</v>
      </c>
      <c r="BCR526" s="8" t="s">
        <v>3189</v>
      </c>
      <c r="BDH526" s="8" t="s">
        <v>195</v>
      </c>
      <c r="BEN526" s="8" t="s">
        <v>3189</v>
      </c>
      <c r="BGD526" s="8" t="s">
        <v>202</v>
      </c>
      <c r="BGE526" s="8" t="s">
        <v>192</v>
      </c>
      <c r="BGY526" s="8" t="s">
        <v>10820</v>
      </c>
      <c r="BHK526" s="8" t="s">
        <v>846</v>
      </c>
      <c r="BHZ526" s="8" t="s">
        <v>202</v>
      </c>
      <c r="BIU526" s="8" t="s">
        <v>10129</v>
      </c>
      <c r="BIV526" s="8" t="s">
        <v>846</v>
      </c>
      <c r="BJG526" s="8" t="s">
        <v>846</v>
      </c>
      <c r="BJK526" s="8" t="s">
        <v>195</v>
      </c>
      <c r="BJV526" s="8" t="s">
        <v>202</v>
      </c>
      <c r="BLR526" s="8" t="s">
        <v>202</v>
      </c>
      <c r="BTB526" s="8" t="s">
        <v>4816</v>
      </c>
      <c r="BTC526" s="8" t="s">
        <v>4816</v>
      </c>
      <c r="CTD526" s="8" t="s">
        <v>4797</v>
      </c>
      <c r="CUZ526" s="8" t="s">
        <v>4797</v>
      </c>
      <c r="CVA526" s="8" t="s">
        <v>4797</v>
      </c>
      <c r="EAJ526" s="8" t="s">
        <v>208</v>
      </c>
      <c r="EYJ526" s="8" t="s">
        <v>4416</v>
      </c>
    </row>
    <row r="527" spans="1:923 1352:2024 2218:3032 3128:4040">
      <c r="A527" s="8" t="s">
        <v>1297</v>
      </c>
      <c r="B527" s="10" t="s">
        <v>13958</v>
      </c>
      <c r="C527" s="8">
        <v>908.64</v>
      </c>
      <c r="D527" s="15">
        <v>2.36</v>
      </c>
      <c r="AII527" s="8" t="s">
        <v>13958</v>
      </c>
      <c r="BAV527" s="8" t="s">
        <v>1935</v>
      </c>
      <c r="BCR527" s="8" t="s">
        <v>1505</v>
      </c>
      <c r="BDS527" s="8" t="s">
        <v>196</v>
      </c>
      <c r="BEN527" s="8" t="s">
        <v>3190</v>
      </c>
      <c r="BGJ527" s="8" t="s">
        <v>3190</v>
      </c>
      <c r="BHF527" s="8" t="s">
        <v>10821</v>
      </c>
      <c r="BHZ527" s="8" t="s">
        <v>847</v>
      </c>
      <c r="BIF527" s="8" t="s">
        <v>203</v>
      </c>
      <c r="BJB527" s="8" t="s">
        <v>10130</v>
      </c>
      <c r="BJG527" s="8" t="s">
        <v>847</v>
      </c>
      <c r="BJQ527" s="8" t="s">
        <v>196</v>
      </c>
      <c r="BJV527" s="8" t="s">
        <v>847</v>
      </c>
      <c r="BKB527" s="8" t="s">
        <v>203</v>
      </c>
      <c r="BLX527" s="8" t="s">
        <v>203</v>
      </c>
      <c r="CJX527" s="8" t="s">
        <v>4817</v>
      </c>
      <c r="CJY527" s="8" t="s">
        <v>4817</v>
      </c>
      <c r="CWV527" s="8" t="s">
        <v>4798</v>
      </c>
      <c r="CWW527" s="8" t="s">
        <v>4798</v>
      </c>
      <c r="CYR527" s="8" t="s">
        <v>4798</v>
      </c>
      <c r="CYS527" s="8" t="s">
        <v>4798</v>
      </c>
      <c r="EEB527" s="8" t="s">
        <v>209</v>
      </c>
    </row>
    <row r="528" spans="1:923 1352:2024 2218:3032 3128:4040">
      <c r="A528" s="8" t="s">
        <v>1297</v>
      </c>
      <c r="B528" s="10" t="s">
        <v>10806</v>
      </c>
      <c r="C528" s="8">
        <v>912</v>
      </c>
      <c r="D528" s="15">
        <v>3.14</v>
      </c>
      <c r="AIM528" s="8" t="s">
        <v>10806</v>
      </c>
      <c r="BEH528" s="8" t="s">
        <v>197</v>
      </c>
      <c r="BHY528" s="8" t="s">
        <v>10822</v>
      </c>
      <c r="BIF528" s="8" t="s">
        <v>1936</v>
      </c>
      <c r="BIV528" s="8" t="s">
        <v>194</v>
      </c>
      <c r="BJU528" s="8" t="s">
        <v>10131</v>
      </c>
      <c r="BJV528" s="8" t="s">
        <v>848</v>
      </c>
      <c r="BKB528" s="8" t="s">
        <v>1506</v>
      </c>
      <c r="BKK528" s="8" t="s">
        <v>197</v>
      </c>
      <c r="BNT528" s="8" t="s">
        <v>186</v>
      </c>
      <c r="BON528" s="8" t="s">
        <v>3191</v>
      </c>
      <c r="BPP528" s="8" t="s">
        <v>186</v>
      </c>
      <c r="BQJ528" s="8" t="s">
        <v>3191</v>
      </c>
      <c r="BRL528" s="8" t="s">
        <v>186</v>
      </c>
      <c r="BTH528" s="8" t="s">
        <v>186</v>
      </c>
      <c r="CKM528" s="8" t="s">
        <v>4818</v>
      </c>
      <c r="CKN528" s="8" t="s">
        <v>4818</v>
      </c>
      <c r="DAN528" s="8" t="s">
        <v>4799</v>
      </c>
      <c r="DAO528" s="8" t="s">
        <v>4799</v>
      </c>
      <c r="DCJ528" s="8" t="s">
        <v>4799</v>
      </c>
      <c r="DCK528" s="8" t="s">
        <v>4799</v>
      </c>
    </row>
    <row r="529" spans="1:1000 1042:2024 2068:3032 3080:4041 4328:4329 6891:6920">
      <c r="A529" s="8" t="s">
        <v>1297</v>
      </c>
      <c r="B529" s="10" t="s">
        <v>13959</v>
      </c>
      <c r="C529" s="8">
        <v>941.93</v>
      </c>
      <c r="D529" s="15">
        <v>3.93</v>
      </c>
      <c r="AJR529" s="8" t="s">
        <v>13959</v>
      </c>
      <c r="BDV529" s="8" t="s">
        <v>198</v>
      </c>
      <c r="BEN529" s="8" t="s">
        <v>198</v>
      </c>
      <c r="BIF529" s="8" t="s">
        <v>10823</v>
      </c>
      <c r="BJG529" s="8" t="s">
        <v>195</v>
      </c>
      <c r="BKB529" s="8" t="s">
        <v>10132</v>
      </c>
      <c r="BLT529" s="8" t="s">
        <v>1937</v>
      </c>
      <c r="BNP529" s="8" t="s">
        <v>1507</v>
      </c>
      <c r="BNT529" s="8" t="s">
        <v>849</v>
      </c>
      <c r="BPP529" s="8" t="s">
        <v>3192</v>
      </c>
      <c r="BRH529" s="8" t="s">
        <v>1362</v>
      </c>
      <c r="BRL529" s="8" t="s">
        <v>3192</v>
      </c>
      <c r="BTD529" s="8" t="s">
        <v>1362</v>
      </c>
      <c r="BUZ529" s="8" t="s">
        <v>1362</v>
      </c>
      <c r="BWV529" s="8" t="s">
        <v>1362</v>
      </c>
      <c r="CWV529" s="8" t="s">
        <v>4819</v>
      </c>
      <c r="CWW529" s="8" t="s">
        <v>4819</v>
      </c>
      <c r="DEF529" s="8" t="s">
        <v>4800</v>
      </c>
      <c r="DEG529" s="8" t="s">
        <v>4800</v>
      </c>
      <c r="DGB529" s="8" t="s">
        <v>4800</v>
      </c>
      <c r="DGC529" s="8" t="s">
        <v>4800</v>
      </c>
    </row>
    <row r="530" spans="1:1000 1042:2024 2068:3032 3080:4041 4328:4329 6891:6920">
      <c r="A530" s="8" t="s">
        <v>1297</v>
      </c>
      <c r="B530" s="10" t="s">
        <v>10807</v>
      </c>
      <c r="C530" s="8">
        <v>946.86</v>
      </c>
      <c r="D530" s="15">
        <v>157.13999999999999</v>
      </c>
      <c r="APT530" s="8" t="s">
        <v>10807</v>
      </c>
      <c r="AZV530" s="8" t="s">
        <v>5261</v>
      </c>
      <c r="BJV530" s="8" t="s">
        <v>196</v>
      </c>
      <c r="BKB530" s="8" t="s">
        <v>10824</v>
      </c>
      <c r="BLX530" s="8" t="s">
        <v>10133</v>
      </c>
      <c r="BLZ530" s="8" t="s">
        <v>1938</v>
      </c>
      <c r="BNT530" s="8" t="s">
        <v>850</v>
      </c>
      <c r="BNV530" s="8" t="s">
        <v>1508</v>
      </c>
      <c r="BOM530" s="8" t="s">
        <v>199</v>
      </c>
      <c r="BPP530" s="8" t="s">
        <v>850</v>
      </c>
      <c r="BQJ530" s="8" t="s">
        <v>3193</v>
      </c>
      <c r="BRL530" s="8" t="s">
        <v>850</v>
      </c>
      <c r="BRN530" s="8" t="s">
        <v>204</v>
      </c>
      <c r="BSF530" s="8" t="s">
        <v>3193</v>
      </c>
      <c r="BTJ530" s="8" t="s">
        <v>204</v>
      </c>
      <c r="BVF530" s="8" t="s">
        <v>204</v>
      </c>
      <c r="BXB530" s="8" t="s">
        <v>204</v>
      </c>
      <c r="DHX530" s="8" t="s">
        <v>4820</v>
      </c>
      <c r="DHY530" s="8" t="s">
        <v>4820</v>
      </c>
      <c r="DLP530" s="8" t="s">
        <v>4801</v>
      </c>
      <c r="DNL530" s="8" t="s">
        <v>4801</v>
      </c>
      <c r="DNM530" s="8" t="s">
        <v>4801</v>
      </c>
    </row>
    <row r="531" spans="1:1000 1042:2024 2068:3032 3080:4041 4328:4329 6891:6920">
      <c r="A531" s="8" t="s">
        <v>1297</v>
      </c>
      <c r="B531" s="10" t="s">
        <v>10808</v>
      </c>
      <c r="C531" s="8">
        <v>952.86</v>
      </c>
      <c r="D531" s="15">
        <v>7.14</v>
      </c>
      <c r="AKF531" s="8" t="s">
        <v>10808</v>
      </c>
      <c r="BBS531" s="8" t="s">
        <v>5262</v>
      </c>
      <c r="BKB531" s="8" t="s">
        <v>197</v>
      </c>
      <c r="BLX531" s="8" t="s">
        <v>200</v>
      </c>
      <c r="BMY531" s="8" t="s">
        <v>200</v>
      </c>
      <c r="BNN531" s="8" t="s">
        <v>1939</v>
      </c>
      <c r="BNT531" s="8" t="s">
        <v>851</v>
      </c>
      <c r="BPJ531" s="8" t="s">
        <v>1509</v>
      </c>
      <c r="BPP531" s="8" t="s">
        <v>10825</v>
      </c>
      <c r="BRL531" s="8" t="s">
        <v>10134</v>
      </c>
      <c r="BSM531" s="8" t="s">
        <v>851</v>
      </c>
      <c r="BTB531" s="8" t="s">
        <v>205</v>
      </c>
      <c r="BTH531" s="8" t="s">
        <v>3194</v>
      </c>
      <c r="BUI531" s="8" t="s">
        <v>851</v>
      </c>
      <c r="BUX531" s="8" t="s">
        <v>205</v>
      </c>
      <c r="BWT531" s="8" t="s">
        <v>205</v>
      </c>
      <c r="BYP531" s="8" t="s">
        <v>205</v>
      </c>
      <c r="DSZ531" s="8" t="s">
        <v>4821</v>
      </c>
      <c r="DTA531" s="8" t="s">
        <v>4821</v>
      </c>
      <c r="EAJ531" s="8" t="s">
        <v>4802</v>
      </c>
      <c r="ECF531" s="8" t="s">
        <v>4802</v>
      </c>
      <c r="ECG531" s="8" t="s">
        <v>4802</v>
      </c>
    </row>
    <row r="532" spans="1:1000 1042:2024 2068:3032 3080:4041 4328:4329 6891:6920">
      <c r="A532" s="8" t="s">
        <v>1297</v>
      </c>
      <c r="B532" s="10" t="s">
        <v>10809</v>
      </c>
      <c r="C532" s="8">
        <v>953.14</v>
      </c>
      <c r="D532" s="15">
        <v>7.86</v>
      </c>
      <c r="AKG532" s="8" t="s">
        <v>10809</v>
      </c>
      <c r="AZA532" s="8" t="s">
        <v>5263</v>
      </c>
      <c r="BCS532" s="8" t="s">
        <v>5263</v>
      </c>
      <c r="BNT532" s="8" t="s">
        <v>1940</v>
      </c>
      <c r="BOU532" s="8" t="s">
        <v>201</v>
      </c>
      <c r="BPP532" s="8" t="s">
        <v>1510</v>
      </c>
      <c r="BRL532" s="8" t="s">
        <v>3195</v>
      </c>
      <c r="BTB532" s="8" t="s">
        <v>852</v>
      </c>
      <c r="BTC532" s="8" t="s">
        <v>10826</v>
      </c>
      <c r="BTH532" s="8" t="s">
        <v>3195</v>
      </c>
      <c r="BUI532" s="8" t="s">
        <v>852</v>
      </c>
      <c r="BUO532" s="8" t="s">
        <v>201</v>
      </c>
      <c r="BUX532" s="8" t="s">
        <v>852</v>
      </c>
      <c r="BUY532" s="8" t="s">
        <v>10135</v>
      </c>
      <c r="BVD532" s="8" t="s">
        <v>206</v>
      </c>
      <c r="BWZ532" s="8" t="s">
        <v>206</v>
      </c>
      <c r="BYV532" s="8" t="s">
        <v>206</v>
      </c>
      <c r="DWL532" s="8" t="s">
        <v>4822</v>
      </c>
      <c r="DWM532" s="8" t="s">
        <v>4822</v>
      </c>
    </row>
    <row r="533" spans="1:1000 1042:2024 2068:3032 3080:4041 4328:4329 6891:6920">
      <c r="A533" s="8" t="s">
        <v>1297</v>
      </c>
      <c r="B533" s="10" t="s">
        <v>10810</v>
      </c>
      <c r="C533" s="8">
        <v>988.54</v>
      </c>
      <c r="D533" s="15">
        <v>3.93</v>
      </c>
      <c r="ALL533" s="8" t="s">
        <v>10810</v>
      </c>
      <c r="AZN533" s="8" t="s">
        <v>5264</v>
      </c>
      <c r="BDF533" s="8" t="s">
        <v>5264</v>
      </c>
      <c r="BPJ533" s="8" t="s">
        <v>202</v>
      </c>
      <c r="BPP533" s="8" t="s">
        <v>1941</v>
      </c>
      <c r="BRL533" s="8" t="s">
        <v>1511</v>
      </c>
      <c r="BTH533" s="8" t="s">
        <v>10827</v>
      </c>
      <c r="BUX533" s="8" t="s">
        <v>853</v>
      </c>
      <c r="BVD533" s="8" t="s">
        <v>10136</v>
      </c>
      <c r="BVM533" s="8" t="s">
        <v>202</v>
      </c>
      <c r="BWZ533" s="8" t="s">
        <v>207</v>
      </c>
      <c r="BYV533" s="8" t="s">
        <v>207</v>
      </c>
      <c r="CAR533" s="8" t="s">
        <v>207</v>
      </c>
      <c r="DWR533" s="8" t="s">
        <v>4823</v>
      </c>
      <c r="DWS533" s="8" t="s">
        <v>4823</v>
      </c>
    </row>
    <row r="534" spans="1:1000 1042:2024 2068:3032 3080:4041 4328:4329 6891:6920">
      <c r="A534" s="8" t="s">
        <v>1297</v>
      </c>
      <c r="B534" s="10" t="s">
        <v>10811</v>
      </c>
      <c r="C534" s="8">
        <v>997.86</v>
      </c>
      <c r="D534" s="15">
        <v>35.71</v>
      </c>
      <c r="ANB534" s="8" t="s">
        <v>10811</v>
      </c>
      <c r="AYZ534" s="8" t="s">
        <v>3185</v>
      </c>
      <c r="BAM534" s="8" t="s">
        <v>5265</v>
      </c>
      <c r="BEE534" s="8" t="s">
        <v>5265</v>
      </c>
      <c r="BKB534" s="8" t="s">
        <v>854</v>
      </c>
      <c r="BKD534" s="8" t="s">
        <v>203</v>
      </c>
      <c r="BPP534" s="8" t="s">
        <v>203</v>
      </c>
      <c r="BUI534" s="8" t="s">
        <v>200</v>
      </c>
      <c r="BUZ534" s="8" t="s">
        <v>1942</v>
      </c>
      <c r="BVD534" s="8" t="s">
        <v>10828</v>
      </c>
      <c r="BWV534" s="8" t="s">
        <v>1512</v>
      </c>
      <c r="BWZ534" s="8" t="s">
        <v>10137</v>
      </c>
      <c r="CAN534" s="8" t="s">
        <v>208</v>
      </c>
      <c r="CCJ534" s="8" t="s">
        <v>208</v>
      </c>
      <c r="CEF534" s="8" t="s">
        <v>208</v>
      </c>
      <c r="CEL534" s="8" t="s">
        <v>854</v>
      </c>
      <c r="CGB534" s="8" t="s">
        <v>208</v>
      </c>
      <c r="CGH534" s="8" t="s">
        <v>854</v>
      </c>
      <c r="EHT534" s="8" t="s">
        <v>4824</v>
      </c>
      <c r="EHU534" s="8" t="s">
        <v>4824</v>
      </c>
    </row>
    <row r="535" spans="1:1000 1042:2024 2068:3032 3080:4041 4328:4329 6891:6920">
      <c r="A535" s="8" t="s">
        <v>1297</v>
      </c>
      <c r="B535" s="10" t="s">
        <v>10812</v>
      </c>
      <c r="C535" s="8">
        <v>1034.57</v>
      </c>
      <c r="D535" s="15">
        <v>21.43</v>
      </c>
      <c r="ANX535" s="8" t="s">
        <v>10812</v>
      </c>
      <c r="AYZ535" s="8" t="s">
        <v>3186</v>
      </c>
      <c r="BBX535" s="8" t="s">
        <v>5266</v>
      </c>
      <c r="BFP535" s="8" t="s">
        <v>5266</v>
      </c>
      <c r="BUX535" s="8" t="s">
        <v>201</v>
      </c>
      <c r="CAT535" s="8" t="s">
        <v>204</v>
      </c>
      <c r="CBY535" s="8" t="s">
        <v>10829</v>
      </c>
      <c r="CDU535" s="8" t="s">
        <v>10138</v>
      </c>
      <c r="CDZ535" s="8" t="s">
        <v>204</v>
      </c>
      <c r="CEJ535" s="8" t="s">
        <v>3198</v>
      </c>
      <c r="CEL535" s="8" t="s">
        <v>855</v>
      </c>
      <c r="CFZ535" s="8" t="s">
        <v>855</v>
      </c>
      <c r="CGF535" s="8" t="s">
        <v>3198</v>
      </c>
      <c r="CGH535" s="8" t="s">
        <v>204</v>
      </c>
      <c r="CHV535" s="8" t="s">
        <v>855</v>
      </c>
      <c r="DGB535" s="8" t="s">
        <v>1943</v>
      </c>
      <c r="DHX535" s="8" t="s">
        <v>1513</v>
      </c>
      <c r="DLP535" s="8" t="s">
        <v>209</v>
      </c>
      <c r="DNL535" s="8" t="s">
        <v>209</v>
      </c>
      <c r="DPH535" s="8" t="s">
        <v>209</v>
      </c>
      <c r="DRD535" s="8" t="s">
        <v>209</v>
      </c>
      <c r="EJP535" s="8" t="s">
        <v>4825</v>
      </c>
      <c r="EJQ535" s="8" t="s">
        <v>4825</v>
      </c>
    </row>
    <row r="536" spans="1:1000 1042:2024 2068:3032 3080:4041 4328:4329 6891:6920">
      <c r="A536" s="8" t="s">
        <v>1297</v>
      </c>
      <c r="B536" s="10" t="s">
        <v>13960</v>
      </c>
      <c r="C536" s="8">
        <v>1084.27</v>
      </c>
      <c r="D536" s="15">
        <v>5</v>
      </c>
      <c r="APE536" s="8" t="s">
        <v>13960</v>
      </c>
      <c r="AYZ536" s="8" t="s">
        <v>3187</v>
      </c>
      <c r="BDV536" s="8" t="s">
        <v>5267</v>
      </c>
      <c r="BHN536" s="8" t="s">
        <v>5267</v>
      </c>
      <c r="BVD536" s="8" t="s">
        <v>202</v>
      </c>
      <c r="CCH536" s="8" t="s">
        <v>205</v>
      </c>
      <c r="CCN536" s="8" t="s">
        <v>10830</v>
      </c>
      <c r="CEJ536" s="8" t="s">
        <v>10139</v>
      </c>
      <c r="CGF536" s="8" t="s">
        <v>3199</v>
      </c>
      <c r="CHV536" s="8" t="s">
        <v>856</v>
      </c>
      <c r="CIB536" s="8" t="s">
        <v>3199</v>
      </c>
      <c r="CIG536" s="8" t="s">
        <v>205</v>
      </c>
      <c r="DJT536" s="8" t="s">
        <v>1944</v>
      </c>
      <c r="DLP536" s="8" t="s">
        <v>1514</v>
      </c>
      <c r="DPH536" s="8" t="s">
        <v>210</v>
      </c>
      <c r="DRD536" s="8" t="s">
        <v>210</v>
      </c>
      <c r="DSZ536" s="8" t="s">
        <v>210</v>
      </c>
      <c r="DUV536" s="8" t="s">
        <v>210</v>
      </c>
      <c r="EPD536" s="8" t="s">
        <v>4826</v>
      </c>
      <c r="EPE536" s="8" t="s">
        <v>4826</v>
      </c>
    </row>
    <row r="537" spans="1:1000 1042:2024 2068:3032 3080:4041 4328:4329 6891:6920">
      <c r="A537" s="8" t="s">
        <v>1297</v>
      </c>
      <c r="B537" s="10" t="s">
        <v>10813</v>
      </c>
      <c r="C537" s="8">
        <v>1085.33</v>
      </c>
      <c r="D537" s="15">
        <v>66.67</v>
      </c>
      <c r="ARP537" s="8" t="s">
        <v>10813</v>
      </c>
      <c r="BAV537" s="8" t="s">
        <v>3188</v>
      </c>
      <c r="CCN537" s="8" t="s">
        <v>206</v>
      </c>
      <c r="CEJ537" s="8" t="s">
        <v>10831</v>
      </c>
      <c r="CGA537" s="8" t="s">
        <v>206</v>
      </c>
      <c r="CGF537" s="8" t="s">
        <v>10140</v>
      </c>
      <c r="CGH537" s="8" t="s">
        <v>203</v>
      </c>
      <c r="CIB537" s="8" t="s">
        <v>857</v>
      </c>
      <c r="CJX537" s="8" t="s">
        <v>857</v>
      </c>
      <c r="CTD537" s="8" t="s">
        <v>3200</v>
      </c>
      <c r="CUZ537" s="8" t="s">
        <v>3200</v>
      </c>
      <c r="EYJ537" s="8" t="s">
        <v>4827</v>
      </c>
      <c r="EYK537" s="8" t="s">
        <v>4827</v>
      </c>
    </row>
    <row r="538" spans="1:1000 1042:2024 2068:3032 3080:4041 4328:4329 6891:6920">
      <c r="A538" s="8" t="s">
        <v>1297</v>
      </c>
      <c r="B538" s="10" t="s">
        <v>10814</v>
      </c>
      <c r="C538" s="8">
        <v>1133.71</v>
      </c>
      <c r="D538" s="15">
        <v>3.57</v>
      </c>
      <c r="ARA538" s="8" t="s">
        <v>10814</v>
      </c>
      <c r="AYZ538" s="8" t="s">
        <v>3871</v>
      </c>
      <c r="BAV538" s="8" t="s">
        <v>5501</v>
      </c>
      <c r="BCQ538" s="8" t="s">
        <v>4808</v>
      </c>
      <c r="BCR538" s="8" t="s">
        <v>4808</v>
      </c>
      <c r="BCS538" s="8" t="s">
        <v>4808</v>
      </c>
      <c r="CEJ538" s="8" t="s">
        <v>207</v>
      </c>
      <c r="CGF538" s="8" t="s">
        <v>10832</v>
      </c>
      <c r="CGM538" s="8" t="s">
        <v>207</v>
      </c>
      <c r="CHV538" s="8" t="s">
        <v>204</v>
      </c>
      <c r="CIB538" s="8" t="s">
        <v>10141</v>
      </c>
      <c r="CJX538" s="8" t="s">
        <v>207</v>
      </c>
      <c r="CNL538" s="8" t="s">
        <v>858</v>
      </c>
      <c r="CPH538" s="8" t="s">
        <v>858</v>
      </c>
      <c r="DHX538" s="8" t="s">
        <v>3201</v>
      </c>
      <c r="DJT538" s="8" t="s">
        <v>3201</v>
      </c>
      <c r="FJL538" s="8" t="s">
        <v>4828</v>
      </c>
      <c r="FJM538" s="8" t="s">
        <v>4828</v>
      </c>
    </row>
    <row r="539" spans="1:1000 1042:2024 2068:3032 3080:4041 4328:4329 6891:6920">
      <c r="A539" s="8" t="s">
        <v>1297</v>
      </c>
      <c r="B539" s="10" t="s">
        <v>10815</v>
      </c>
      <c r="C539" s="8">
        <v>1138.29</v>
      </c>
      <c r="D539" s="15">
        <v>3.57</v>
      </c>
      <c r="ARF539" s="8" t="s">
        <v>10815</v>
      </c>
      <c r="AYZ539" s="8" t="s">
        <v>4192</v>
      </c>
      <c r="BAV539" s="8" t="s">
        <v>3651</v>
      </c>
      <c r="BCL539" s="8" t="s">
        <v>208</v>
      </c>
      <c r="BCN539" s="8" t="s">
        <v>859</v>
      </c>
      <c r="BDW539" s="8" t="s">
        <v>5502</v>
      </c>
      <c r="BDX539" s="8" t="s">
        <v>5502</v>
      </c>
      <c r="BEN539" s="8" t="s">
        <v>3190</v>
      </c>
      <c r="BFR539" s="8" t="s">
        <v>4809</v>
      </c>
      <c r="BFT539" s="8" t="s">
        <v>4809</v>
      </c>
      <c r="CIB539" s="8" t="s">
        <v>205</v>
      </c>
      <c r="CJT539" s="8" t="s">
        <v>208</v>
      </c>
      <c r="COQ539" s="8" t="s">
        <v>10833</v>
      </c>
      <c r="CPH539" s="8" t="s">
        <v>208</v>
      </c>
      <c r="CQM539" s="8" t="s">
        <v>10142</v>
      </c>
      <c r="DJT539" s="8" t="s">
        <v>3202</v>
      </c>
      <c r="DLP539" s="8" t="s">
        <v>3202</v>
      </c>
      <c r="DYN539" s="8" t="s">
        <v>859</v>
      </c>
      <c r="EAJ539" s="8" t="s">
        <v>859</v>
      </c>
    </row>
    <row r="540" spans="1:1000 1042:2024 2068:3032 3080:4041 4328:4329 6891:6920">
      <c r="A540" s="8" t="s">
        <v>1297</v>
      </c>
      <c r="B540" s="10" t="s">
        <v>10816</v>
      </c>
      <c r="C540" s="8">
        <v>1144.8599999999999</v>
      </c>
      <c r="D540" s="15">
        <v>7.14</v>
      </c>
      <c r="ARP540" s="8" t="s">
        <v>10816</v>
      </c>
      <c r="BFZ540" s="8" t="s">
        <v>5503</v>
      </c>
      <c r="BHD540" s="8" t="s">
        <v>4399</v>
      </c>
      <c r="BHU540" s="8" t="s">
        <v>5361</v>
      </c>
      <c r="BHV540" s="8" t="s">
        <v>5361</v>
      </c>
      <c r="BHW540" s="8" t="s">
        <v>5361</v>
      </c>
      <c r="BIZ540" s="8" t="s">
        <v>4193</v>
      </c>
      <c r="BKB540" s="8" t="s">
        <v>209</v>
      </c>
      <c r="BKV540" s="8" t="s">
        <v>3652</v>
      </c>
      <c r="BKZ540" s="8" t="s">
        <v>209</v>
      </c>
      <c r="BLX540" s="8" t="s">
        <v>860</v>
      </c>
      <c r="BON540" s="8" t="s">
        <v>3191</v>
      </c>
      <c r="CJX540" s="8" t="s">
        <v>206</v>
      </c>
      <c r="CRH540" s="8" t="s">
        <v>10834</v>
      </c>
      <c r="CTD540" s="8" t="s">
        <v>10143</v>
      </c>
      <c r="DJT540" s="8" t="s">
        <v>3203</v>
      </c>
      <c r="DLP540" s="8" t="s">
        <v>3203</v>
      </c>
      <c r="DUV540" s="8" t="s">
        <v>209</v>
      </c>
      <c r="DWR540" s="8" t="s">
        <v>860</v>
      </c>
      <c r="EAJ540" s="8" t="s">
        <v>209</v>
      </c>
      <c r="ECF540" s="8" t="s">
        <v>860</v>
      </c>
      <c r="EEB540" s="8" t="s">
        <v>860</v>
      </c>
    </row>
    <row r="541" spans="1:1000 1042:2024 2068:3032 3080:4041 4328:4329 6891:6920">
      <c r="A541" s="8" t="s">
        <v>1297</v>
      </c>
      <c r="B541" s="10" t="s">
        <v>13961</v>
      </c>
      <c r="C541" s="8">
        <v>1217.43</v>
      </c>
      <c r="D541" s="15">
        <v>78.569999999999993</v>
      </c>
      <c r="AXD541" s="8" t="s">
        <v>13961</v>
      </c>
      <c r="AYZ541" s="8" t="s">
        <v>6260</v>
      </c>
      <c r="BGJ541" s="8" t="s">
        <v>5504</v>
      </c>
      <c r="BIE541" s="8" t="s">
        <v>5305</v>
      </c>
      <c r="BIF541" s="8" t="s">
        <v>5305</v>
      </c>
      <c r="BIG541" s="8" t="s">
        <v>5305</v>
      </c>
      <c r="BKB541" s="8" t="s">
        <v>4194</v>
      </c>
      <c r="BLX541" s="8" t="s">
        <v>3506</v>
      </c>
      <c r="BMV541" s="8" t="s">
        <v>210</v>
      </c>
      <c r="BNT541" s="8" t="s">
        <v>1263</v>
      </c>
      <c r="BPP541" s="8" t="s">
        <v>3192</v>
      </c>
      <c r="CPH541" s="8" t="s">
        <v>207</v>
      </c>
      <c r="CRH541" s="8" t="s">
        <v>10835</v>
      </c>
      <c r="CTD541" s="8" t="s">
        <v>10144</v>
      </c>
      <c r="DLP541" s="8" t="s">
        <v>3204</v>
      </c>
      <c r="DNL541" s="8" t="s">
        <v>3204</v>
      </c>
      <c r="DYN541" s="8" t="s">
        <v>210</v>
      </c>
      <c r="EEB541" s="8" t="s">
        <v>210</v>
      </c>
      <c r="JEA541" s="8" t="s">
        <v>210</v>
      </c>
      <c r="JFD541" s="8" t="s">
        <v>1263</v>
      </c>
    </row>
    <row r="542" spans="1:1000 1042:2024 2068:3032 3080:4041 4328:4329 6891:6920">
      <c r="A542" s="8" t="s">
        <v>1297</v>
      </c>
      <c r="B542" s="10" t="s">
        <v>10817</v>
      </c>
      <c r="C542" s="8">
        <v>1336.86</v>
      </c>
      <c r="D542" s="15">
        <v>7.14</v>
      </c>
      <c r="AYZ542" s="8" t="s">
        <v>10817</v>
      </c>
      <c r="BHT542" s="8" t="s">
        <v>5505</v>
      </c>
      <c r="BIF542" s="8" t="s">
        <v>4401</v>
      </c>
      <c r="BJN542" s="8" t="s">
        <v>4810</v>
      </c>
      <c r="BJP542" s="8" t="s">
        <v>4810</v>
      </c>
      <c r="BKB542" s="8" t="s">
        <v>4195</v>
      </c>
      <c r="BLX542" s="8" t="s">
        <v>3653</v>
      </c>
      <c r="BPP542" s="8" t="s">
        <v>3193</v>
      </c>
      <c r="CUU542" s="8" t="s">
        <v>10836</v>
      </c>
      <c r="CWQ542" s="8" t="s">
        <v>10145</v>
      </c>
      <c r="DLP542" s="8" t="s">
        <v>3205</v>
      </c>
      <c r="DNL542" s="8" t="s">
        <v>3205</v>
      </c>
      <c r="EAJ542" s="8" t="s">
        <v>208</v>
      </c>
    </row>
    <row r="543" spans="1:1000 1042:2024 2068:3032 3080:4041 4328:4329 6891:6920">
      <c r="A543" s="8" t="s">
        <v>1297</v>
      </c>
      <c r="B543" s="10" t="s">
        <v>10818</v>
      </c>
      <c r="C543" s="8">
        <v>1340.43</v>
      </c>
      <c r="D543" s="15">
        <v>3.57</v>
      </c>
      <c r="AYZ543" s="8" t="s">
        <v>10818</v>
      </c>
      <c r="BAV543" s="8" t="s">
        <v>6261</v>
      </c>
      <c r="BHW543" s="8" t="s">
        <v>5506</v>
      </c>
      <c r="BJR543" s="8" t="s">
        <v>4811</v>
      </c>
      <c r="BJS543" s="8" t="s">
        <v>4811</v>
      </c>
      <c r="BJT543" s="8" t="s">
        <v>4811</v>
      </c>
      <c r="BKB543" s="8" t="s">
        <v>4402</v>
      </c>
      <c r="BLX543" s="8" t="s">
        <v>4196</v>
      </c>
      <c r="BNT543" s="8" t="s">
        <v>3654</v>
      </c>
      <c r="BRL543" s="8" t="s">
        <v>3194</v>
      </c>
      <c r="CUZ543" s="8" t="s">
        <v>10837</v>
      </c>
      <c r="CWV543" s="8" t="s">
        <v>10146</v>
      </c>
      <c r="DSZ543" s="8" t="s">
        <v>3206</v>
      </c>
      <c r="DUV543" s="8" t="s">
        <v>3206</v>
      </c>
      <c r="EEB543" s="8" t="s">
        <v>209</v>
      </c>
    </row>
    <row r="544" spans="1:1000 1042:2024 2068:3032 3080:4041 4328:4329 6891:6920">
      <c r="A544" s="8" t="s">
        <v>1297</v>
      </c>
      <c r="B544" s="10" t="s">
        <v>10819</v>
      </c>
      <c r="C544" s="8">
        <v>1366.14</v>
      </c>
      <c r="D544" s="15">
        <v>14.29</v>
      </c>
      <c r="BAJ544" s="8" t="s">
        <v>10819</v>
      </c>
      <c r="BAV544" s="8" t="s">
        <v>6262</v>
      </c>
      <c r="BHZ544" s="8" t="s">
        <v>5507</v>
      </c>
      <c r="BJU544" s="8" t="s">
        <v>4812</v>
      </c>
      <c r="BJV544" s="8" t="s">
        <v>4812</v>
      </c>
      <c r="BJW544" s="8" t="s">
        <v>4812</v>
      </c>
      <c r="BKB544" s="8" t="s">
        <v>4403</v>
      </c>
      <c r="BLX544" s="8" t="s">
        <v>4197</v>
      </c>
      <c r="BNT544" s="8" t="s">
        <v>3655</v>
      </c>
      <c r="BRL544" s="8" t="s">
        <v>3195</v>
      </c>
      <c r="CWV544" s="8" t="s">
        <v>10838</v>
      </c>
      <c r="CYR544" s="8" t="s">
        <v>10147</v>
      </c>
      <c r="ECF544" s="8" t="s">
        <v>3207</v>
      </c>
      <c r="EEB544" s="8" t="s">
        <v>3207</v>
      </c>
    </row>
    <row r="545" spans="1:4 1358:2024 2072:3072 3080:4088 4108:4328">
      <c r="A545" s="8" t="s">
        <v>1297</v>
      </c>
      <c r="B545" s="10" t="s">
        <v>13962</v>
      </c>
      <c r="C545" s="8">
        <v>1388.33</v>
      </c>
      <c r="D545" s="15">
        <v>15.71</v>
      </c>
      <c r="BBH545" s="8" t="s">
        <v>13962</v>
      </c>
      <c r="BCR545" s="8" t="s">
        <v>6263</v>
      </c>
      <c r="BIF545" s="8" t="s">
        <v>5508</v>
      </c>
      <c r="BIG545" s="8" t="s">
        <v>5508</v>
      </c>
      <c r="BKA545" s="8" t="s">
        <v>4813</v>
      </c>
      <c r="BKB545" s="8" t="s">
        <v>4813</v>
      </c>
      <c r="BKC545" s="8" t="s">
        <v>4813</v>
      </c>
      <c r="BLX545" s="8" t="s">
        <v>4404</v>
      </c>
      <c r="BNT545" s="8" t="s">
        <v>4198</v>
      </c>
      <c r="BPP545" s="8" t="s">
        <v>3656</v>
      </c>
      <c r="BTH545" s="8" t="s">
        <v>3196</v>
      </c>
      <c r="DAN545" s="8" t="s">
        <v>10839</v>
      </c>
      <c r="DCJ545" s="8" t="s">
        <v>10148</v>
      </c>
      <c r="FFT545" s="8" t="s">
        <v>3208</v>
      </c>
      <c r="FHP545" s="8" t="s">
        <v>3208</v>
      </c>
    </row>
    <row r="546" spans="1:4 1358:2024 2072:3072 3080:4088 4108:4328">
      <c r="A546" s="8" t="s">
        <v>1297</v>
      </c>
      <c r="B546" s="10" t="s">
        <v>10820</v>
      </c>
      <c r="C546" s="8">
        <v>1405.04</v>
      </c>
      <c r="D546" s="15">
        <v>2.36</v>
      </c>
      <c r="BBK546" s="8" t="s">
        <v>10820</v>
      </c>
      <c r="BEN546" s="8" t="s">
        <v>6264</v>
      </c>
      <c r="BNS546" s="8" t="s">
        <v>5378</v>
      </c>
      <c r="BNT546" s="8" t="s">
        <v>5378</v>
      </c>
      <c r="BPN546" s="8" t="s">
        <v>4814</v>
      </c>
      <c r="BPO546" s="8" t="s">
        <v>4814</v>
      </c>
      <c r="BPP546" s="8" t="s">
        <v>4814</v>
      </c>
      <c r="BRL546" s="8" t="s">
        <v>3657</v>
      </c>
      <c r="BVD546" s="8" t="s">
        <v>3197</v>
      </c>
      <c r="DLR546" s="8" t="s">
        <v>10840</v>
      </c>
      <c r="DNN546" s="8" t="s">
        <v>10149</v>
      </c>
    </row>
    <row r="547" spans="1:4 1358:2024 2072:3072 3080:4088 4108:4328">
      <c r="A547" s="8" t="s">
        <v>1297</v>
      </c>
      <c r="B547" s="10" t="s">
        <v>10821</v>
      </c>
      <c r="C547" s="8">
        <v>1412.29</v>
      </c>
      <c r="D547" s="15">
        <v>2.14</v>
      </c>
      <c r="BBR547" s="8" t="s">
        <v>10821</v>
      </c>
      <c r="BIF547" s="8" t="s">
        <v>6112</v>
      </c>
      <c r="BOL547" s="8" t="s">
        <v>5509</v>
      </c>
      <c r="BOM547" s="8" t="s">
        <v>5509</v>
      </c>
      <c r="BPP547" s="8" t="s">
        <v>6265</v>
      </c>
      <c r="BQG547" s="8" t="s">
        <v>4815</v>
      </c>
      <c r="BQH547" s="8" t="s">
        <v>4815</v>
      </c>
      <c r="BQI547" s="8" t="s">
        <v>4815</v>
      </c>
      <c r="BYV547" s="8" t="s">
        <v>4406</v>
      </c>
      <c r="CAR547" s="8" t="s">
        <v>4199</v>
      </c>
      <c r="CCN547" s="8" t="s">
        <v>3658</v>
      </c>
      <c r="CGF547" s="8" t="s">
        <v>3199</v>
      </c>
      <c r="DND547" s="8" t="s">
        <v>10841</v>
      </c>
      <c r="DOZ547" s="8" t="s">
        <v>10150</v>
      </c>
    </row>
    <row r="548" spans="1:4 1358:2024 2072:3072 3080:4088 4108:4328">
      <c r="A548" s="8" t="s">
        <v>1297</v>
      </c>
      <c r="B548" s="10" t="s">
        <v>10822</v>
      </c>
      <c r="C548" s="8">
        <v>1418.57</v>
      </c>
      <c r="D548" s="15">
        <v>14.29</v>
      </c>
      <c r="BCK548" s="8" t="s">
        <v>10822</v>
      </c>
      <c r="BPJ548" s="8" t="s">
        <v>5510</v>
      </c>
      <c r="BPK548" s="8" t="s">
        <v>5510</v>
      </c>
      <c r="BRE548" s="8" t="s">
        <v>4816</v>
      </c>
      <c r="BRF548" s="8" t="s">
        <v>4816</v>
      </c>
      <c r="BRG548" s="8" t="s">
        <v>4816</v>
      </c>
      <c r="BVD548" s="8" t="s">
        <v>6113</v>
      </c>
      <c r="CCN548" s="8" t="s">
        <v>6266</v>
      </c>
      <c r="CLT548" s="8" t="s">
        <v>4407</v>
      </c>
      <c r="CNP548" s="8" t="s">
        <v>4200</v>
      </c>
      <c r="CPL548" s="8" t="s">
        <v>3659</v>
      </c>
      <c r="CTD548" s="8" t="s">
        <v>3200</v>
      </c>
      <c r="DSI548" s="8" t="s">
        <v>10842</v>
      </c>
      <c r="DUE548" s="8" t="s">
        <v>10151</v>
      </c>
    </row>
    <row r="549" spans="1:4 1358:2024 2072:3072 3080:4088 4108:4328">
      <c r="A549" s="8" t="s">
        <v>1297</v>
      </c>
      <c r="B549" s="10" t="s">
        <v>13963</v>
      </c>
      <c r="C549" s="8">
        <v>1434.29</v>
      </c>
      <c r="D549" s="15">
        <v>5.71</v>
      </c>
      <c r="BCR549" s="8" t="s">
        <v>13963</v>
      </c>
      <c r="CGF549" s="8" t="s">
        <v>5511</v>
      </c>
      <c r="CIA549" s="8" t="s">
        <v>4817</v>
      </c>
      <c r="CIB549" s="8" t="s">
        <v>4817</v>
      </c>
      <c r="CIC549" s="8" t="s">
        <v>4817</v>
      </c>
      <c r="CJX549" s="8" t="s">
        <v>6114</v>
      </c>
      <c r="CRH549" s="8" t="s">
        <v>6267</v>
      </c>
      <c r="DAN549" s="8" t="s">
        <v>4408</v>
      </c>
      <c r="DCJ549" s="8" t="s">
        <v>4201</v>
      </c>
      <c r="DEF549" s="8" t="s">
        <v>3660</v>
      </c>
      <c r="DHX549" s="8" t="s">
        <v>3201</v>
      </c>
      <c r="DSZ549" s="8" t="s">
        <v>10843</v>
      </c>
      <c r="DUV549" s="8" t="s">
        <v>10152</v>
      </c>
    </row>
    <row r="550" spans="1:4 1358:2024 2072:3072 3080:4088 4108:4328">
      <c r="A550" s="8" t="s">
        <v>1297</v>
      </c>
      <c r="B550" s="10" t="s">
        <v>10824</v>
      </c>
      <c r="C550" s="8">
        <v>1480.14</v>
      </c>
      <c r="D550" s="15">
        <v>7.86</v>
      </c>
      <c r="BEN550" s="8" t="s">
        <v>10824</v>
      </c>
      <c r="CGU550" s="8" t="s">
        <v>5512</v>
      </c>
      <c r="CGV550" s="8" t="s">
        <v>5512</v>
      </c>
      <c r="CIP550" s="8" t="s">
        <v>4818</v>
      </c>
      <c r="CIQ550" s="8" t="s">
        <v>4818</v>
      </c>
      <c r="CIR550" s="8" t="s">
        <v>4818</v>
      </c>
      <c r="CLT550" s="8" t="s">
        <v>6115</v>
      </c>
      <c r="CTD550" s="8" t="s">
        <v>6268</v>
      </c>
      <c r="DCJ550" s="8" t="s">
        <v>4409</v>
      </c>
      <c r="DEF550" s="8" t="s">
        <v>4202</v>
      </c>
      <c r="DGB550" s="8" t="s">
        <v>3661</v>
      </c>
      <c r="DJT550" s="8" t="s">
        <v>3202</v>
      </c>
      <c r="EBM550" s="8" t="s">
        <v>10844</v>
      </c>
      <c r="EDI550" s="8" t="s">
        <v>10153</v>
      </c>
    </row>
    <row r="551" spans="1:4 1358:2024 2072:3072 3080:4088 4108:4328">
      <c r="A551" s="8" t="s">
        <v>1297</v>
      </c>
      <c r="B551" s="10" t="s">
        <v>10825</v>
      </c>
      <c r="C551" s="8">
        <v>1628.43</v>
      </c>
      <c r="D551" s="15">
        <v>3.57</v>
      </c>
      <c r="BKB551" s="8" t="s">
        <v>10825</v>
      </c>
      <c r="CLT551" s="8" t="s">
        <v>6116</v>
      </c>
      <c r="CTD551" s="8" t="s">
        <v>6269</v>
      </c>
      <c r="CTE551" s="8" t="s">
        <v>5513</v>
      </c>
      <c r="CUY551" s="8" t="s">
        <v>4819</v>
      </c>
      <c r="CUZ551" s="8" t="s">
        <v>4819</v>
      </c>
      <c r="CVA551" s="8" t="s">
        <v>4819</v>
      </c>
      <c r="DCJ551" s="8" t="s">
        <v>4410</v>
      </c>
      <c r="DEF551" s="8" t="s">
        <v>4203</v>
      </c>
      <c r="DGB551" s="8" t="s">
        <v>3662</v>
      </c>
      <c r="DJT551" s="8" t="s">
        <v>3203</v>
      </c>
      <c r="ECF551" s="8" t="s">
        <v>10845</v>
      </c>
      <c r="EEB551" s="8" t="s">
        <v>10154</v>
      </c>
    </row>
    <row r="552" spans="1:4 1358:2024 2072:3072 3080:4088 4108:4328">
      <c r="A552" s="8" t="s">
        <v>1297</v>
      </c>
      <c r="B552" s="10" t="s">
        <v>13964</v>
      </c>
      <c r="C552" s="8">
        <v>1688.86</v>
      </c>
      <c r="D552" s="15">
        <v>15.71</v>
      </c>
      <c r="BMW552" s="8" t="s">
        <v>13964</v>
      </c>
      <c r="CNP552" s="8" t="s">
        <v>6117</v>
      </c>
      <c r="CUZ552" s="8" t="s">
        <v>6270</v>
      </c>
      <c r="DEF552" s="8" t="s">
        <v>5514</v>
      </c>
      <c r="DEG552" s="8" t="s">
        <v>5514</v>
      </c>
      <c r="DGA552" s="8" t="s">
        <v>4820</v>
      </c>
      <c r="DGB552" s="8" t="s">
        <v>4820</v>
      </c>
      <c r="DGC552" s="8" t="s">
        <v>4820</v>
      </c>
      <c r="DHX552" s="8" t="s">
        <v>3663</v>
      </c>
      <c r="DLP552" s="8" t="s">
        <v>3204</v>
      </c>
      <c r="ELD552" s="8" t="s">
        <v>10846</v>
      </c>
      <c r="EMZ552" s="8" t="s">
        <v>10155</v>
      </c>
    </row>
    <row r="553" spans="1:4 1358:2024 2072:3072 3080:4088 4108:4328">
      <c r="A553" s="8" t="s">
        <v>1297</v>
      </c>
      <c r="B553" s="10" t="s">
        <v>13965</v>
      </c>
      <c r="C553" s="8">
        <v>1705.57</v>
      </c>
      <c r="D553" s="15">
        <v>14.14</v>
      </c>
      <c r="AZL553" s="17" t="s">
        <v>5268</v>
      </c>
      <c r="BNL553" s="8" t="s">
        <v>13965</v>
      </c>
      <c r="CNP553" s="8" t="s">
        <v>6118</v>
      </c>
      <c r="CUZ553" s="8" t="s">
        <v>6271</v>
      </c>
      <c r="DEF553" s="8" t="s">
        <v>4412</v>
      </c>
      <c r="DGB553" s="8" t="s">
        <v>4204</v>
      </c>
      <c r="DHX553" s="8" t="s">
        <v>3664</v>
      </c>
      <c r="DLP553" s="8" t="s">
        <v>3205</v>
      </c>
      <c r="DPH553" s="8" t="s">
        <v>5515</v>
      </c>
      <c r="DRC553" s="8" t="s">
        <v>4821</v>
      </c>
      <c r="DRD553" s="8" t="s">
        <v>4821</v>
      </c>
      <c r="DRE553" s="8" t="s">
        <v>4821</v>
      </c>
      <c r="ESV553" s="8" t="s">
        <v>10847</v>
      </c>
      <c r="EUR553" s="8" t="s">
        <v>10156</v>
      </c>
    </row>
    <row r="554" spans="1:4 1358:2024 2072:3072 3080:4088 4108:4328">
      <c r="A554" s="8" t="s">
        <v>1297</v>
      </c>
      <c r="B554" s="10" t="s">
        <v>13966</v>
      </c>
      <c r="C554" s="8">
        <v>1720.71</v>
      </c>
      <c r="D554" s="15">
        <v>2.36</v>
      </c>
      <c r="BBE554" s="8" t="s">
        <v>5269</v>
      </c>
      <c r="BCR554" s="8" t="s">
        <v>2912</v>
      </c>
      <c r="BEN554" s="8" t="s">
        <v>2387</v>
      </c>
      <c r="BNO554" s="8" t="s">
        <v>13966</v>
      </c>
      <c r="CUZ554" s="8" t="s">
        <v>6119</v>
      </c>
      <c r="DCJ554" s="8" t="s">
        <v>6272</v>
      </c>
      <c r="DLP554" s="8" t="s">
        <v>4413</v>
      </c>
      <c r="DNL554" s="8" t="s">
        <v>4205</v>
      </c>
      <c r="DPH554" s="8" t="s">
        <v>3665</v>
      </c>
      <c r="DST554" s="8" t="s">
        <v>5516</v>
      </c>
      <c r="DSZ554" s="8" t="s">
        <v>3206</v>
      </c>
      <c r="DUO554" s="8" t="s">
        <v>4822</v>
      </c>
      <c r="DUP554" s="8" t="s">
        <v>4822</v>
      </c>
      <c r="DUQ554" s="8" t="s">
        <v>4822</v>
      </c>
      <c r="EVS554" s="8" t="s">
        <v>10848</v>
      </c>
      <c r="EXO554" s="8" t="s">
        <v>10157</v>
      </c>
    </row>
    <row r="555" spans="1:4 1358:2024 2072:3072 3080:4088 4108:4328">
      <c r="A555" s="8" t="s">
        <v>1297</v>
      </c>
      <c r="B555" s="10" t="s">
        <v>13967</v>
      </c>
      <c r="C555" s="8">
        <v>1729</v>
      </c>
      <c r="D555" s="15">
        <v>3.93</v>
      </c>
      <c r="AZF555" s="8" t="s">
        <v>5270</v>
      </c>
      <c r="BCX555" s="8" t="s">
        <v>5270</v>
      </c>
      <c r="BEN555" s="8" t="s">
        <v>2913</v>
      </c>
      <c r="BGJ555" s="8" t="s">
        <v>2388</v>
      </c>
      <c r="BNY555" s="8" t="s">
        <v>13967</v>
      </c>
      <c r="DEF555" s="8" t="s">
        <v>4414</v>
      </c>
      <c r="DLP555" s="8" t="s">
        <v>6273</v>
      </c>
      <c r="DSZ555" s="8" t="s">
        <v>5517</v>
      </c>
      <c r="DTA555" s="8" t="s">
        <v>5517</v>
      </c>
      <c r="DUU555" s="8" t="s">
        <v>4823</v>
      </c>
      <c r="DUV555" s="8" t="s">
        <v>4823</v>
      </c>
      <c r="DUW555" s="8" t="s">
        <v>4823</v>
      </c>
      <c r="DWR555" s="8" t="s">
        <v>4009</v>
      </c>
      <c r="DYN555" s="8" t="s">
        <v>3666</v>
      </c>
      <c r="ECF555" s="8" t="s">
        <v>3207</v>
      </c>
      <c r="EVV555" s="8" t="s">
        <v>10849</v>
      </c>
      <c r="EXR555" s="8" t="s">
        <v>10158</v>
      </c>
    </row>
    <row r="556" spans="1:4 1358:2024 2072:3072 3080:4088 4108:4328">
      <c r="A556" s="8" t="s">
        <v>1297</v>
      </c>
      <c r="B556" s="10" t="s">
        <v>13968</v>
      </c>
      <c r="C556" s="8">
        <v>1733.93</v>
      </c>
      <c r="D556" s="15">
        <v>7.86</v>
      </c>
      <c r="BGJ556" s="8" t="s">
        <v>2914</v>
      </c>
      <c r="BIF556" s="8" t="s">
        <v>2389</v>
      </c>
      <c r="BOH556" s="8" t="s">
        <v>13968</v>
      </c>
      <c r="EEB556" s="8" t="s">
        <v>5518</v>
      </c>
      <c r="EFW556" s="8" t="s">
        <v>4824</v>
      </c>
      <c r="EFX556" s="8" t="s">
        <v>4824</v>
      </c>
      <c r="EFY556" s="8" t="s">
        <v>4824</v>
      </c>
      <c r="EGR556" s="8" t="s">
        <v>6120</v>
      </c>
      <c r="EOB556" s="8" t="s">
        <v>6274</v>
      </c>
      <c r="EVQ556" s="8" t="s">
        <v>10850</v>
      </c>
      <c r="EXH556" s="8" t="s">
        <v>4415</v>
      </c>
      <c r="EXM556" s="8" t="s">
        <v>10159</v>
      </c>
      <c r="EZD556" s="8" t="s">
        <v>4206</v>
      </c>
      <c r="FAZ556" s="8" t="s">
        <v>3667</v>
      </c>
      <c r="FER556" s="8" t="s">
        <v>3467</v>
      </c>
    </row>
    <row r="557" spans="1:4 1358:2024 2072:3072 3080:4088 4108:4328">
      <c r="A557" s="8" t="s">
        <v>1297</v>
      </c>
      <c r="B557" s="10" t="s">
        <v>13969</v>
      </c>
      <c r="C557" s="8">
        <v>1742.79</v>
      </c>
      <c r="D557" s="15">
        <v>23.57</v>
      </c>
      <c r="BKB557" s="8" t="s">
        <v>2915</v>
      </c>
      <c r="BLX557" s="8" t="s">
        <v>2390</v>
      </c>
      <c r="BPF557" s="8" t="s">
        <v>13969</v>
      </c>
      <c r="EFX557" s="8" t="s">
        <v>5519</v>
      </c>
      <c r="EHS557" s="8" t="s">
        <v>4825</v>
      </c>
      <c r="EHT557" s="8" t="s">
        <v>6121</v>
      </c>
      <c r="EHU557" s="8" t="s">
        <v>4825</v>
      </c>
      <c r="EPD557" s="8" t="s">
        <v>6275</v>
      </c>
      <c r="EWN557" s="8" t="s">
        <v>10851</v>
      </c>
      <c r="EYJ557" s="8" t="s">
        <v>10160</v>
      </c>
      <c r="FAF557" s="8" t="s">
        <v>4207</v>
      </c>
      <c r="FCB557" s="8" t="s">
        <v>3668</v>
      </c>
      <c r="FFT557" s="8" t="s">
        <v>3208</v>
      </c>
    </row>
    <row r="558" spans="1:4 1358:2024 2072:3072 3080:4088 4108:4328">
      <c r="A558" s="8" t="s">
        <v>1297</v>
      </c>
      <c r="B558" s="10" t="s">
        <v>10828</v>
      </c>
      <c r="C558" s="8">
        <v>1767.36</v>
      </c>
      <c r="D558" s="15">
        <v>12.57</v>
      </c>
      <c r="BLX558" s="8" t="s">
        <v>2916</v>
      </c>
      <c r="BNT558" s="8" t="s">
        <v>2391</v>
      </c>
      <c r="BPT558" s="8" t="s">
        <v>10828</v>
      </c>
      <c r="ELL558" s="8" t="s">
        <v>5520</v>
      </c>
      <c r="ELM558" s="8" t="s">
        <v>5520</v>
      </c>
      <c r="ENG558" s="8" t="s">
        <v>4826</v>
      </c>
      <c r="ENH558" s="8" t="s">
        <v>4826</v>
      </c>
      <c r="ENI558" s="8" t="s">
        <v>4826</v>
      </c>
      <c r="FHP558" s="8" t="s">
        <v>10852</v>
      </c>
      <c r="FJL558" s="8" t="s">
        <v>10161</v>
      </c>
    </row>
    <row r="559" spans="1:4 1358:2024 2072:3072 3080:4088 4108:4328">
      <c r="A559" s="8" t="s">
        <v>1297</v>
      </c>
      <c r="B559" s="10" t="s">
        <v>10829</v>
      </c>
      <c r="C559" s="8">
        <v>1937</v>
      </c>
      <c r="D559" s="15">
        <v>15.71</v>
      </c>
      <c r="BNT559" s="8" t="s">
        <v>2917</v>
      </c>
      <c r="BPP559" s="8" t="s">
        <v>2392</v>
      </c>
      <c r="BWK559" s="8" t="s">
        <v>10829</v>
      </c>
      <c r="EUR559" s="8" t="s">
        <v>5521</v>
      </c>
      <c r="EWM559" s="8" t="s">
        <v>4827</v>
      </c>
      <c r="EWN559" s="8" t="s">
        <v>4827</v>
      </c>
      <c r="EWO559" s="8" t="s">
        <v>4827</v>
      </c>
    </row>
    <row r="560" spans="1:4 1358:2024 2072:3072 3080:4088 4108:4328">
      <c r="A560" s="8" t="s">
        <v>1297</v>
      </c>
      <c r="B560" s="10" t="s">
        <v>10830</v>
      </c>
      <c r="C560" s="8">
        <v>1953.71</v>
      </c>
      <c r="D560" s="15">
        <v>14.29</v>
      </c>
      <c r="BSF560" s="8" t="s">
        <v>2918</v>
      </c>
      <c r="BUB560" s="8" t="s">
        <v>2393</v>
      </c>
      <c r="BWZ560" s="8" t="s">
        <v>10830</v>
      </c>
    </row>
    <row r="561" spans="1:4 1414:2024 2072:3063 3080:3608 4328:4376">
      <c r="A561" s="8" t="s">
        <v>1297</v>
      </c>
      <c r="B561" s="10" t="s">
        <v>13970</v>
      </c>
      <c r="C561" s="8">
        <v>1999.29</v>
      </c>
      <c r="D561" s="15">
        <v>7.86</v>
      </c>
      <c r="BTH561" s="8" t="s">
        <v>2919</v>
      </c>
      <c r="BVD561" s="8" t="s">
        <v>2394</v>
      </c>
      <c r="BYM561" s="8" t="s">
        <v>13970</v>
      </c>
    </row>
    <row r="562" spans="1:4 1414:2024 2072:3063 3080:3608 4328:4376">
      <c r="A562" s="8" t="s">
        <v>1297</v>
      </c>
      <c r="B562" s="10" t="s">
        <v>10831</v>
      </c>
      <c r="C562" s="8">
        <v>2008.14</v>
      </c>
      <c r="D562" s="15">
        <v>7.86</v>
      </c>
      <c r="BVD562" s="8" t="s">
        <v>2920</v>
      </c>
      <c r="BWZ562" s="8" t="s">
        <v>2395</v>
      </c>
      <c r="BYV562" s="8" t="s">
        <v>10831</v>
      </c>
    </row>
    <row r="563" spans="1:4 1414:2024 2072:3063 3080:3608 4328:4376">
      <c r="A563" s="8" t="s">
        <v>1297</v>
      </c>
      <c r="B563" s="10" t="s">
        <v>10832</v>
      </c>
      <c r="C563" s="8">
        <v>2046.14</v>
      </c>
      <c r="D563" s="15">
        <v>17.86</v>
      </c>
      <c r="BVD563" s="8" t="s">
        <v>2921</v>
      </c>
      <c r="BWZ563" s="8" t="s">
        <v>2396</v>
      </c>
      <c r="CAR563" s="8" t="s">
        <v>10832</v>
      </c>
    </row>
    <row r="564" spans="1:4 1414:2024 2072:3063 3080:3608 4328:4376">
      <c r="A564" s="8" t="s">
        <v>1297</v>
      </c>
      <c r="B564" s="10" t="s">
        <v>13971</v>
      </c>
      <c r="C564" s="8">
        <v>2280.4699999999998</v>
      </c>
      <c r="D564" s="15">
        <v>2.14</v>
      </c>
      <c r="BWZ564" s="8" t="s">
        <v>2922</v>
      </c>
      <c r="BYV564" s="8" t="s">
        <v>2397</v>
      </c>
      <c r="CJC564" s="8" t="s">
        <v>13971</v>
      </c>
    </row>
    <row r="565" spans="1:4 1414:2024 2072:3063 3080:3608 4328:4376">
      <c r="A565" s="8" t="s">
        <v>1297</v>
      </c>
      <c r="B565" s="10" t="s">
        <v>10834</v>
      </c>
      <c r="C565" s="8">
        <v>2344.14</v>
      </c>
      <c r="D565" s="15">
        <v>7.86</v>
      </c>
      <c r="BYV565" s="8" t="s">
        <v>2923</v>
      </c>
      <c r="CAR565" s="8" t="s">
        <v>2398</v>
      </c>
      <c r="CLT565" s="8" t="s">
        <v>10834</v>
      </c>
    </row>
    <row r="566" spans="1:4 1414:2024 2072:3063 3080:3608 4328:4376">
      <c r="A566" s="8" t="s">
        <v>1297</v>
      </c>
      <c r="B566" s="10" t="s">
        <v>10835</v>
      </c>
      <c r="C566" s="8">
        <v>2344.86</v>
      </c>
      <c r="D566" s="15">
        <v>7.14</v>
      </c>
      <c r="CIB566" s="8" t="s">
        <v>2924</v>
      </c>
      <c r="CJX566" s="8" t="s">
        <v>2399</v>
      </c>
      <c r="CLT566" s="8" t="s">
        <v>10835</v>
      </c>
    </row>
    <row r="567" spans="1:4 1414:2024 2072:3063 3080:3608 4328:4376">
      <c r="A567" s="8" t="s">
        <v>1297</v>
      </c>
      <c r="B567" s="10" t="s">
        <v>10836</v>
      </c>
      <c r="C567" s="8">
        <v>2434.79</v>
      </c>
      <c r="D567" s="15">
        <v>7.86</v>
      </c>
      <c r="CJX567" s="8" t="s">
        <v>2925</v>
      </c>
      <c r="CLT567" s="8" t="s">
        <v>2400</v>
      </c>
      <c r="CPG567" s="8" t="s">
        <v>10836</v>
      </c>
    </row>
    <row r="568" spans="1:4 1414:2024 2072:3063 3080:3608 4328:4376">
      <c r="A568" s="8" t="s">
        <v>1297</v>
      </c>
      <c r="B568" s="10" t="s">
        <v>10837</v>
      </c>
      <c r="C568" s="8">
        <v>2445.64</v>
      </c>
      <c r="D568" s="15">
        <v>2.36</v>
      </c>
      <c r="BBJ568" s="8" t="s">
        <v>10858</v>
      </c>
      <c r="BDF568" s="8" t="s">
        <v>10162</v>
      </c>
      <c r="CPL568" s="8" t="s">
        <v>10837</v>
      </c>
      <c r="CWV568" s="8" t="s">
        <v>2926</v>
      </c>
      <c r="CYR568" s="8" t="s">
        <v>2401</v>
      </c>
    </row>
    <row r="569" spans="1:4 1414:2024 2072:3063 3080:3608 4328:4376">
      <c r="A569" s="8" t="s">
        <v>1297</v>
      </c>
      <c r="B569" s="10" t="s">
        <v>10838</v>
      </c>
      <c r="C569" s="8">
        <v>2492.4299999999998</v>
      </c>
      <c r="D569" s="15">
        <v>3.57</v>
      </c>
      <c r="BDU569" s="8" t="s">
        <v>10859</v>
      </c>
      <c r="BFQ569" s="8" t="s">
        <v>10163</v>
      </c>
      <c r="CRH569" s="8" t="s">
        <v>10838</v>
      </c>
      <c r="DLP569" s="8" t="s">
        <v>2927</v>
      </c>
      <c r="DNL569" s="8" t="s">
        <v>2402</v>
      </c>
    </row>
    <row r="570" spans="1:4 1414:2024 2072:3063 3080:3608 4328:4376">
      <c r="A570" s="8" t="s">
        <v>1297</v>
      </c>
      <c r="B570" s="10" t="s">
        <v>13972</v>
      </c>
      <c r="C570" s="8">
        <v>2589.86</v>
      </c>
      <c r="D570" s="15">
        <v>2.14</v>
      </c>
      <c r="BGF570" s="8" t="s">
        <v>10860</v>
      </c>
      <c r="BIB570" s="8" t="s">
        <v>10164</v>
      </c>
      <c r="CUZ570" s="8" t="s">
        <v>13972</v>
      </c>
      <c r="DNL570" s="8" t="s">
        <v>2928</v>
      </c>
      <c r="DPH570" s="8" t="s">
        <v>2403</v>
      </c>
    </row>
    <row r="571" spans="1:4 1414:2024 2072:3063 3080:3608 4328:4376">
      <c r="A571" s="8" t="s">
        <v>1297</v>
      </c>
      <c r="B571" s="10" t="s">
        <v>13973</v>
      </c>
      <c r="C571" s="8">
        <v>2816.29</v>
      </c>
      <c r="D571" s="15">
        <v>15.71</v>
      </c>
      <c r="BIQ571" s="8" t="s">
        <v>10861</v>
      </c>
      <c r="BKM571" s="8" t="s">
        <v>10165</v>
      </c>
      <c r="DEF571" s="8" t="s">
        <v>13973</v>
      </c>
      <c r="DNL571" s="8" t="s">
        <v>2929</v>
      </c>
      <c r="DPH571" s="8" t="s">
        <v>2404</v>
      </c>
    </row>
    <row r="572" spans="1:4 1414:2024 2072:3063 3080:3608 4328:4376">
      <c r="A572" s="8" t="s">
        <v>1297</v>
      </c>
      <c r="B572" s="10" t="s">
        <v>10840</v>
      </c>
      <c r="C572" s="8">
        <v>2846.57</v>
      </c>
      <c r="D572" s="15">
        <v>35.71</v>
      </c>
      <c r="BRL572" s="8" t="s">
        <v>10862</v>
      </c>
      <c r="BTH572" s="8" t="s">
        <v>10166</v>
      </c>
      <c r="DGD572" s="8" t="s">
        <v>10840</v>
      </c>
      <c r="DPH572" s="8" t="s">
        <v>2930</v>
      </c>
      <c r="DRD572" s="8" t="s">
        <v>2405</v>
      </c>
    </row>
    <row r="573" spans="1:4 1414:2024 2072:3063 3080:3608 4328:4376">
      <c r="A573" s="8" t="s">
        <v>1297</v>
      </c>
      <c r="B573" s="10" t="s">
        <v>10841</v>
      </c>
      <c r="C573" s="8">
        <v>2884.14</v>
      </c>
      <c r="D573" s="15">
        <v>35.71</v>
      </c>
      <c r="BRL573" s="8" t="s">
        <v>10863</v>
      </c>
      <c r="BTH573" s="8" t="s">
        <v>10167</v>
      </c>
      <c r="DHP573" s="8" t="s">
        <v>10841</v>
      </c>
      <c r="DPH573" s="8" t="s">
        <v>2931</v>
      </c>
      <c r="DRD573" s="8" t="s">
        <v>2406</v>
      </c>
    </row>
    <row r="574" spans="1:4 1414:2024 2072:3063 3080:3608 4328:4376">
      <c r="A574" s="8" t="s">
        <v>1297</v>
      </c>
      <c r="B574" s="10" t="s">
        <v>10842</v>
      </c>
      <c r="C574" s="8">
        <v>2898.14</v>
      </c>
      <c r="D574" s="15">
        <v>157.13999999999999</v>
      </c>
      <c r="BRL574" s="8" t="s">
        <v>10864</v>
      </c>
      <c r="BTH574" s="8" t="s">
        <v>10168</v>
      </c>
      <c r="DMU574" s="8" t="s">
        <v>10842</v>
      </c>
      <c r="DWR574" s="8" t="s">
        <v>2932</v>
      </c>
      <c r="DYN574" s="8" t="s">
        <v>2407</v>
      </c>
    </row>
    <row r="575" spans="1:4 1414:2024 2072:3063 3080:3608 4328:4376">
      <c r="A575" s="8" t="s">
        <v>1297</v>
      </c>
      <c r="B575" s="10" t="s">
        <v>10843</v>
      </c>
      <c r="C575" s="8">
        <v>3056.29</v>
      </c>
      <c r="D575" s="15">
        <v>15.71</v>
      </c>
      <c r="CEJ575" s="8" t="s">
        <v>10865</v>
      </c>
      <c r="CGF575" s="8" t="s">
        <v>10169</v>
      </c>
      <c r="DNL575" s="8" t="s">
        <v>10843</v>
      </c>
      <c r="EFX575" s="8" t="s">
        <v>2740</v>
      </c>
      <c r="EHT575" s="8" t="s">
        <v>2408</v>
      </c>
    </row>
    <row r="576" spans="1:4 1414:2024 2072:3063 3080:3608 4328:4376">
      <c r="A576" s="8" t="s">
        <v>1297</v>
      </c>
      <c r="B576" s="10" t="s">
        <v>10844</v>
      </c>
      <c r="C576" s="8">
        <v>3274.29</v>
      </c>
      <c r="D576" s="15">
        <v>18.86</v>
      </c>
      <c r="CEJ576" s="8" t="s">
        <v>10866</v>
      </c>
      <c r="CGF576" s="8" t="s">
        <v>10170</v>
      </c>
      <c r="DVY576" s="8" t="s">
        <v>10844</v>
      </c>
      <c r="FJL576" s="8" t="s">
        <v>2933</v>
      </c>
      <c r="FLH576" s="8" t="s">
        <v>2409</v>
      </c>
    </row>
    <row r="577" spans="1:750 1144:1926 2168:2648 3176:3896 4136:4232">
      <c r="A577" s="8" t="s">
        <v>1297</v>
      </c>
      <c r="B577" s="10" t="s">
        <v>10845</v>
      </c>
      <c r="C577" s="8">
        <v>3294.14</v>
      </c>
      <c r="D577" s="15">
        <v>17.86</v>
      </c>
      <c r="DRD577" s="8" t="s">
        <v>10867</v>
      </c>
      <c r="DSZ577" s="8" t="s">
        <v>10171</v>
      </c>
      <c r="DWR577" s="8" t="s">
        <v>10845</v>
      </c>
    </row>
    <row r="578" spans="1:750 1144:1926 2168:2648 3176:3896 4136:4232">
      <c r="A578" s="8" t="s">
        <v>1297</v>
      </c>
      <c r="B578" s="10" t="s">
        <v>10846</v>
      </c>
      <c r="C578" s="8">
        <v>3536.71</v>
      </c>
      <c r="D578" s="15">
        <v>7.14</v>
      </c>
      <c r="BCR578" s="8" t="s">
        <v>212</v>
      </c>
      <c r="EEB578" s="8" t="s">
        <v>10868</v>
      </c>
      <c r="EFP578" s="8" t="s">
        <v>10846</v>
      </c>
      <c r="EFX578" s="8" t="s">
        <v>10172</v>
      </c>
    </row>
    <row r="579" spans="1:750 1144:1926 2168:2648 3176:3896 4136:4232">
      <c r="A579" s="8" t="s">
        <v>1297</v>
      </c>
      <c r="B579" s="10" t="s">
        <v>13974</v>
      </c>
      <c r="C579" s="8">
        <v>3741.86</v>
      </c>
      <c r="D579" s="15">
        <v>2.14</v>
      </c>
      <c r="BEH579" s="8" t="s">
        <v>214</v>
      </c>
      <c r="ENH579" s="8" t="s">
        <v>13974</v>
      </c>
      <c r="EQZ579" s="8" t="s">
        <v>10869</v>
      </c>
      <c r="ESV579" s="8" t="s">
        <v>10173</v>
      </c>
    </row>
    <row r="580" spans="1:750 1144:1926 2168:2648 3176:3896 4136:4232">
      <c r="A580" s="8" t="s">
        <v>1297</v>
      </c>
      <c r="B580" s="10" t="s">
        <v>10848</v>
      </c>
      <c r="C580" s="8">
        <v>3786.43</v>
      </c>
      <c r="D580" s="15">
        <v>32.14</v>
      </c>
      <c r="BEN580" s="8" t="s">
        <v>215</v>
      </c>
      <c r="EQE580" s="8" t="s">
        <v>10848</v>
      </c>
      <c r="FDX580" s="8" t="s">
        <v>10870</v>
      </c>
      <c r="FFT580" s="8" t="s">
        <v>10174</v>
      </c>
    </row>
    <row r="581" spans="1:750 1144:1926 2168:2648 3176:3896 4136:4232">
      <c r="A581" s="8" t="s">
        <v>1297</v>
      </c>
      <c r="B581" s="10" t="s">
        <v>10849</v>
      </c>
      <c r="C581" s="8">
        <v>3808.14</v>
      </c>
      <c r="D581" s="15">
        <v>14.29</v>
      </c>
      <c r="BIF581" s="8" t="s">
        <v>216</v>
      </c>
      <c r="EQH581" s="8" t="s">
        <v>10849</v>
      </c>
      <c r="FDX581" s="8" t="s">
        <v>10871</v>
      </c>
      <c r="FFT581" s="8" t="s">
        <v>10175</v>
      </c>
    </row>
    <row r="582" spans="1:750 1144:1926 2168:2648 3176:3896 4136:4232">
      <c r="A582" s="8" t="s">
        <v>1297</v>
      </c>
      <c r="B582" s="10" t="s">
        <v>10850</v>
      </c>
      <c r="C582" s="8">
        <v>3814.81</v>
      </c>
      <c r="D582" s="15">
        <v>2.36</v>
      </c>
      <c r="BLX582" s="8" t="s">
        <v>217</v>
      </c>
      <c r="EQC582" s="8" t="s">
        <v>10850</v>
      </c>
      <c r="FDX582" s="8" t="s">
        <v>10872</v>
      </c>
      <c r="FFT582" s="8" t="s">
        <v>10176</v>
      </c>
    </row>
    <row r="583" spans="1:750 1144:1926 2168:2648 3176:3896 4136:4232">
      <c r="A583" s="8" t="s">
        <v>1297</v>
      </c>
      <c r="B583" s="10" t="s">
        <v>10851</v>
      </c>
      <c r="C583" s="8">
        <v>3825.71</v>
      </c>
      <c r="D583" s="15">
        <v>14.29</v>
      </c>
      <c r="AYZ583" s="8" t="s">
        <v>4803</v>
      </c>
      <c r="AZA583" s="8" t="s">
        <v>4803</v>
      </c>
      <c r="BPP583" s="8" t="s">
        <v>218</v>
      </c>
      <c r="EQZ583" s="8" t="s">
        <v>10851</v>
      </c>
    </row>
    <row r="584" spans="1:750 1144:1926 2168:2648 3176:3896 4136:4232">
      <c r="A584" s="8" t="s">
        <v>1297</v>
      </c>
      <c r="B584" s="10" t="s">
        <v>10800</v>
      </c>
      <c r="C584" s="8">
        <v>3831</v>
      </c>
      <c r="D584" s="15">
        <v>7.14</v>
      </c>
      <c r="AZT584" s="8" t="s">
        <v>4804</v>
      </c>
      <c r="BBO584" s="8" t="s">
        <v>4804</v>
      </c>
      <c r="BBP584" s="8" t="s">
        <v>4804</v>
      </c>
      <c r="BRL584" s="8" t="s">
        <v>219</v>
      </c>
      <c r="EQX584" s="8" t="s">
        <v>10800</v>
      </c>
    </row>
    <row r="585" spans="1:750 1144:1926 2168:2648 3176:3896 4136:4232">
      <c r="A585" s="8" t="s">
        <v>1297</v>
      </c>
      <c r="B585" s="10" t="s">
        <v>10852</v>
      </c>
      <c r="C585" s="8">
        <v>4120.8599999999997</v>
      </c>
      <c r="D585" s="15">
        <v>7.14</v>
      </c>
      <c r="BAH585" s="8" t="s">
        <v>4805</v>
      </c>
      <c r="BCC585" s="8" t="s">
        <v>4805</v>
      </c>
      <c r="BCD585" s="8" t="s">
        <v>4805</v>
      </c>
      <c r="BUD585" s="8" t="s">
        <v>220</v>
      </c>
      <c r="FCB585" s="8" t="s">
        <v>10852</v>
      </c>
    </row>
    <row r="586" spans="1:750 1144:1926 2168:2648 3176:3896 4136:4232">
      <c r="A586" s="8" t="s">
        <v>1298</v>
      </c>
      <c r="B586" s="10" t="s">
        <v>10853</v>
      </c>
      <c r="C586" s="8">
        <v>-186.87</v>
      </c>
      <c r="D586" s="15">
        <v>92.31</v>
      </c>
      <c r="H586" s="8" t="s">
        <v>10853</v>
      </c>
      <c r="BCI586" s="8" t="s">
        <v>4806</v>
      </c>
      <c r="BEE586" s="8" t="s">
        <v>4806</v>
      </c>
      <c r="BEF586" s="8" t="s">
        <v>4806</v>
      </c>
      <c r="BVB586" s="8" t="s">
        <v>221</v>
      </c>
    </row>
    <row r="587" spans="1:750 1144:1926 2168:2648 3176:3896 4136:4232">
      <c r="A587" s="8" t="s">
        <v>1298</v>
      </c>
      <c r="B587" s="10" t="s">
        <v>10854</v>
      </c>
      <c r="C587" s="8">
        <v>-88.61</v>
      </c>
      <c r="D587" s="15">
        <v>90.46</v>
      </c>
      <c r="H587" s="8" t="s">
        <v>10854</v>
      </c>
      <c r="AYZ587" s="8" t="s">
        <v>4830</v>
      </c>
      <c r="AZA587" s="8" t="s">
        <v>4830</v>
      </c>
      <c r="BCS587" s="8" t="s">
        <v>4807</v>
      </c>
      <c r="BCT587" s="8" t="s">
        <v>4807</v>
      </c>
      <c r="BEO587" s="8" t="s">
        <v>4807</v>
      </c>
      <c r="BEP587" s="8" t="s">
        <v>4807</v>
      </c>
      <c r="BEQ587" s="8" t="s">
        <v>4807</v>
      </c>
      <c r="CEJ587" s="8" t="s">
        <v>222</v>
      </c>
    </row>
    <row r="588" spans="1:750 1144:1926 2168:2648 3176:3896 4136:4232">
      <c r="A588" s="8" t="s">
        <v>1298</v>
      </c>
      <c r="B588" s="10" t="s">
        <v>10855</v>
      </c>
      <c r="C588" s="8">
        <v>31.87</v>
      </c>
      <c r="D588" s="15">
        <v>3.23</v>
      </c>
      <c r="AQ588" s="8" t="s">
        <v>10855</v>
      </c>
      <c r="BIF588" s="8" t="s">
        <v>4808</v>
      </c>
      <c r="BIG588" s="8" t="s">
        <v>4808</v>
      </c>
      <c r="BKB588" s="8" t="s">
        <v>4808</v>
      </c>
      <c r="BKC588" s="8" t="s">
        <v>4808</v>
      </c>
      <c r="CGZ588" s="8" t="s">
        <v>223</v>
      </c>
    </row>
    <row r="589" spans="1:750 1144:1926 2168:2648 3176:3896 4136:4232">
      <c r="A589" s="8" t="s">
        <v>1298</v>
      </c>
      <c r="B589" s="10" t="s">
        <v>13975</v>
      </c>
      <c r="C589" s="8">
        <v>193.33</v>
      </c>
      <c r="D589" s="15">
        <v>64.62</v>
      </c>
      <c r="JF589" s="8" t="s">
        <v>13975</v>
      </c>
      <c r="AYZ589" s="8" t="s">
        <v>217</v>
      </c>
      <c r="BLG589" s="8" t="s">
        <v>4809</v>
      </c>
      <c r="BLH589" s="8" t="s">
        <v>4809</v>
      </c>
      <c r="BNC589" s="8" t="s">
        <v>4809</v>
      </c>
      <c r="BND589" s="8" t="s">
        <v>4809</v>
      </c>
      <c r="CHN589" s="8" t="s">
        <v>224</v>
      </c>
    </row>
    <row r="590" spans="1:750 1144:1926 2168:2648 3176:3896 4136:4232">
      <c r="A590" s="8" t="s">
        <v>1298</v>
      </c>
      <c r="B590" s="10" t="s">
        <v>13976</v>
      </c>
      <c r="C590" s="8">
        <v>625.33000000000004</v>
      </c>
      <c r="D590" s="15">
        <v>64.62</v>
      </c>
      <c r="ZV590" s="8" t="s">
        <v>13976</v>
      </c>
      <c r="AYZ590" s="8" t="s">
        <v>218</v>
      </c>
      <c r="BAV590" s="8" t="s">
        <v>218</v>
      </c>
      <c r="BCR590" s="8" t="s">
        <v>218</v>
      </c>
      <c r="BPD590" s="8" t="s">
        <v>4810</v>
      </c>
      <c r="BQY590" s="8" t="s">
        <v>4810</v>
      </c>
      <c r="BQZ590" s="8" t="s">
        <v>4810</v>
      </c>
      <c r="CJY590" s="8" t="s">
        <v>225</v>
      </c>
    </row>
    <row r="591" spans="1:750 1144:1926 2168:2648 3176:3896 4136:4232">
      <c r="A591" s="8" t="s">
        <v>1298</v>
      </c>
      <c r="B591" s="10" t="s">
        <v>10856</v>
      </c>
      <c r="C591" s="8">
        <v>696.61</v>
      </c>
      <c r="D591" s="15">
        <v>45.23</v>
      </c>
      <c r="ABV591" s="8" t="s">
        <v>10856</v>
      </c>
      <c r="BAV591" s="8" t="s">
        <v>219</v>
      </c>
      <c r="BCR591" s="8" t="s">
        <v>219</v>
      </c>
      <c r="BEN591" s="8" t="s">
        <v>219</v>
      </c>
      <c r="BGJ591" s="8" t="s">
        <v>219</v>
      </c>
      <c r="BPG591" s="8" t="s">
        <v>4811</v>
      </c>
      <c r="BPH591" s="8" t="s">
        <v>4811</v>
      </c>
      <c r="BRC591" s="8" t="s">
        <v>4811</v>
      </c>
      <c r="BRD591" s="8" t="s">
        <v>4811</v>
      </c>
      <c r="CWV591" s="8" t="s">
        <v>226</v>
      </c>
    </row>
    <row r="592" spans="1:750 1144:1926 2168:2648 3176:3896 4136:4232">
      <c r="A592" s="8" t="s">
        <v>1298</v>
      </c>
      <c r="B592" s="10" t="s">
        <v>10857</v>
      </c>
      <c r="C592" s="8">
        <v>1044.0999999999999</v>
      </c>
      <c r="D592" s="15">
        <v>92.31</v>
      </c>
      <c r="AQZ592" s="8" t="s">
        <v>10857</v>
      </c>
      <c r="AYZ592" s="8" t="s">
        <v>4834</v>
      </c>
      <c r="AZA592" s="8" t="s">
        <v>4834</v>
      </c>
      <c r="BAV592" s="8" t="s">
        <v>194</v>
      </c>
      <c r="BCR592" s="8" t="s">
        <v>220</v>
      </c>
      <c r="BEN592" s="8" t="s">
        <v>220</v>
      </c>
      <c r="BGJ592" s="8" t="s">
        <v>220</v>
      </c>
      <c r="BIF592" s="8" t="s">
        <v>220</v>
      </c>
      <c r="BPJ592" s="8" t="s">
        <v>4812</v>
      </c>
      <c r="BPK592" s="8" t="s">
        <v>4812</v>
      </c>
      <c r="BRF592" s="8" t="s">
        <v>4812</v>
      </c>
      <c r="BRG592" s="8" t="s">
        <v>4812</v>
      </c>
    </row>
    <row r="593" spans="1:4 1274:2041 2055:3032 3080:4088 4136:4473 5328:5336">
      <c r="A593" s="8" t="s">
        <v>1298</v>
      </c>
      <c r="B593" s="10" t="s">
        <v>13977</v>
      </c>
      <c r="C593" s="8">
        <v>1201.33</v>
      </c>
      <c r="D593" s="15">
        <v>64.62</v>
      </c>
      <c r="AVZ593" s="8" t="s">
        <v>13977</v>
      </c>
      <c r="AZP593" s="8" t="s">
        <v>195</v>
      </c>
      <c r="AZV593" s="8" t="s">
        <v>1945</v>
      </c>
      <c r="BAB593" s="17" t="s">
        <v>214</v>
      </c>
      <c r="BAV593" s="8" t="s">
        <v>861</v>
      </c>
      <c r="BBL593" s="8" t="s">
        <v>195</v>
      </c>
      <c r="BBR593" s="8" t="s">
        <v>1515</v>
      </c>
      <c r="BCL593" s="8" t="s">
        <v>861</v>
      </c>
      <c r="BCR593" s="8" t="s">
        <v>214</v>
      </c>
      <c r="BEH593" s="8" t="s">
        <v>861</v>
      </c>
      <c r="BEN593" s="8" t="s">
        <v>4836</v>
      </c>
      <c r="BEO593" s="8" t="s">
        <v>4836</v>
      </c>
      <c r="BFJ593" s="8" t="s">
        <v>221</v>
      </c>
      <c r="BHF593" s="8" t="s">
        <v>221</v>
      </c>
      <c r="BJB593" s="8" t="s">
        <v>221</v>
      </c>
      <c r="BKX593" s="8" t="s">
        <v>221</v>
      </c>
      <c r="BPP593" s="8" t="s">
        <v>4813</v>
      </c>
      <c r="BRL593" s="8" t="s">
        <v>4813</v>
      </c>
      <c r="BRM593" s="8" t="s">
        <v>4813</v>
      </c>
    </row>
    <row r="594" spans="1:4 1274:2041 2055:3032 3080:4088 4136:4473 5328:5336">
      <c r="A594" s="8" t="s">
        <v>1298</v>
      </c>
      <c r="B594" s="10" t="s">
        <v>13978</v>
      </c>
      <c r="C594" s="8">
        <v>1297.33</v>
      </c>
      <c r="D594" s="15">
        <v>64.62</v>
      </c>
      <c r="AZR594" s="8" t="s">
        <v>13978</v>
      </c>
      <c r="BAA594" s="8" t="s">
        <v>196</v>
      </c>
      <c r="BAT594" s="8" t="s">
        <v>1946</v>
      </c>
      <c r="BBW594" s="8" t="s">
        <v>196</v>
      </c>
      <c r="BCP594" s="8" t="s">
        <v>1516</v>
      </c>
      <c r="BCR594" s="8" t="s">
        <v>862</v>
      </c>
      <c r="BEH594" s="8" t="s">
        <v>862</v>
      </c>
      <c r="BEN594" s="8" t="s">
        <v>862</v>
      </c>
      <c r="BFG594" s="8" t="s">
        <v>215</v>
      </c>
      <c r="BFR594" s="8" t="s">
        <v>4837</v>
      </c>
      <c r="BFS594" s="8" t="s">
        <v>4837</v>
      </c>
      <c r="BGH594" s="8" t="s">
        <v>222</v>
      </c>
      <c r="BID594" s="8" t="s">
        <v>222</v>
      </c>
      <c r="BJZ594" s="8" t="s">
        <v>222</v>
      </c>
      <c r="BLV594" s="8" t="s">
        <v>222</v>
      </c>
      <c r="BVC594" s="8" t="s">
        <v>4814</v>
      </c>
      <c r="BWY594" s="8" t="s">
        <v>4814</v>
      </c>
      <c r="BWZ594" s="8" t="s">
        <v>4814</v>
      </c>
    </row>
    <row r="595" spans="1:4 1274:2041 2055:3032 3080:4088 4136:4473 5328:5336">
      <c r="A595" s="8" t="s">
        <v>1298</v>
      </c>
      <c r="B595" s="10" t="s">
        <v>13979</v>
      </c>
      <c r="C595" s="8">
        <v>1363.28</v>
      </c>
      <c r="D595" s="15">
        <v>61.54</v>
      </c>
      <c r="AYZ595" s="8" t="s">
        <v>4417</v>
      </c>
      <c r="BAP595" s="8" t="s">
        <v>197</v>
      </c>
      <c r="BAQ595" s="8" t="s">
        <v>216</v>
      </c>
      <c r="BAV595" s="8" t="s">
        <v>863</v>
      </c>
      <c r="BCC595" s="8" t="s">
        <v>13979</v>
      </c>
      <c r="BCL595" s="8" t="s">
        <v>197</v>
      </c>
      <c r="BEN595" s="8" t="s">
        <v>216</v>
      </c>
      <c r="BFU595" s="8" t="s">
        <v>4838</v>
      </c>
      <c r="BFV595" s="8" t="s">
        <v>4838</v>
      </c>
      <c r="BGJ595" s="8" t="s">
        <v>863</v>
      </c>
      <c r="BIF595" s="8" t="s">
        <v>863</v>
      </c>
      <c r="BKB595" s="8" t="s">
        <v>1947</v>
      </c>
      <c r="BLX595" s="8" t="s">
        <v>1517</v>
      </c>
      <c r="BPP595" s="8" t="s">
        <v>223</v>
      </c>
      <c r="BRL595" s="8" t="s">
        <v>223</v>
      </c>
      <c r="BTH595" s="8" t="s">
        <v>223</v>
      </c>
      <c r="BVD595" s="8" t="s">
        <v>223</v>
      </c>
      <c r="BVV595" s="8" t="s">
        <v>4815</v>
      </c>
      <c r="BXR595" s="8" t="s">
        <v>4815</v>
      </c>
      <c r="BXS595" s="8" t="s">
        <v>4815</v>
      </c>
    </row>
    <row r="596" spans="1:4 1274:2041 2055:3032 3080:4088 4136:4473 5328:5336">
      <c r="A596" s="8" t="s">
        <v>1298</v>
      </c>
      <c r="B596" s="10" t="s">
        <v>13980</v>
      </c>
      <c r="C596" s="8">
        <v>1427.49</v>
      </c>
      <c r="D596" s="15">
        <v>61.54</v>
      </c>
      <c r="BAV596" s="8" t="s">
        <v>4418</v>
      </c>
      <c r="BCR596" s="8" t="s">
        <v>217</v>
      </c>
      <c r="BEN596" s="8" t="s">
        <v>864</v>
      </c>
      <c r="BEO596" s="8" t="s">
        <v>13980</v>
      </c>
      <c r="BFY596" s="8" t="s">
        <v>4839</v>
      </c>
      <c r="BFZ596" s="8" t="s">
        <v>4839</v>
      </c>
      <c r="BGJ596" s="8" t="s">
        <v>199</v>
      </c>
      <c r="BIF596" s="8" t="s">
        <v>199</v>
      </c>
      <c r="BKB596" s="8" t="s">
        <v>864</v>
      </c>
      <c r="BLX596" s="8" t="s">
        <v>864</v>
      </c>
      <c r="BMR596" s="8" t="s">
        <v>1948</v>
      </c>
      <c r="BON596" s="8" t="s">
        <v>1518</v>
      </c>
      <c r="BSF596" s="8" t="s">
        <v>224</v>
      </c>
      <c r="BUB596" s="8" t="s">
        <v>224</v>
      </c>
      <c r="BVX596" s="8" t="s">
        <v>224</v>
      </c>
      <c r="BWT596" s="8" t="s">
        <v>4816</v>
      </c>
      <c r="BWU596" s="8" t="s">
        <v>4816</v>
      </c>
      <c r="BXT596" s="8" t="s">
        <v>224</v>
      </c>
      <c r="BYP596" s="8" t="s">
        <v>4816</v>
      </c>
      <c r="BYQ596" s="8" t="s">
        <v>4816</v>
      </c>
    </row>
    <row r="597" spans="1:4 1274:2041 2055:3032 3080:4088 4136:4473 5328:5336">
      <c r="A597" s="8" t="s">
        <v>1298</v>
      </c>
      <c r="B597" s="10" t="s">
        <v>13981</v>
      </c>
      <c r="C597" s="8">
        <v>1490.36</v>
      </c>
      <c r="D597" s="15">
        <v>61.54</v>
      </c>
      <c r="BGJ597" s="8" t="s">
        <v>4419</v>
      </c>
      <c r="BGZ597" s="8" t="s">
        <v>13981</v>
      </c>
      <c r="BHI597" s="8" t="s">
        <v>4840</v>
      </c>
      <c r="BHJ597" s="8" t="s">
        <v>4840</v>
      </c>
      <c r="BIF597" s="8" t="s">
        <v>200</v>
      </c>
      <c r="BKB597" s="8" t="s">
        <v>200</v>
      </c>
      <c r="BLX597" s="8" t="s">
        <v>218</v>
      </c>
      <c r="BNF597" s="8" t="s">
        <v>1949</v>
      </c>
      <c r="BNT597" s="8" t="s">
        <v>865</v>
      </c>
      <c r="BPB597" s="8" t="s">
        <v>1519</v>
      </c>
      <c r="BPP597" s="8" t="s">
        <v>865</v>
      </c>
      <c r="BST597" s="8" t="s">
        <v>225</v>
      </c>
      <c r="BUP597" s="8" t="s">
        <v>225</v>
      </c>
      <c r="BWL597" s="8" t="s">
        <v>225</v>
      </c>
      <c r="BYH597" s="8" t="s">
        <v>225</v>
      </c>
      <c r="CNP597" s="8" t="s">
        <v>4817</v>
      </c>
      <c r="CNQ597" s="8" t="s">
        <v>4817</v>
      </c>
      <c r="CPL597" s="8" t="s">
        <v>4817</v>
      </c>
      <c r="CPM597" s="8" t="s">
        <v>4817</v>
      </c>
    </row>
    <row r="598" spans="1:4 1274:2041 2055:3032 3080:4088 4136:4473 5328:5336">
      <c r="A598" s="8" t="s">
        <v>1298</v>
      </c>
      <c r="B598" s="10" t="s">
        <v>10862</v>
      </c>
      <c r="C598" s="8">
        <v>1618.46</v>
      </c>
      <c r="D598" s="15">
        <v>61.54</v>
      </c>
      <c r="AYW598" s="8" t="s">
        <v>212</v>
      </c>
      <c r="BGJ598" s="8" t="s">
        <v>4420</v>
      </c>
      <c r="BIF598" s="8" t="s">
        <v>4841</v>
      </c>
      <c r="BIG598" s="8" t="s">
        <v>4841</v>
      </c>
      <c r="BKB598" s="8" t="s">
        <v>219</v>
      </c>
      <c r="BLC598" s="8" t="s">
        <v>201</v>
      </c>
      <c r="BLX598" s="8" t="s">
        <v>10862</v>
      </c>
      <c r="BMY598" s="8" t="s">
        <v>201</v>
      </c>
      <c r="BNT598" s="8" t="s">
        <v>866</v>
      </c>
      <c r="BPP598" s="8" t="s">
        <v>866</v>
      </c>
      <c r="BPQ598" s="8" t="s">
        <v>1950</v>
      </c>
      <c r="BRL598" s="8" t="s">
        <v>866</v>
      </c>
      <c r="BRM598" s="8" t="s">
        <v>1520</v>
      </c>
      <c r="BVE598" s="8" t="s">
        <v>226</v>
      </c>
      <c r="BXA598" s="8" t="s">
        <v>226</v>
      </c>
      <c r="BYW598" s="8" t="s">
        <v>226</v>
      </c>
      <c r="CAS598" s="8" t="s">
        <v>226</v>
      </c>
      <c r="COE598" s="8" t="s">
        <v>4818</v>
      </c>
      <c r="COF598" s="8" t="s">
        <v>4818</v>
      </c>
      <c r="CQA598" s="8" t="s">
        <v>4818</v>
      </c>
      <c r="CQB598" s="8" t="s">
        <v>4818</v>
      </c>
    </row>
    <row r="599" spans="1:4 1274:2041 2055:3032 3080:4088 4136:4473 5328:5336">
      <c r="A599" s="8" t="s">
        <v>1298</v>
      </c>
      <c r="B599" s="10" t="s">
        <v>10863</v>
      </c>
      <c r="C599" s="8">
        <v>1618.46</v>
      </c>
      <c r="D599" s="15">
        <v>61.54</v>
      </c>
      <c r="BAV599" s="8" t="e">
        <v>#N/A</v>
      </c>
      <c r="BCR599" s="8" t="s">
        <v>213</v>
      </c>
      <c r="BIE599" s="8" t="s">
        <v>4421</v>
      </c>
      <c r="BJN599" s="8" t="s">
        <v>4842</v>
      </c>
      <c r="BJO599" s="8" t="s">
        <v>4842</v>
      </c>
      <c r="BLR599" s="8" t="s">
        <v>202</v>
      </c>
      <c r="BLX599" s="8" t="s">
        <v>10863</v>
      </c>
      <c r="BMZ599" s="8" t="s">
        <v>220</v>
      </c>
      <c r="BNN599" s="8" t="s">
        <v>202</v>
      </c>
      <c r="BNT599" s="8" t="s">
        <v>867</v>
      </c>
      <c r="BRL599" s="8" t="s">
        <v>220</v>
      </c>
      <c r="BSH599" s="8" t="s">
        <v>867</v>
      </c>
      <c r="BUD599" s="8" t="s">
        <v>867</v>
      </c>
      <c r="BYE599" s="8" t="s">
        <v>1951</v>
      </c>
      <c r="CAA599" s="8" t="s">
        <v>1521</v>
      </c>
      <c r="CDS599" s="8" t="s">
        <v>211</v>
      </c>
      <c r="CFO599" s="8" t="s">
        <v>211</v>
      </c>
      <c r="CHK599" s="8" t="s">
        <v>211</v>
      </c>
      <c r="CJG599" s="8" t="s">
        <v>211</v>
      </c>
      <c r="DAN599" s="8" t="s">
        <v>4819</v>
      </c>
      <c r="DCJ599" s="8" t="s">
        <v>4819</v>
      </c>
      <c r="DCK599" s="8" t="s">
        <v>4819</v>
      </c>
    </row>
    <row r="600" spans="1:4 1274:2041 2055:3032 3080:4088 4136:4473 5328:5336">
      <c r="A600" s="8" t="s">
        <v>1298</v>
      </c>
      <c r="B600" s="10" t="s">
        <v>10864</v>
      </c>
      <c r="C600" s="8">
        <v>1618.46</v>
      </c>
      <c r="D600" s="15">
        <v>61.54</v>
      </c>
      <c r="AYZ600" s="8" t="s">
        <v>5271</v>
      </c>
      <c r="BCR600" s="8" t="s">
        <v>5271</v>
      </c>
      <c r="BEH600" s="8" t="s">
        <v>214</v>
      </c>
      <c r="BKB600" s="8" t="s">
        <v>4423</v>
      </c>
      <c r="BKC600" s="8" t="s">
        <v>4843</v>
      </c>
      <c r="BKD600" s="8" t="s">
        <v>4843</v>
      </c>
      <c r="BLX600" s="8" t="s">
        <v>10864</v>
      </c>
      <c r="BNT600" s="8" t="s">
        <v>203</v>
      </c>
      <c r="BOP600" s="8" t="s">
        <v>221</v>
      </c>
      <c r="BTF600" s="8" t="s">
        <v>868</v>
      </c>
      <c r="BUD600" s="8" t="s">
        <v>868</v>
      </c>
      <c r="BUI600" s="8" t="s">
        <v>221</v>
      </c>
      <c r="BVB600" s="8" t="s">
        <v>868</v>
      </c>
      <c r="CCN600" s="8" t="s">
        <v>1952</v>
      </c>
      <c r="CEJ600" s="8" t="s">
        <v>1522</v>
      </c>
      <c r="CIB600" s="8" t="s">
        <v>227</v>
      </c>
      <c r="CJX600" s="8" t="s">
        <v>227</v>
      </c>
      <c r="CLT600" s="8" t="s">
        <v>227</v>
      </c>
      <c r="CNP600" s="8" t="s">
        <v>227</v>
      </c>
      <c r="DLP600" s="8" t="s">
        <v>4820</v>
      </c>
      <c r="DNL600" s="8" t="s">
        <v>4820</v>
      </c>
      <c r="DNM600" s="8" t="s">
        <v>4820</v>
      </c>
    </row>
    <row r="601" spans="1:4 1274:2041 2055:3032 3080:4088 4136:4473 5328:5336">
      <c r="A601" s="8" t="s">
        <v>1298</v>
      </c>
      <c r="B601" s="10" t="s">
        <v>10865</v>
      </c>
      <c r="C601" s="8">
        <v>1954.46</v>
      </c>
      <c r="D601" s="15">
        <v>61.54</v>
      </c>
      <c r="BAV601" s="8" t="s">
        <v>5272</v>
      </c>
      <c r="BEN601" s="8" t="s">
        <v>5272</v>
      </c>
      <c r="BKB601" s="8" t="s">
        <v>4422</v>
      </c>
      <c r="BLI601" s="8" t="s">
        <v>5306</v>
      </c>
      <c r="BLJ601" s="8" t="s">
        <v>5306</v>
      </c>
      <c r="BLV601" s="8" t="s">
        <v>869</v>
      </c>
      <c r="BMN601" s="8" t="s">
        <v>222</v>
      </c>
      <c r="BPN601" s="8" t="s">
        <v>222</v>
      </c>
      <c r="BTH601" s="8" t="s">
        <v>186</v>
      </c>
      <c r="BVB601" s="8" t="s">
        <v>222</v>
      </c>
      <c r="BVD601" s="8" t="s">
        <v>186</v>
      </c>
      <c r="BYV601" s="8" t="s">
        <v>10865</v>
      </c>
      <c r="CCN601" s="8" t="s">
        <v>869</v>
      </c>
      <c r="CEJ601" s="8" t="s">
        <v>869</v>
      </c>
      <c r="DWR601" s="8" t="s">
        <v>4821</v>
      </c>
      <c r="DWS601" s="8" t="s">
        <v>4821</v>
      </c>
      <c r="DYN601" s="8" t="s">
        <v>4821</v>
      </c>
      <c r="DYO601" s="8" t="s">
        <v>4821</v>
      </c>
      <c r="EYJ601" s="8" t="s">
        <v>1953</v>
      </c>
      <c r="FAF601" s="8" t="s">
        <v>1523</v>
      </c>
      <c r="FDX601" s="8" t="s">
        <v>1320</v>
      </c>
      <c r="FFT601" s="8" t="s">
        <v>1320</v>
      </c>
      <c r="FHP601" s="8" t="s">
        <v>1320</v>
      </c>
      <c r="FJL601" s="8" t="s">
        <v>1320</v>
      </c>
    </row>
    <row r="602" spans="1:4 1274:2041 2055:3032 3080:4088 4136:4473 5328:5336">
      <c r="A602" s="8" t="s">
        <v>1298</v>
      </c>
      <c r="B602" s="10" t="s">
        <v>10866</v>
      </c>
      <c r="C602" s="8">
        <v>1954.46</v>
      </c>
      <c r="D602" s="15">
        <v>61.54</v>
      </c>
      <c r="BIF602" s="8" t="s">
        <v>216</v>
      </c>
      <c r="BLN602" s="8" t="s">
        <v>5307</v>
      </c>
      <c r="BLO602" s="8" t="s">
        <v>5307</v>
      </c>
      <c r="BNB602" s="8" t="s">
        <v>4424</v>
      </c>
      <c r="BXB602" s="8" t="s">
        <v>204</v>
      </c>
      <c r="BYV602" s="8" t="s">
        <v>10866</v>
      </c>
      <c r="BYX602" s="8" t="s">
        <v>204</v>
      </c>
      <c r="BZM602" s="8" t="s">
        <v>223</v>
      </c>
      <c r="CAR602" s="8" t="s">
        <v>870</v>
      </c>
      <c r="CEJ602" s="8" t="s">
        <v>223</v>
      </c>
      <c r="CFD602" s="8" t="s">
        <v>870</v>
      </c>
      <c r="CGZ602" s="8" t="s">
        <v>870</v>
      </c>
      <c r="EAD602" s="8" t="s">
        <v>4822</v>
      </c>
      <c r="EAE602" s="8" t="s">
        <v>4822</v>
      </c>
      <c r="EBZ602" s="8" t="s">
        <v>4822</v>
      </c>
      <c r="ECA602" s="8" t="s">
        <v>4822</v>
      </c>
    </row>
    <row r="603" spans="1:4 1274:2041 2055:3032 3080:4088 4136:4473 5328:5336">
      <c r="A603" s="8" t="s">
        <v>1298</v>
      </c>
      <c r="B603" s="10" t="s">
        <v>10867</v>
      </c>
      <c r="C603" s="8">
        <v>2962.46</v>
      </c>
      <c r="D603" s="15">
        <v>61.54</v>
      </c>
      <c r="BIF603" s="8" t="s">
        <v>10883</v>
      </c>
      <c r="BKB603" s="8" t="s">
        <v>10177</v>
      </c>
      <c r="BLX603" s="8" t="s">
        <v>5308</v>
      </c>
      <c r="BLY603" s="8" t="s">
        <v>5308</v>
      </c>
      <c r="BYP603" s="8" t="s">
        <v>205</v>
      </c>
      <c r="CAL603" s="8" t="s">
        <v>205</v>
      </c>
      <c r="CBL603" s="8" t="s">
        <v>224</v>
      </c>
      <c r="CFR603" s="8" t="s">
        <v>871</v>
      </c>
      <c r="CGZ603" s="8" t="s">
        <v>871</v>
      </c>
      <c r="CHE603" s="8" t="s">
        <v>224</v>
      </c>
      <c r="CHN603" s="8" t="s">
        <v>871</v>
      </c>
      <c r="DLP603" s="8" t="s">
        <v>10867</v>
      </c>
      <c r="EAJ603" s="8" t="s">
        <v>4823</v>
      </c>
      <c r="ECF603" s="8" t="s">
        <v>4823</v>
      </c>
      <c r="ECG603" s="8" t="s">
        <v>4823</v>
      </c>
    </row>
    <row r="604" spans="1:4 1274:2041 2055:3032 3080:4088 4136:4473 5328:5336">
      <c r="A604" s="8" t="s">
        <v>1298</v>
      </c>
      <c r="B604" s="10" t="s">
        <v>10868</v>
      </c>
      <c r="C604" s="8">
        <v>3298.46</v>
      </c>
      <c r="D604" s="15">
        <v>61.54</v>
      </c>
      <c r="BKB604" s="8" t="s">
        <v>10884</v>
      </c>
      <c r="BLX604" s="8" t="s">
        <v>10178</v>
      </c>
      <c r="BNT604" s="8" t="s">
        <v>4426</v>
      </c>
      <c r="BPP604" s="8" t="s">
        <v>218</v>
      </c>
      <c r="BTH604" s="8" t="s">
        <v>5309</v>
      </c>
      <c r="BTI604" s="8" t="s">
        <v>5309</v>
      </c>
      <c r="BYV604" s="8" t="s">
        <v>206</v>
      </c>
      <c r="CAR604" s="8" t="s">
        <v>206</v>
      </c>
      <c r="CBZ604" s="8" t="s">
        <v>225</v>
      </c>
      <c r="CFR604" s="8" t="s">
        <v>872</v>
      </c>
      <c r="CGQ604" s="8" t="s">
        <v>225</v>
      </c>
      <c r="CHN604" s="8" t="s">
        <v>225</v>
      </c>
      <c r="CIC604" s="8" t="s">
        <v>872</v>
      </c>
      <c r="CJY604" s="8" t="s">
        <v>872</v>
      </c>
      <c r="DYN604" s="8" t="s">
        <v>10868</v>
      </c>
      <c r="ELL604" s="8" t="s">
        <v>4824</v>
      </c>
      <c r="ELM604" s="8" t="s">
        <v>4824</v>
      </c>
      <c r="ENH604" s="8" t="s">
        <v>4824</v>
      </c>
      <c r="ENI604" s="8" t="s">
        <v>4824</v>
      </c>
    </row>
    <row r="605" spans="1:4 1274:2041 2055:3032 3080:4088 4136:4473 5328:5336">
      <c r="A605" s="8" t="s">
        <v>1298</v>
      </c>
      <c r="B605" s="10" t="s">
        <v>10869</v>
      </c>
      <c r="C605" s="8">
        <v>3634.46</v>
      </c>
      <c r="D605" s="15">
        <v>61.54</v>
      </c>
      <c r="BKB605" s="8" t="s">
        <v>10885</v>
      </c>
      <c r="BLX605" s="8" t="s">
        <v>10179</v>
      </c>
      <c r="BRL605" s="8" t="s">
        <v>219</v>
      </c>
      <c r="BTH605" s="8" t="s">
        <v>4844</v>
      </c>
      <c r="BTI605" s="8" t="s">
        <v>4844</v>
      </c>
      <c r="BWY605" s="8" t="s">
        <v>4427</v>
      </c>
      <c r="BXA605" s="8" t="s">
        <v>873</v>
      </c>
      <c r="BXE605" s="8" t="s">
        <v>226</v>
      </c>
      <c r="CAR605" s="8" t="s">
        <v>207</v>
      </c>
      <c r="CCN605" s="8" t="s">
        <v>207</v>
      </c>
      <c r="CEK605" s="8" t="s">
        <v>226</v>
      </c>
      <c r="CJY605" s="8" t="s">
        <v>226</v>
      </c>
      <c r="CUZ605" s="8" t="s">
        <v>873</v>
      </c>
      <c r="CWV605" s="8" t="s">
        <v>873</v>
      </c>
      <c r="ELL605" s="8" t="s">
        <v>10869</v>
      </c>
      <c r="ENH605" s="8" t="s">
        <v>4825</v>
      </c>
      <c r="ENI605" s="8" t="s">
        <v>4825</v>
      </c>
      <c r="EPD605" s="8" t="s">
        <v>4825</v>
      </c>
      <c r="EPE605" s="8" t="s">
        <v>4825</v>
      </c>
    </row>
    <row r="606" spans="1:4 1274:2041 2055:3032 3080:4088 4136:4473 5328:5336">
      <c r="A606" s="8" t="s">
        <v>1298</v>
      </c>
      <c r="B606" s="10" t="s">
        <v>10870</v>
      </c>
      <c r="C606" s="8">
        <v>3970.46</v>
      </c>
      <c r="D606" s="15">
        <v>61.54</v>
      </c>
      <c r="BPP606" s="8" t="s">
        <v>10886</v>
      </c>
      <c r="BRL606" s="8" t="s">
        <v>10180</v>
      </c>
      <c r="BUD606" s="8" t="s">
        <v>220</v>
      </c>
      <c r="BUS606" s="8" t="s">
        <v>4845</v>
      </c>
      <c r="BUT606" s="8" t="s">
        <v>4845</v>
      </c>
      <c r="BWZ606" s="8" t="s">
        <v>4428</v>
      </c>
      <c r="CGB606" s="8" t="s">
        <v>208</v>
      </c>
      <c r="CHX606" s="8" t="s">
        <v>208</v>
      </c>
      <c r="CRH606" s="8" t="s">
        <v>227</v>
      </c>
      <c r="CWV606" s="8" t="s">
        <v>227</v>
      </c>
      <c r="ESV606" s="8" t="s">
        <v>4826</v>
      </c>
      <c r="EUR606" s="8" t="s">
        <v>4826</v>
      </c>
      <c r="EUS606" s="8" t="s">
        <v>4826</v>
      </c>
      <c r="EYJ606" s="8" t="s">
        <v>10870</v>
      </c>
      <c r="GVX606" s="8" t="s">
        <v>227</v>
      </c>
      <c r="GWF606" s="8" t="s">
        <v>1264</v>
      </c>
    </row>
    <row r="607" spans="1:4 1274:2041 2055:3032 3080:4088 4136:4473 5328:5336">
      <c r="A607" s="8" t="s">
        <v>1298</v>
      </c>
      <c r="B607" s="10" t="s">
        <v>10871</v>
      </c>
      <c r="C607" s="8">
        <v>3970.46</v>
      </c>
      <c r="D607" s="15">
        <v>61.54</v>
      </c>
      <c r="BRL607" s="8" t="s">
        <v>10887</v>
      </c>
      <c r="BTH607" s="8" t="s">
        <v>10181</v>
      </c>
      <c r="BVB607" s="8" t="s">
        <v>221</v>
      </c>
      <c r="BWD607" s="8" t="s">
        <v>5310</v>
      </c>
      <c r="BWE607" s="8" t="s">
        <v>5310</v>
      </c>
      <c r="BYV607" s="8" t="s">
        <v>4429</v>
      </c>
      <c r="DRD607" s="8" t="s">
        <v>209</v>
      </c>
      <c r="DSZ607" s="8" t="s">
        <v>209</v>
      </c>
      <c r="EYJ607" s="8" t="s">
        <v>10871</v>
      </c>
      <c r="FCB607" s="8" t="s">
        <v>4827</v>
      </c>
      <c r="FCC607" s="8" t="s">
        <v>4827</v>
      </c>
      <c r="FDX607" s="8" t="s">
        <v>4827</v>
      </c>
      <c r="FDY607" s="8" t="s">
        <v>4827</v>
      </c>
    </row>
    <row r="608" spans="1:4 1274:2041 2055:3032 3080:4088 4136:4473 5328:5336">
      <c r="A608" s="8" t="s">
        <v>1298</v>
      </c>
      <c r="B608" s="10" t="s">
        <v>10872</v>
      </c>
      <c r="C608" s="8">
        <v>3970.46</v>
      </c>
      <c r="D608" s="15">
        <v>61.54</v>
      </c>
      <c r="BWS608" s="8" t="s">
        <v>4847</v>
      </c>
      <c r="BWT608" s="8" t="s">
        <v>4847</v>
      </c>
      <c r="CAR608" s="8" t="s">
        <v>4430</v>
      </c>
      <c r="CCN608" s="8" t="s">
        <v>10888</v>
      </c>
      <c r="CEJ608" s="8" t="s">
        <v>10182</v>
      </c>
      <c r="DUV608" s="8" t="s">
        <v>210</v>
      </c>
      <c r="DWR608" s="8" t="s">
        <v>210</v>
      </c>
      <c r="EYJ608" s="8" t="s">
        <v>10872</v>
      </c>
      <c r="FND608" s="8" t="s">
        <v>4828</v>
      </c>
      <c r="FNE608" s="8" t="s">
        <v>4828</v>
      </c>
      <c r="FOZ608" s="8" t="s">
        <v>4828</v>
      </c>
      <c r="FPA608" s="8" t="s">
        <v>4828</v>
      </c>
    </row>
    <row r="609" spans="1:824 1352:1977 2120:3033 3128:4081 4280:4360">
      <c r="A609" s="8" t="s">
        <v>1299</v>
      </c>
      <c r="B609" s="10" t="s">
        <v>13982</v>
      </c>
      <c r="C609" s="8">
        <v>48</v>
      </c>
      <c r="D609" s="15">
        <v>20.39</v>
      </c>
      <c r="BX609" s="8" t="s">
        <v>13982</v>
      </c>
      <c r="BWZ609" s="8" t="s">
        <v>5311</v>
      </c>
      <c r="BXA609" s="8" t="s">
        <v>5311</v>
      </c>
      <c r="CCN609" s="8" t="s">
        <v>4431</v>
      </c>
      <c r="CGZ609" s="8" t="s">
        <v>223</v>
      </c>
    </row>
    <row r="610" spans="1:824 1352:1977 2120:3033 3128:4081 4280:4360">
      <c r="A610" s="8" t="s">
        <v>1299</v>
      </c>
      <c r="B610" s="10" t="s">
        <v>10873</v>
      </c>
      <c r="C610" s="8">
        <v>97</v>
      </c>
      <c r="D610" s="15">
        <v>14.27</v>
      </c>
      <c r="DO610" s="8" t="s">
        <v>10873</v>
      </c>
      <c r="CEJ610" s="8" t="s">
        <v>5312</v>
      </c>
      <c r="CEK610" s="8" t="s">
        <v>5312</v>
      </c>
      <c r="CHN610" s="8" t="s">
        <v>224</v>
      </c>
      <c r="CJW610" s="8" t="s">
        <v>4432</v>
      </c>
    </row>
    <row r="611" spans="1:824 1352:1977 2120:3033 3128:4081 4280:4360">
      <c r="A611" s="8" t="s">
        <v>1299</v>
      </c>
      <c r="B611" s="10" t="s">
        <v>10874</v>
      </c>
      <c r="C611" s="8">
        <v>112.27</v>
      </c>
      <c r="D611" s="15">
        <v>20.34</v>
      </c>
      <c r="EK611" s="8" t="s">
        <v>10874</v>
      </c>
      <c r="CJX611" s="8" t="s">
        <v>4848</v>
      </c>
      <c r="CJY611" s="8" t="s">
        <v>4848</v>
      </c>
    </row>
    <row r="612" spans="1:824 1352:1977 2120:3033 3128:4081 4280:4360">
      <c r="A612" s="8" t="s">
        <v>1299</v>
      </c>
      <c r="B612" s="10" t="s">
        <v>13983</v>
      </c>
      <c r="C612" s="8">
        <v>145</v>
      </c>
      <c r="D612" s="15">
        <v>40.78</v>
      </c>
      <c r="GL612" s="8" t="s">
        <v>13983</v>
      </c>
      <c r="CRH612" s="8" t="s">
        <v>4850</v>
      </c>
      <c r="CRI612" s="8" t="s">
        <v>4850</v>
      </c>
      <c r="CUZ612" s="8" t="s">
        <v>4434</v>
      </c>
      <c r="CWV612" s="8" t="s">
        <v>226</v>
      </c>
    </row>
    <row r="613" spans="1:824 1352:1977 2120:3033 3128:4081 4280:4360">
      <c r="A613" s="8" t="s">
        <v>1299</v>
      </c>
      <c r="B613" s="10" t="s">
        <v>10876</v>
      </c>
      <c r="C613" s="8">
        <v>215.62</v>
      </c>
      <c r="D613" s="15">
        <v>41.18</v>
      </c>
      <c r="JE613" s="8" t="s">
        <v>10876</v>
      </c>
      <c r="AYZ613" s="8" t="s">
        <v>3209</v>
      </c>
      <c r="CUZ613" s="8" t="s">
        <v>4851</v>
      </c>
      <c r="CVA613" s="8" t="s">
        <v>4851</v>
      </c>
    </row>
    <row r="614" spans="1:824 1352:1977 2120:3033 3128:4081 4280:4360">
      <c r="A614" s="8" t="s">
        <v>1299</v>
      </c>
      <c r="B614" s="10" t="s">
        <v>10875</v>
      </c>
      <c r="C614" s="8">
        <v>257.79000000000002</v>
      </c>
      <c r="D614" s="15">
        <v>40.78</v>
      </c>
      <c r="KU614" s="8" t="s">
        <v>10875</v>
      </c>
      <c r="AYZ614" s="8" t="s">
        <v>3210</v>
      </c>
      <c r="CUZ614" s="8" t="s">
        <v>4436</v>
      </c>
      <c r="DAN614" s="8" t="s">
        <v>4852</v>
      </c>
      <c r="DAO614" s="8" t="s">
        <v>4852</v>
      </c>
    </row>
    <row r="615" spans="1:824 1352:1977 2120:3033 3128:4081 4280:4360">
      <c r="A615" s="8" t="s">
        <v>1299</v>
      </c>
      <c r="B615" s="10" t="s">
        <v>10877</v>
      </c>
      <c r="C615" s="8">
        <v>299.58</v>
      </c>
      <c r="D615" s="15">
        <v>41.18</v>
      </c>
      <c r="MK615" s="8" t="s">
        <v>10877</v>
      </c>
      <c r="AYZ615" s="8" t="s">
        <v>3211</v>
      </c>
      <c r="BAV615" s="8" t="s">
        <v>3211</v>
      </c>
      <c r="CWV615" s="8" t="s">
        <v>4437</v>
      </c>
      <c r="DDK615" s="8" t="s">
        <v>5313</v>
      </c>
      <c r="DDL615" s="8" t="s">
        <v>5313</v>
      </c>
    </row>
    <row r="616" spans="1:824 1352:1977 2120:3033 3128:4081 4280:4360">
      <c r="A616" s="8" t="s">
        <v>1299</v>
      </c>
      <c r="B616" s="10" t="s">
        <v>13984</v>
      </c>
      <c r="C616" s="8">
        <v>341.75</v>
      </c>
      <c r="D616" s="15">
        <v>40.78</v>
      </c>
      <c r="OA616" s="8" t="s">
        <v>13984</v>
      </c>
      <c r="AYZ616" s="8" t="s">
        <v>3212</v>
      </c>
      <c r="BAV616" s="8" t="s">
        <v>3212</v>
      </c>
      <c r="CYR616" s="8" t="s">
        <v>4438</v>
      </c>
      <c r="DGB616" s="8" t="s">
        <v>4853</v>
      </c>
      <c r="DGC616" s="8" t="s">
        <v>4853</v>
      </c>
    </row>
    <row r="617" spans="1:824 1352:1977 2120:3033 3128:4081 4280:4360">
      <c r="A617" s="8" t="s">
        <v>1299</v>
      </c>
      <c r="B617" s="10" t="s">
        <v>13985</v>
      </c>
      <c r="C617" s="8">
        <v>383.54</v>
      </c>
      <c r="D617" s="15">
        <v>41.18</v>
      </c>
      <c r="PQ617" s="8" t="s">
        <v>13985</v>
      </c>
      <c r="BCF617" s="8" t="s">
        <v>3213</v>
      </c>
      <c r="BEB617" s="8" t="s">
        <v>3213</v>
      </c>
      <c r="DAN617" s="8" t="s">
        <v>4439</v>
      </c>
      <c r="DLP617" s="8" t="s">
        <v>5314</v>
      </c>
      <c r="DLQ617" s="8" t="s">
        <v>5314</v>
      </c>
    </row>
    <row r="618" spans="1:824 1352:1977 2120:3033 3128:4081 4280:4360">
      <c r="A618" s="8" t="s">
        <v>1299</v>
      </c>
      <c r="B618" s="10" t="s">
        <v>13986</v>
      </c>
      <c r="C618" s="8">
        <v>625</v>
      </c>
      <c r="D618" s="15">
        <v>20.59</v>
      </c>
      <c r="YD618" s="8" t="s">
        <v>13986</v>
      </c>
      <c r="BAV618" s="8" t="s">
        <v>5522</v>
      </c>
      <c r="BCQ618" s="8" t="s">
        <v>4836</v>
      </c>
      <c r="BCR618" s="8" t="s">
        <v>4836</v>
      </c>
      <c r="BCS618" s="8" t="s">
        <v>4836</v>
      </c>
      <c r="BEN618" s="8" t="s">
        <v>3214</v>
      </c>
      <c r="DHX618" s="8" t="s">
        <v>4440</v>
      </c>
      <c r="DPH618" s="8" t="s">
        <v>4854</v>
      </c>
      <c r="DPI618" s="8" t="s">
        <v>4854</v>
      </c>
    </row>
    <row r="619" spans="1:824 1352:1977 2120:3033 3128:4081 4280:4360">
      <c r="A619" s="8" t="s">
        <v>1299</v>
      </c>
      <c r="B619" s="10" t="s">
        <v>13987</v>
      </c>
      <c r="C619" s="8">
        <v>646.59</v>
      </c>
      <c r="D619" s="15">
        <v>20.39</v>
      </c>
      <c r="YY619" s="8" t="s">
        <v>13987</v>
      </c>
      <c r="BBY619" s="8" t="s">
        <v>5523</v>
      </c>
      <c r="BBZ619" s="8" t="s">
        <v>5523</v>
      </c>
      <c r="BCR619" s="8" t="s">
        <v>3215</v>
      </c>
      <c r="BDU619" s="8" t="s">
        <v>4837</v>
      </c>
      <c r="BDW619" s="8" t="s">
        <v>4837</v>
      </c>
      <c r="BEN619" s="8" t="s">
        <v>3215</v>
      </c>
      <c r="DJT619" s="8" t="s">
        <v>4441</v>
      </c>
      <c r="EQH619" s="8" t="s">
        <v>4855</v>
      </c>
    </row>
    <row r="620" spans="1:824 1352:1977 2120:3033 3128:4081 4280:4360">
      <c r="A620" s="8" t="s">
        <v>1299</v>
      </c>
      <c r="B620" s="10" t="s">
        <v>13988</v>
      </c>
      <c r="C620" s="8">
        <v>667.98</v>
      </c>
      <c r="D620" s="15">
        <v>20.39</v>
      </c>
      <c r="ZT620" s="8" t="s">
        <v>13988</v>
      </c>
      <c r="BCC620" s="8" t="s">
        <v>5524</v>
      </c>
      <c r="BCD620" s="8" t="s">
        <v>5524</v>
      </c>
      <c r="BDX620" s="8" t="s">
        <v>4838</v>
      </c>
      <c r="BDY620" s="8" t="s">
        <v>4838</v>
      </c>
      <c r="BDZ620" s="8" t="s">
        <v>4838</v>
      </c>
      <c r="BEN620" s="8" t="s">
        <v>3216</v>
      </c>
      <c r="BGJ620" s="8" t="s">
        <v>3216</v>
      </c>
      <c r="EQZ620" s="8" t="s">
        <v>4856</v>
      </c>
      <c r="ERA620" s="8" t="s">
        <v>4856</v>
      </c>
      <c r="FJL620" s="8" t="s">
        <v>4642</v>
      </c>
    </row>
    <row r="621" spans="1:824 1352:1977 2120:3033 3128:4081 4280:4360">
      <c r="A621" s="8" t="s">
        <v>1299</v>
      </c>
      <c r="B621" s="10" t="s">
        <v>10878</v>
      </c>
      <c r="C621" s="8">
        <v>689.37</v>
      </c>
      <c r="D621" s="15">
        <v>19.61</v>
      </c>
      <c r="AAO621" s="8" t="s">
        <v>10878</v>
      </c>
      <c r="BCG621" s="8" t="s">
        <v>5525</v>
      </c>
      <c r="BCH621" s="8" t="s">
        <v>5525</v>
      </c>
      <c r="BEB621" s="8" t="s">
        <v>4839</v>
      </c>
      <c r="BEC621" s="8" t="s">
        <v>4839</v>
      </c>
      <c r="BED621" s="8" t="s">
        <v>4839</v>
      </c>
      <c r="BIF621" s="8" t="s">
        <v>3217</v>
      </c>
      <c r="BKB621" s="8" t="s">
        <v>3217</v>
      </c>
      <c r="EZX621" s="8" t="s">
        <v>4857</v>
      </c>
      <c r="EZY621" s="8" t="s">
        <v>4857</v>
      </c>
    </row>
    <row r="622" spans="1:824 1352:1977 2120:3033 3128:4081 4280:4360">
      <c r="A622" s="8" t="s">
        <v>1299</v>
      </c>
      <c r="B622" s="10" t="s">
        <v>10879</v>
      </c>
      <c r="C622" s="8">
        <v>709.98</v>
      </c>
      <c r="D622" s="15">
        <v>19.61</v>
      </c>
      <c r="ABJ622" s="8" t="s">
        <v>10879</v>
      </c>
      <c r="BDR622" s="8" t="s">
        <v>5526</v>
      </c>
      <c r="BFL622" s="8" t="s">
        <v>4840</v>
      </c>
      <c r="BFN622" s="8" t="s">
        <v>4840</v>
      </c>
      <c r="BNT622" s="8" t="s">
        <v>3218</v>
      </c>
      <c r="BPP622" s="8" t="s">
        <v>3218</v>
      </c>
      <c r="FHP622" s="8" t="s">
        <v>4858</v>
      </c>
      <c r="FHQ622" s="8" t="s">
        <v>4858</v>
      </c>
    </row>
    <row r="623" spans="1:824 1352:1977 2120:3033 3128:4081 4280:4360">
      <c r="A623" s="8" t="s">
        <v>1299</v>
      </c>
      <c r="B623" s="10" t="s">
        <v>10880</v>
      </c>
      <c r="C623" s="8">
        <v>730.59</v>
      </c>
      <c r="D623" s="15">
        <v>40.78</v>
      </c>
      <c r="ACY623" s="8" t="s">
        <v>10880</v>
      </c>
      <c r="BEN623" s="8" t="s">
        <v>5527</v>
      </c>
      <c r="BGI623" s="8" t="s">
        <v>4841</v>
      </c>
      <c r="BGJ623" s="8" t="s">
        <v>4841</v>
      </c>
      <c r="BGK623" s="8" t="s">
        <v>4841</v>
      </c>
      <c r="BNT623" s="8" t="s">
        <v>3219</v>
      </c>
      <c r="BPP623" s="8" t="s">
        <v>3219</v>
      </c>
      <c r="FKM623" s="8" t="s">
        <v>4846</v>
      </c>
      <c r="FKN623" s="8" t="s">
        <v>4846</v>
      </c>
    </row>
    <row r="624" spans="1:824 1352:1977 2120:3033 3128:4081 4280:4360">
      <c r="A624" s="8" t="s">
        <v>1299</v>
      </c>
      <c r="B624" s="10" t="s">
        <v>13989</v>
      </c>
      <c r="C624" s="8">
        <v>775.22</v>
      </c>
      <c r="D624" s="15">
        <v>40.78</v>
      </c>
      <c r="AER624" s="8" t="s">
        <v>13989</v>
      </c>
      <c r="BFU624" s="8" t="s">
        <v>5528</v>
      </c>
      <c r="BFV624" s="8" t="s">
        <v>5528</v>
      </c>
      <c r="BHQ624" s="8" t="s">
        <v>4842</v>
      </c>
      <c r="BHS624" s="8" t="s">
        <v>4842</v>
      </c>
      <c r="BPO624" s="8" t="s">
        <v>3220</v>
      </c>
      <c r="BRK624" s="8" t="s">
        <v>3220</v>
      </c>
      <c r="FKQ624" s="8" t="s">
        <v>5315</v>
      </c>
      <c r="FKR624" s="8" t="s">
        <v>5315</v>
      </c>
    </row>
    <row r="625" spans="1:968 1113:1976 2072:2984 3176:3224 4353:4377">
      <c r="A625" s="8" t="s">
        <v>1299</v>
      </c>
      <c r="B625" s="10" t="s">
        <v>10881</v>
      </c>
      <c r="C625" s="8">
        <v>950.2</v>
      </c>
      <c r="D625" s="15">
        <v>9.8000000000000007</v>
      </c>
      <c r="AKF625" s="8" t="s">
        <v>10881</v>
      </c>
      <c r="BHQ625" s="8" t="s">
        <v>5529</v>
      </c>
      <c r="BHR625" s="8" t="s">
        <v>5529</v>
      </c>
      <c r="BJL625" s="8" t="s">
        <v>5306</v>
      </c>
      <c r="BJM625" s="8" t="s">
        <v>5306</v>
      </c>
      <c r="BJN625" s="8" t="s">
        <v>5306</v>
      </c>
      <c r="BRL625" s="8" t="s">
        <v>3221</v>
      </c>
      <c r="BTH625" s="8" t="s">
        <v>3221</v>
      </c>
      <c r="FKK625" s="8" t="s">
        <v>5316</v>
      </c>
      <c r="FKL625" s="8" t="s">
        <v>5316</v>
      </c>
    </row>
    <row r="626" spans="1:968 1113:1976 2072:2984 3176:3224 4353:4377">
      <c r="A626" s="8" t="s">
        <v>1299</v>
      </c>
      <c r="B626" s="10" t="s">
        <v>10882</v>
      </c>
      <c r="C626" s="8">
        <v>1095.67</v>
      </c>
      <c r="D626" s="15">
        <v>9.8000000000000007</v>
      </c>
      <c r="APU626" s="8" t="s">
        <v>10882</v>
      </c>
      <c r="BHV626" s="8" t="s">
        <v>5530</v>
      </c>
      <c r="BHW626" s="8" t="s">
        <v>5530</v>
      </c>
      <c r="BJQ626" s="8" t="s">
        <v>5307</v>
      </c>
      <c r="BJR626" s="8" t="s">
        <v>5307</v>
      </c>
      <c r="BJS626" s="8" t="s">
        <v>5307</v>
      </c>
      <c r="BUL626" s="8" t="s">
        <v>3222</v>
      </c>
      <c r="BWH626" s="8" t="s">
        <v>3222</v>
      </c>
      <c r="FLH626" s="8" t="s">
        <v>4849</v>
      </c>
      <c r="FLI626" s="8" t="s">
        <v>4849</v>
      </c>
    </row>
    <row r="627" spans="1:968 1113:1976 2072:2984 3176:3224 4353:4377">
      <c r="A627" s="8" t="s">
        <v>1299</v>
      </c>
      <c r="B627" s="10" t="s">
        <v>13990</v>
      </c>
      <c r="C627" s="8">
        <v>1303.22</v>
      </c>
      <c r="D627" s="15">
        <v>40.78</v>
      </c>
      <c r="AYZ627" s="8" t="s">
        <v>13990</v>
      </c>
      <c r="BIF627" s="8" t="s">
        <v>5531</v>
      </c>
      <c r="BKA627" s="8" t="s">
        <v>5308</v>
      </c>
      <c r="BKB627" s="8" t="s">
        <v>5308</v>
      </c>
      <c r="BKC627" s="8" t="s">
        <v>5308</v>
      </c>
      <c r="BTH627" s="8" t="s">
        <v>3223</v>
      </c>
      <c r="BVD627" s="8" t="s">
        <v>3223</v>
      </c>
    </row>
    <row r="628" spans="1:968 1113:1976 2072:2984 3176:3224 4353:4377">
      <c r="A628" s="8" t="s">
        <v>1299</v>
      </c>
      <c r="B628" s="10" t="s">
        <v>10883</v>
      </c>
      <c r="C628" s="8">
        <v>1430.2</v>
      </c>
      <c r="D628" s="15">
        <v>9.8000000000000007</v>
      </c>
      <c r="AYZ628" s="8" t="s">
        <v>3212</v>
      </c>
      <c r="BCR628" s="8" t="s">
        <v>10883</v>
      </c>
      <c r="BPP628" s="8" t="s">
        <v>5532</v>
      </c>
      <c r="BRK628" s="8" t="s">
        <v>5309</v>
      </c>
      <c r="BRL628" s="8" t="s">
        <v>5309</v>
      </c>
      <c r="BRM628" s="8" t="s">
        <v>5309</v>
      </c>
      <c r="CEJ628" s="8" t="s">
        <v>3224</v>
      </c>
      <c r="CGF628" s="8" t="s">
        <v>3224</v>
      </c>
    </row>
    <row r="629" spans="1:968 1113:1976 2072:2984 3176:3224 4353:4377">
      <c r="A629" s="8" t="s">
        <v>1299</v>
      </c>
      <c r="B629" s="10" t="s">
        <v>10884</v>
      </c>
      <c r="C629" s="8">
        <v>1447.22</v>
      </c>
      <c r="D629" s="15">
        <v>40.78</v>
      </c>
      <c r="BCF629" s="8" t="s">
        <v>3213</v>
      </c>
      <c r="BEN629" s="8" t="s">
        <v>10884</v>
      </c>
      <c r="BPP629" s="8" t="s">
        <v>5533</v>
      </c>
      <c r="BPQ629" s="8" t="s">
        <v>5533</v>
      </c>
      <c r="BRK629" s="8" t="s">
        <v>4844</v>
      </c>
      <c r="BRL629" s="8" t="s">
        <v>4844</v>
      </c>
      <c r="BRM629" s="8" t="s">
        <v>4844</v>
      </c>
      <c r="CGF629" s="8" t="s">
        <v>3225</v>
      </c>
      <c r="CIB629" s="8" t="s">
        <v>3225</v>
      </c>
    </row>
    <row r="630" spans="1:968 1113:1976 2072:2984 3176:3224 4353:4377">
      <c r="A630" s="8" t="s">
        <v>1299</v>
      </c>
      <c r="B630" s="10" t="s">
        <v>10885</v>
      </c>
      <c r="C630" s="8">
        <v>1477.8</v>
      </c>
      <c r="D630" s="15">
        <v>10.199999999999999</v>
      </c>
      <c r="AYZ630" s="8" t="s">
        <v>3872</v>
      </c>
      <c r="BCR630" s="8" t="s">
        <v>3214</v>
      </c>
      <c r="BEN630" s="8" t="s">
        <v>10885</v>
      </c>
      <c r="BQZ630" s="8" t="s">
        <v>5534</v>
      </c>
      <c r="BRA630" s="8" t="s">
        <v>5534</v>
      </c>
      <c r="BSV630" s="8" t="s">
        <v>4845</v>
      </c>
      <c r="BSX630" s="8" t="s">
        <v>4845</v>
      </c>
      <c r="CIB630" s="8" t="s">
        <v>3226</v>
      </c>
      <c r="CJX630" s="8" t="s">
        <v>3226</v>
      </c>
    </row>
    <row r="631" spans="1:968 1113:1976 2072:2984 3176:3224 4353:4377">
      <c r="A631" s="8" t="s">
        <v>1299</v>
      </c>
      <c r="B631" s="10" t="s">
        <v>10886</v>
      </c>
      <c r="C631" s="8">
        <v>1612.39</v>
      </c>
      <c r="D631" s="15">
        <v>19.61</v>
      </c>
      <c r="AYZ631" s="8" t="s">
        <v>3873</v>
      </c>
      <c r="BCR631" s="8" t="s">
        <v>3215</v>
      </c>
      <c r="BKB631" s="8" t="s">
        <v>10886</v>
      </c>
      <c r="BSH631" s="8" t="s">
        <v>5535</v>
      </c>
      <c r="BSI631" s="8" t="s">
        <v>5535</v>
      </c>
      <c r="BUD631" s="8" t="s">
        <v>5362</v>
      </c>
      <c r="BUF631" s="8" t="s">
        <v>5362</v>
      </c>
      <c r="CJX631" s="8" t="s">
        <v>3227</v>
      </c>
      <c r="CLT631" s="8" t="s">
        <v>3227</v>
      </c>
    </row>
    <row r="632" spans="1:968 1113:1976 2072:2984 3176:3224 4353:4377">
      <c r="A632" s="8" t="s">
        <v>1299</v>
      </c>
      <c r="B632" s="10" t="s">
        <v>10888</v>
      </c>
      <c r="C632" s="8">
        <v>1958.2</v>
      </c>
      <c r="D632" s="15">
        <v>9.8000000000000007</v>
      </c>
      <c r="AYZ632" s="8" t="s">
        <v>5273</v>
      </c>
      <c r="AZV632" s="8" t="s">
        <v>3874</v>
      </c>
      <c r="BDN632" s="8" t="s">
        <v>3468</v>
      </c>
      <c r="BSL632" s="8" t="s">
        <v>5536</v>
      </c>
      <c r="BUG632" s="8" t="s">
        <v>5310</v>
      </c>
      <c r="BUH632" s="8" t="s">
        <v>5310</v>
      </c>
      <c r="BUI632" s="8" t="s">
        <v>5310</v>
      </c>
      <c r="BWZ632" s="8" t="s">
        <v>10888</v>
      </c>
      <c r="CRG632" s="8" t="s">
        <v>3228</v>
      </c>
      <c r="CTC632" s="8" t="s">
        <v>3228</v>
      </c>
    </row>
    <row r="633" spans="1:968 1113:1976 2072:2984 3176:3224 4353:4377">
      <c r="A633" s="8" t="s">
        <v>9923</v>
      </c>
      <c r="B633" s="10" t="s">
        <v>10889</v>
      </c>
      <c r="C633" s="8">
        <v>-46</v>
      </c>
      <c r="D633" s="15">
        <v>41.18</v>
      </c>
      <c r="H633" s="8" t="s">
        <v>10889</v>
      </c>
      <c r="AYZ633" s="8" t="s">
        <v>4208</v>
      </c>
      <c r="BAV633" s="8" t="s">
        <v>5274</v>
      </c>
      <c r="BEN633" s="8" t="s">
        <v>3216</v>
      </c>
      <c r="BTA633" s="8" t="s">
        <v>5537</v>
      </c>
      <c r="BUV633" s="8" t="s">
        <v>4847</v>
      </c>
      <c r="BUW633" s="8" t="s">
        <v>4847</v>
      </c>
      <c r="BUX633" s="8" t="s">
        <v>4847</v>
      </c>
      <c r="CRH633" s="8" t="s">
        <v>3229</v>
      </c>
      <c r="CTD633" s="8" t="s">
        <v>3229</v>
      </c>
    </row>
    <row r="634" spans="1:968 1113:1976 2072:2984 3176:3224 4353:4377">
      <c r="A634" s="8" t="s">
        <v>9923</v>
      </c>
      <c r="B634" s="10" t="s">
        <v>10894</v>
      </c>
      <c r="C634" s="8">
        <v>145</v>
      </c>
      <c r="D634" s="15">
        <v>41.18</v>
      </c>
      <c r="GL634" s="8" t="s">
        <v>10894</v>
      </c>
      <c r="AYZ634" s="8" t="s">
        <v>5275</v>
      </c>
      <c r="AZU634" s="8" t="s">
        <v>4417</v>
      </c>
      <c r="BBQ634" s="8" t="s">
        <v>4010</v>
      </c>
      <c r="BCR634" s="8" t="s">
        <v>5275</v>
      </c>
      <c r="BDM634" s="8" t="s">
        <v>3669</v>
      </c>
      <c r="BHE634" s="8" t="s">
        <v>3469</v>
      </c>
      <c r="BTH634" s="8" t="s">
        <v>5538</v>
      </c>
      <c r="BTI634" s="8" t="s">
        <v>5538</v>
      </c>
      <c r="BVC634" s="8" t="s">
        <v>5311</v>
      </c>
      <c r="BVD634" s="8" t="s">
        <v>5311</v>
      </c>
      <c r="BVE634" s="8" t="s">
        <v>5311</v>
      </c>
      <c r="BVF634" s="8" t="s">
        <v>4442</v>
      </c>
      <c r="DCJ634" s="8" t="s">
        <v>3230</v>
      </c>
      <c r="DEF634" s="8" t="s">
        <v>3230</v>
      </c>
    </row>
    <row r="635" spans="1:968 1113:1976 2072:2984 3176:3224 4353:4377">
      <c r="A635" s="8" t="s">
        <v>9923</v>
      </c>
      <c r="B635" s="10" t="s">
        <v>10896</v>
      </c>
      <c r="C635" s="8">
        <v>187.78</v>
      </c>
      <c r="D635" s="15">
        <v>41.18</v>
      </c>
      <c r="IC635" s="8" t="s">
        <v>10896</v>
      </c>
      <c r="BAV635" s="8" t="s">
        <v>4418</v>
      </c>
      <c r="BCR635" s="8" t="s">
        <v>4209</v>
      </c>
      <c r="BEN635" s="8" t="s">
        <v>3670</v>
      </c>
      <c r="BIF635" s="8" t="s">
        <v>3217</v>
      </c>
      <c r="CAR635" s="8" t="s">
        <v>5539</v>
      </c>
      <c r="CAS635" s="8" t="s">
        <v>5539</v>
      </c>
      <c r="CCM635" s="8" t="s">
        <v>5312</v>
      </c>
      <c r="CCN635" s="8" t="s">
        <v>5312</v>
      </c>
      <c r="CCO635" s="8" t="s">
        <v>5312</v>
      </c>
      <c r="DDR635" s="8" t="s">
        <v>3231</v>
      </c>
      <c r="DFN635" s="8" t="s">
        <v>3231</v>
      </c>
    </row>
    <row r="636" spans="1:968 1113:1976 2072:2984 3176:3224 4353:4377">
      <c r="A636" s="8" t="s">
        <v>9923</v>
      </c>
      <c r="B636" s="10" t="s">
        <v>10891</v>
      </c>
      <c r="C636" s="8">
        <v>234.78</v>
      </c>
      <c r="D636" s="15">
        <v>41.18</v>
      </c>
      <c r="JX636" s="8" t="s">
        <v>10891</v>
      </c>
      <c r="AYZ636" s="8" t="s">
        <v>10183</v>
      </c>
      <c r="BAG636" s="8" t="s">
        <v>4860</v>
      </c>
      <c r="BAH636" s="8" t="s">
        <v>4860</v>
      </c>
      <c r="BGJ636" s="8" t="s">
        <v>4419</v>
      </c>
      <c r="BIF636" s="8" t="s">
        <v>4210</v>
      </c>
      <c r="BKB636" s="8" t="s">
        <v>3671</v>
      </c>
      <c r="BNT636" s="8" t="s">
        <v>3218</v>
      </c>
      <c r="CGF636" s="8" t="s">
        <v>5540</v>
      </c>
      <c r="CIA636" s="8" t="s">
        <v>4848</v>
      </c>
      <c r="CIB636" s="8" t="s">
        <v>4848</v>
      </c>
      <c r="CIC636" s="8" t="s">
        <v>4848</v>
      </c>
      <c r="DEF636" s="8" t="s">
        <v>3232</v>
      </c>
      <c r="DGB636" s="8" t="s">
        <v>3232</v>
      </c>
    </row>
    <row r="637" spans="1:968 1113:1976 2072:2984 3176:3224 4353:4377">
      <c r="A637" s="8" t="s">
        <v>9923</v>
      </c>
      <c r="B637" s="10" t="s">
        <v>10892</v>
      </c>
      <c r="C637" s="8">
        <v>277.35000000000002</v>
      </c>
      <c r="D637" s="15">
        <v>41.18</v>
      </c>
      <c r="LO637" s="8" t="s">
        <v>10892</v>
      </c>
      <c r="AYZ637" s="8" t="s">
        <v>10184</v>
      </c>
      <c r="BCR637" s="8" t="s">
        <v>4861</v>
      </c>
      <c r="BCS637" s="8" t="s">
        <v>4861</v>
      </c>
      <c r="BGJ637" s="8" t="s">
        <v>4420</v>
      </c>
      <c r="BIF637" s="8" t="s">
        <v>4211</v>
      </c>
      <c r="BKB637" s="8" t="s">
        <v>3672</v>
      </c>
      <c r="BNT637" s="8" t="s">
        <v>3219</v>
      </c>
      <c r="CNP637" s="8" t="s">
        <v>5541</v>
      </c>
      <c r="CPK637" s="8" t="s">
        <v>4850</v>
      </c>
      <c r="CPL637" s="8" t="s">
        <v>4850</v>
      </c>
      <c r="CPM637" s="8" t="s">
        <v>4850</v>
      </c>
      <c r="DGB637" s="8" t="s">
        <v>3233</v>
      </c>
      <c r="DHX637" s="8" t="s">
        <v>3233</v>
      </c>
    </row>
    <row r="638" spans="1:968 1113:1976 2072:2984 3176:3224 4353:4377">
      <c r="A638" s="8" t="s">
        <v>9923</v>
      </c>
      <c r="B638" s="10" t="s">
        <v>13991</v>
      </c>
      <c r="C638" s="8">
        <v>344.78</v>
      </c>
      <c r="D638" s="15">
        <v>39.22</v>
      </c>
      <c r="OB638" s="8" t="s">
        <v>13991</v>
      </c>
      <c r="AYY638" s="8" t="s">
        <v>6276</v>
      </c>
      <c r="BFC638" s="8" t="s">
        <v>4862</v>
      </c>
      <c r="BFD638" s="8" t="s">
        <v>4862</v>
      </c>
      <c r="BIE638" s="8" t="s">
        <v>4421</v>
      </c>
      <c r="BKA638" s="8" t="s">
        <v>4011</v>
      </c>
      <c r="BLW638" s="8" t="s">
        <v>3673</v>
      </c>
      <c r="BPO638" s="8" t="s">
        <v>3220</v>
      </c>
      <c r="CRH638" s="8" t="s">
        <v>5542</v>
      </c>
      <c r="CRI638" s="8" t="s">
        <v>5542</v>
      </c>
      <c r="CTC638" s="8" t="s">
        <v>4851</v>
      </c>
      <c r="CTD638" s="8" t="s">
        <v>4851</v>
      </c>
      <c r="CTE638" s="8" t="s">
        <v>4851</v>
      </c>
      <c r="CUZ638" s="8" t="s">
        <v>10903</v>
      </c>
      <c r="CWV638" s="8" t="s">
        <v>10185</v>
      </c>
      <c r="DHX638" s="8" t="s">
        <v>3234</v>
      </c>
      <c r="DJT638" s="8" t="s">
        <v>3234</v>
      </c>
    </row>
    <row r="639" spans="1:968 1113:1976 2072:2984 3176:3224 4353:4377">
      <c r="A639" s="8" t="s">
        <v>9923</v>
      </c>
      <c r="B639" s="10" t="s">
        <v>10895</v>
      </c>
      <c r="C639" s="8">
        <v>374.2</v>
      </c>
      <c r="D639" s="15">
        <v>9.8000000000000007</v>
      </c>
      <c r="OB639" s="8" t="s">
        <v>10895</v>
      </c>
      <c r="AYZ639" s="8" t="s">
        <v>228</v>
      </c>
      <c r="BAV639" s="8" t="s">
        <v>6277</v>
      </c>
      <c r="BHM639" s="8" t="s">
        <v>4863</v>
      </c>
      <c r="BHN639" s="8" t="s">
        <v>4863</v>
      </c>
      <c r="BKB639" s="8" t="s">
        <v>4422</v>
      </c>
      <c r="BLX639" s="8" t="s">
        <v>4212</v>
      </c>
      <c r="BNT639" s="8" t="s">
        <v>3674</v>
      </c>
      <c r="BRL639" s="8" t="s">
        <v>3221</v>
      </c>
      <c r="CZS639" s="8" t="s">
        <v>5543</v>
      </c>
      <c r="DBN639" s="8" t="s">
        <v>5313</v>
      </c>
      <c r="DBO639" s="8" t="s">
        <v>5313</v>
      </c>
      <c r="DBP639" s="8" t="s">
        <v>5313</v>
      </c>
      <c r="DRD639" s="8" t="s">
        <v>3235</v>
      </c>
      <c r="DSZ639" s="8" t="s">
        <v>3235</v>
      </c>
    </row>
    <row r="640" spans="1:968 1113:1976 2072:2984 3176:3224 4353:4377">
      <c r="A640" s="8" t="s">
        <v>9923</v>
      </c>
      <c r="B640" s="10" t="s">
        <v>13992</v>
      </c>
      <c r="C640" s="8">
        <v>392.78</v>
      </c>
      <c r="D640" s="15">
        <v>39.22</v>
      </c>
      <c r="PX640" s="8" t="s">
        <v>13992</v>
      </c>
      <c r="BAP640" s="8" t="s">
        <v>229</v>
      </c>
      <c r="BCJ640" s="8" t="s">
        <v>6278</v>
      </c>
      <c r="BLI640" s="8" t="s">
        <v>4864</v>
      </c>
      <c r="BLJ640" s="8" t="s">
        <v>4864</v>
      </c>
      <c r="BLP640" s="8" t="s">
        <v>4423</v>
      </c>
      <c r="BNL640" s="8" t="s">
        <v>4012</v>
      </c>
      <c r="BPH640" s="8" t="s">
        <v>3675</v>
      </c>
      <c r="BSZ640" s="8" t="s">
        <v>3470</v>
      </c>
      <c r="DCJ640" s="8" t="s">
        <v>5544</v>
      </c>
      <c r="DEE640" s="8" t="s">
        <v>4853</v>
      </c>
      <c r="DEF640" s="8" t="s">
        <v>4853</v>
      </c>
      <c r="DEG640" s="8" t="s">
        <v>4853</v>
      </c>
    </row>
    <row r="641" spans="1:976 1064:2024 2071:3032 3079:4033 4184:4439">
      <c r="A641" s="8" t="s">
        <v>9923</v>
      </c>
      <c r="B641" s="10" t="s">
        <v>10893</v>
      </c>
      <c r="C641" s="8">
        <v>624</v>
      </c>
      <c r="D641" s="15">
        <v>19.61</v>
      </c>
      <c r="YB641" s="8" t="s">
        <v>10893</v>
      </c>
      <c r="BAZ641" s="8" t="s">
        <v>36</v>
      </c>
      <c r="BDV641" s="8" t="s">
        <v>6279</v>
      </c>
      <c r="BNB641" s="8" t="s">
        <v>4424</v>
      </c>
      <c r="BNS641" s="8" t="s">
        <v>4865</v>
      </c>
      <c r="BNT641" s="8" t="s">
        <v>4865</v>
      </c>
      <c r="BOX641" s="8" t="s">
        <v>4013</v>
      </c>
      <c r="BQT641" s="8" t="s">
        <v>3676</v>
      </c>
      <c r="BUL641" s="8" t="s">
        <v>3222</v>
      </c>
      <c r="DHX641" s="8" t="s">
        <v>5545</v>
      </c>
      <c r="DHY641" s="8" t="s">
        <v>5545</v>
      </c>
      <c r="DJS641" s="8" t="s">
        <v>5314</v>
      </c>
      <c r="DJT641" s="8" t="s">
        <v>5314</v>
      </c>
      <c r="DJU641" s="8" t="s">
        <v>5314</v>
      </c>
    </row>
    <row r="642" spans="1:976 1064:2024 2071:3032 3079:4033 4184:4439">
      <c r="A642" s="8" t="s">
        <v>9923</v>
      </c>
      <c r="B642" s="10" t="s">
        <v>13993</v>
      </c>
      <c r="C642" s="8">
        <v>624</v>
      </c>
      <c r="D642" s="15">
        <v>39.22</v>
      </c>
      <c r="YU642" s="8" t="s">
        <v>13993</v>
      </c>
      <c r="BCD642" s="8" t="s">
        <v>37</v>
      </c>
      <c r="BCR642" s="8" t="s">
        <v>6280</v>
      </c>
      <c r="BLX642" s="8" t="s">
        <v>4425</v>
      </c>
      <c r="BNT642" s="8" t="s">
        <v>4014</v>
      </c>
      <c r="BPP642" s="8" t="s">
        <v>3677</v>
      </c>
      <c r="BQD642" s="8" t="s">
        <v>4866</v>
      </c>
      <c r="BQE642" s="8" t="s">
        <v>4866</v>
      </c>
      <c r="BTH642" s="8" t="s">
        <v>3223</v>
      </c>
      <c r="DLP642" s="8" t="s">
        <v>5546</v>
      </c>
      <c r="DNK642" s="8" t="s">
        <v>4854</v>
      </c>
      <c r="DNL642" s="8" t="s">
        <v>4854</v>
      </c>
      <c r="DNM642" s="8" t="s">
        <v>4854</v>
      </c>
    </row>
    <row r="643" spans="1:976 1064:2024 2071:3032 3079:4033 4184:4439">
      <c r="A643" s="8" t="s">
        <v>9923</v>
      </c>
      <c r="B643" s="10" t="s">
        <v>10890</v>
      </c>
      <c r="C643" s="8">
        <v>625</v>
      </c>
      <c r="D643" s="15">
        <v>20.39</v>
      </c>
      <c r="YC643" s="8" t="s">
        <v>10890</v>
      </c>
      <c r="BCI643" s="8" t="s">
        <v>230</v>
      </c>
      <c r="BEN643" s="8" t="s">
        <v>6281</v>
      </c>
      <c r="BNT643" s="8" t="s">
        <v>4426</v>
      </c>
      <c r="BPP643" s="8" t="s">
        <v>4015</v>
      </c>
      <c r="BRL643" s="8" t="s">
        <v>3678</v>
      </c>
      <c r="BSO643" s="8" t="s">
        <v>4867</v>
      </c>
      <c r="BSP643" s="8" t="s">
        <v>4867</v>
      </c>
      <c r="BVD643" s="8" t="s">
        <v>3471</v>
      </c>
      <c r="EMO643" s="8" t="s">
        <v>5547</v>
      </c>
      <c r="EOK643" s="8" t="s">
        <v>4855</v>
      </c>
      <c r="EOL643" s="8" t="s">
        <v>4855</v>
      </c>
    </row>
    <row r="644" spans="1:976 1064:2024 2071:3032 3079:4033 4184:4439">
      <c r="A644" s="8" t="s">
        <v>9923</v>
      </c>
      <c r="B644" s="10" t="s">
        <v>10897</v>
      </c>
      <c r="C644" s="8">
        <v>755.39</v>
      </c>
      <c r="D644" s="15">
        <v>20.39</v>
      </c>
      <c r="ADD644" s="8" t="s">
        <v>10897</v>
      </c>
      <c r="AZZ644" s="8" t="s">
        <v>2410</v>
      </c>
      <c r="BCR644" s="8" t="s">
        <v>38</v>
      </c>
      <c r="BGI644" s="8" t="s">
        <v>6122</v>
      </c>
      <c r="BNS644" s="8" t="s">
        <v>6282</v>
      </c>
      <c r="BUZ644" s="8" t="s">
        <v>4868</v>
      </c>
      <c r="BVA644" s="8" t="s">
        <v>4868</v>
      </c>
      <c r="BWY644" s="8" t="s">
        <v>4427</v>
      </c>
      <c r="BYU644" s="8" t="s">
        <v>4213</v>
      </c>
      <c r="CAQ644" s="8" t="s">
        <v>3679</v>
      </c>
      <c r="CEI644" s="8" t="s">
        <v>3198</v>
      </c>
      <c r="ENH644" s="8" t="s">
        <v>5548</v>
      </c>
      <c r="ENI644" s="8" t="s">
        <v>5548</v>
      </c>
      <c r="EPC644" s="8" t="s">
        <v>4856</v>
      </c>
      <c r="EPD644" s="8" t="s">
        <v>4856</v>
      </c>
      <c r="EPE644" s="8" t="s">
        <v>4856</v>
      </c>
    </row>
    <row r="645" spans="1:976 1064:2024 2071:3032 3079:4033 4184:4439">
      <c r="A645" s="8" t="s">
        <v>9923</v>
      </c>
      <c r="B645" s="10" t="s">
        <v>10898</v>
      </c>
      <c r="C645" s="8">
        <v>776.78</v>
      </c>
      <c r="D645" s="15">
        <v>39.22</v>
      </c>
      <c r="AER645" s="8" t="s">
        <v>10898</v>
      </c>
      <c r="BAN645" s="8" t="s">
        <v>2411</v>
      </c>
      <c r="BEI645" s="8" t="s">
        <v>39</v>
      </c>
      <c r="BGJ645" s="8" t="s">
        <v>6123</v>
      </c>
      <c r="BNT645" s="8" t="s">
        <v>6283</v>
      </c>
      <c r="BWZ645" s="8" t="s">
        <v>4428</v>
      </c>
      <c r="BXK645" s="8" t="s">
        <v>4869</v>
      </c>
      <c r="BXL645" s="8" t="s">
        <v>4869</v>
      </c>
      <c r="BYV645" s="8" t="s">
        <v>4214</v>
      </c>
      <c r="CAR645" s="8" t="s">
        <v>3680</v>
      </c>
      <c r="CEJ645" s="8" t="s">
        <v>3224</v>
      </c>
      <c r="EWF645" s="8" t="s">
        <v>5549</v>
      </c>
      <c r="EYA645" s="8" t="s">
        <v>4857</v>
      </c>
      <c r="EYB645" s="8" t="s">
        <v>4857</v>
      </c>
      <c r="EYC645" s="8" t="s">
        <v>4857</v>
      </c>
    </row>
    <row r="646" spans="1:976 1064:2024 2071:3032 3079:4033 4184:4439">
      <c r="A646" s="8" t="s">
        <v>9923</v>
      </c>
      <c r="B646" s="10" t="s">
        <v>10899</v>
      </c>
      <c r="C646" s="8">
        <v>961.67</v>
      </c>
      <c r="D646" s="15">
        <v>6.12</v>
      </c>
      <c r="AKN646" s="8" t="s">
        <v>10899</v>
      </c>
      <c r="AYZ646" s="8" t="s">
        <v>2934</v>
      </c>
      <c r="BAV646" s="8" t="s">
        <v>2412</v>
      </c>
      <c r="BGN646" s="8" t="s">
        <v>40</v>
      </c>
      <c r="BIF646" s="8" t="s">
        <v>6124</v>
      </c>
      <c r="BPP646" s="8" t="s">
        <v>6284</v>
      </c>
      <c r="BYV646" s="8" t="s">
        <v>4429</v>
      </c>
      <c r="CAR646" s="8" t="s">
        <v>4215</v>
      </c>
      <c r="CCN646" s="8" t="s">
        <v>3681</v>
      </c>
      <c r="CGF646" s="8" t="s">
        <v>4870</v>
      </c>
      <c r="CGG646" s="8" t="s">
        <v>4870</v>
      </c>
      <c r="FDX646" s="8" t="s">
        <v>5550</v>
      </c>
      <c r="FFS646" s="8" t="s">
        <v>4858</v>
      </c>
      <c r="FFT646" s="8" t="s">
        <v>4858</v>
      </c>
      <c r="FFU646" s="8" t="s">
        <v>4858</v>
      </c>
    </row>
    <row r="647" spans="1:976 1064:2024 2071:3032 3079:4033 4184:4439">
      <c r="A647" s="8" t="s">
        <v>9923</v>
      </c>
      <c r="B647" s="10" t="s">
        <v>10900</v>
      </c>
      <c r="C647" s="8">
        <v>1036.3900000000001</v>
      </c>
      <c r="D647" s="15">
        <v>19.61</v>
      </c>
      <c r="ANX647" s="8" t="s">
        <v>10900</v>
      </c>
      <c r="AYZ647" s="8" t="s">
        <v>2741</v>
      </c>
      <c r="BAV647" s="8" t="s">
        <v>2413</v>
      </c>
      <c r="BGR647" s="8" t="s">
        <v>41</v>
      </c>
      <c r="BKB647" s="8" t="s">
        <v>4430</v>
      </c>
      <c r="BRL647" s="8" t="s">
        <v>6285</v>
      </c>
      <c r="CAR647" s="8" t="s">
        <v>4430</v>
      </c>
      <c r="CCN647" s="8" t="s">
        <v>4016</v>
      </c>
      <c r="CEJ647" s="8" t="s">
        <v>3682</v>
      </c>
      <c r="CGF647" s="8" t="s">
        <v>4871</v>
      </c>
      <c r="CGG647" s="8" t="s">
        <v>4871</v>
      </c>
      <c r="CIB647" s="8" t="s">
        <v>3226</v>
      </c>
      <c r="FGT647" s="8" t="s">
        <v>4846</v>
      </c>
      <c r="FGU647" s="8" t="s">
        <v>5551</v>
      </c>
      <c r="FIP647" s="8" t="s">
        <v>4846</v>
      </c>
      <c r="FIQ647" s="8" t="s">
        <v>4846</v>
      </c>
      <c r="FIR647" s="8" t="s">
        <v>4846</v>
      </c>
    </row>
    <row r="648" spans="1:976 1064:2024 2071:3032 3079:4033 4184:4439">
      <c r="A648" s="8" t="s">
        <v>9923</v>
      </c>
      <c r="B648" s="10" t="s">
        <v>10901</v>
      </c>
      <c r="C648" s="8">
        <v>1045.8</v>
      </c>
      <c r="D648" s="15">
        <v>10.199999999999999</v>
      </c>
      <c r="ANX648" s="8" t="s">
        <v>10901</v>
      </c>
      <c r="BAV648" s="8" t="s">
        <v>2935</v>
      </c>
      <c r="BCR648" s="8" t="s">
        <v>2414</v>
      </c>
      <c r="BGV648" s="8" t="s">
        <v>42</v>
      </c>
      <c r="BLX648" s="8" t="s">
        <v>4431</v>
      </c>
      <c r="BTH648" s="8" t="s">
        <v>6286</v>
      </c>
      <c r="CCN648" s="8" t="s">
        <v>4431</v>
      </c>
      <c r="CEJ648" s="8" t="s">
        <v>4017</v>
      </c>
      <c r="CGF648" s="8" t="s">
        <v>4872</v>
      </c>
      <c r="CGG648" s="8" t="s">
        <v>4872</v>
      </c>
      <c r="CJX648" s="8" t="s">
        <v>3227</v>
      </c>
      <c r="FGX648" s="8" t="s">
        <v>5552</v>
      </c>
      <c r="FGY648" s="8" t="s">
        <v>5552</v>
      </c>
      <c r="FIT648" s="8" t="s">
        <v>5315</v>
      </c>
      <c r="FIV648" s="8" t="s">
        <v>5315</v>
      </c>
    </row>
    <row r="649" spans="1:976 1064:2024 2071:3032 3079:4033 4184:4439">
      <c r="A649" s="8" t="s">
        <v>9923</v>
      </c>
      <c r="B649" s="10" t="s">
        <v>13994</v>
      </c>
      <c r="C649" s="8">
        <v>1088.67</v>
      </c>
      <c r="D649" s="15">
        <v>21.16</v>
      </c>
      <c r="APZ649" s="8" t="s">
        <v>13994</v>
      </c>
      <c r="BGJ649" s="8" t="s">
        <v>2742</v>
      </c>
      <c r="BGY649" s="8" t="s">
        <v>43</v>
      </c>
      <c r="BIF649" s="8" t="s">
        <v>2415</v>
      </c>
      <c r="BTG649" s="8" t="s">
        <v>4432</v>
      </c>
      <c r="CAQ649" s="8" t="s">
        <v>6287</v>
      </c>
      <c r="CJW649" s="8" t="s">
        <v>4432</v>
      </c>
      <c r="CLS649" s="8" t="s">
        <v>4018</v>
      </c>
      <c r="CNO649" s="8" t="s">
        <v>3683</v>
      </c>
      <c r="CRG649" s="8" t="s">
        <v>3228</v>
      </c>
      <c r="CTD649" s="8" t="s">
        <v>4873</v>
      </c>
      <c r="CTE649" s="8" t="s">
        <v>4873</v>
      </c>
      <c r="FGS649" s="8" t="s">
        <v>5553</v>
      </c>
      <c r="FIN649" s="8" t="s">
        <v>5316</v>
      </c>
      <c r="FIO649" s="8" t="s">
        <v>5316</v>
      </c>
      <c r="FIP649" s="8" t="s">
        <v>5316</v>
      </c>
    </row>
    <row r="650" spans="1:976 1064:2024 2071:3032 3079:4033 4184:4439">
      <c r="A650" s="8" t="s">
        <v>9923</v>
      </c>
      <c r="B650" s="10" t="s">
        <v>13995</v>
      </c>
      <c r="C650" s="8">
        <v>1110.82</v>
      </c>
      <c r="D650" s="15">
        <v>41.18</v>
      </c>
      <c r="ARP650" s="8" t="s">
        <v>13995</v>
      </c>
      <c r="BHC650" s="8" t="s">
        <v>44</v>
      </c>
      <c r="BIF650" s="8" t="s">
        <v>2743</v>
      </c>
      <c r="BKB650" s="8" t="s">
        <v>2416</v>
      </c>
      <c r="BTH650" s="8" t="s">
        <v>6125</v>
      </c>
      <c r="CAR650" s="8" t="s">
        <v>6288</v>
      </c>
      <c r="CJX650" s="8" t="s">
        <v>4433</v>
      </c>
      <c r="CLT650" s="8" t="s">
        <v>4216</v>
      </c>
      <c r="CNP650" s="8" t="s">
        <v>3684</v>
      </c>
      <c r="CRH650" s="8" t="s">
        <v>3229</v>
      </c>
      <c r="CTD650" s="8" t="s">
        <v>4874</v>
      </c>
      <c r="CTE650" s="8" t="s">
        <v>4874</v>
      </c>
      <c r="FHP650" s="8" t="s">
        <v>5554</v>
      </c>
      <c r="FJK650" s="8" t="s">
        <v>4849</v>
      </c>
      <c r="FJL650" s="8" t="s">
        <v>4849</v>
      </c>
      <c r="FJM650" s="8" t="s">
        <v>4849</v>
      </c>
    </row>
    <row r="651" spans="1:976 1064:2024 2071:3032 3079:4033 4184:4439">
      <c r="A651" s="8" t="s">
        <v>9923</v>
      </c>
      <c r="B651" s="10" t="s">
        <v>10902</v>
      </c>
      <c r="C651" s="8">
        <v>1132.3900000000001</v>
      </c>
      <c r="D651" s="15">
        <v>19.61</v>
      </c>
      <c r="ARP651" s="8" t="s">
        <v>10902</v>
      </c>
      <c r="BHG651" s="8" t="s">
        <v>45</v>
      </c>
      <c r="BKB651" s="8" t="s">
        <v>2936</v>
      </c>
      <c r="BLX651" s="8" t="s">
        <v>2417</v>
      </c>
      <c r="CEJ651" s="8" t="s">
        <v>6126</v>
      </c>
      <c r="CLT651" s="8" t="s">
        <v>6289</v>
      </c>
      <c r="CUZ651" s="8" t="s">
        <v>4434</v>
      </c>
      <c r="CWV651" s="8" t="s">
        <v>4217</v>
      </c>
      <c r="CYR651" s="8" t="s">
        <v>3685</v>
      </c>
      <c r="DCJ651" s="8" t="s">
        <v>3231</v>
      </c>
      <c r="DGP651" s="8" t="s">
        <v>4875</v>
      </c>
      <c r="DGQ651" s="8" t="s">
        <v>4875</v>
      </c>
    </row>
    <row r="652" spans="1:976 1064:2024 2071:3032 3079:4033 4184:4439">
      <c r="A652" s="8" t="s">
        <v>9923</v>
      </c>
      <c r="B652" s="10" t="s">
        <v>13996</v>
      </c>
      <c r="C652" s="8">
        <v>1782.82</v>
      </c>
      <c r="D652" s="15">
        <v>41.18</v>
      </c>
      <c r="BNS652" s="8" t="s">
        <v>2937</v>
      </c>
      <c r="BPO652" s="8" t="s">
        <v>2418</v>
      </c>
      <c r="BRL652" s="8" t="s">
        <v>13996</v>
      </c>
      <c r="BTH652" s="8" t="s">
        <v>46</v>
      </c>
      <c r="CEJ652" s="8" t="s">
        <v>4435</v>
      </c>
      <c r="CLT652" s="8" t="s">
        <v>6290</v>
      </c>
      <c r="CUZ652" s="8" t="s">
        <v>4435</v>
      </c>
      <c r="CWV652" s="8" t="s">
        <v>4019</v>
      </c>
      <c r="CYR652" s="8" t="s">
        <v>3686</v>
      </c>
      <c r="DCJ652" s="8" t="s">
        <v>3230</v>
      </c>
      <c r="EFX652" s="8" t="s">
        <v>4876</v>
      </c>
      <c r="EFY652" s="8" t="s">
        <v>4876</v>
      </c>
    </row>
    <row r="653" spans="1:976 1064:2024 2071:3032 3079:4033 4184:4439">
      <c r="A653" s="8" t="s">
        <v>9923</v>
      </c>
      <c r="B653" s="10" t="s">
        <v>10903</v>
      </c>
      <c r="C653" s="8">
        <v>2437.8000000000002</v>
      </c>
      <c r="D653" s="15">
        <v>10.199999999999999</v>
      </c>
      <c r="BNT653" s="8" t="s">
        <v>2938</v>
      </c>
      <c r="BPP653" s="8" t="s">
        <v>2419</v>
      </c>
      <c r="BTG653" s="8" t="s">
        <v>47</v>
      </c>
      <c r="CFS653" s="8" t="s">
        <v>4436</v>
      </c>
      <c r="CNC653" s="8" t="s">
        <v>6291</v>
      </c>
      <c r="CPL653" s="8" t="s">
        <v>10903</v>
      </c>
      <c r="CWI653" s="8" t="s">
        <v>4436</v>
      </c>
      <c r="CYE653" s="8" t="s">
        <v>4020</v>
      </c>
      <c r="DAA653" s="8" t="s">
        <v>3687</v>
      </c>
      <c r="DDS653" s="8" t="s">
        <v>3472</v>
      </c>
      <c r="ESV653" s="8" t="s">
        <v>4877</v>
      </c>
      <c r="ESW653" s="8" t="s">
        <v>4877</v>
      </c>
    </row>
    <row r="654" spans="1:976 1064:2024 2071:3032 3079:4033 4184:4439">
      <c r="A654" s="8" t="s">
        <v>9924</v>
      </c>
      <c r="B654" s="10" t="s">
        <v>10904</v>
      </c>
      <c r="C654" s="8">
        <v>-196.61</v>
      </c>
      <c r="D654" s="15">
        <v>34.33</v>
      </c>
      <c r="H654" s="8" t="s">
        <v>10904</v>
      </c>
      <c r="BRL654" s="8" t="s">
        <v>2939</v>
      </c>
      <c r="BTH654" s="8" t="s">
        <v>2420</v>
      </c>
      <c r="BVE654" s="8" t="s">
        <v>26</v>
      </c>
      <c r="CGF654" s="8" t="s">
        <v>4437</v>
      </c>
      <c r="CNP654" s="8" t="s">
        <v>6292</v>
      </c>
      <c r="CWV654" s="8" t="s">
        <v>4437</v>
      </c>
      <c r="CYR654" s="8" t="s">
        <v>4021</v>
      </c>
      <c r="DAN654" s="8" t="s">
        <v>3688</v>
      </c>
      <c r="DEF654" s="8" t="s">
        <v>3232</v>
      </c>
      <c r="FFT654" s="8" t="s">
        <v>4878</v>
      </c>
      <c r="FFU654" s="8" t="s">
        <v>4878</v>
      </c>
    </row>
    <row r="655" spans="1:976 1064:2024 2071:3032 3079:4033 4184:4439">
      <c r="A655" s="8" t="s">
        <v>9924</v>
      </c>
      <c r="B655" s="10" t="s">
        <v>10907</v>
      </c>
      <c r="C655" s="8">
        <v>-155.22</v>
      </c>
      <c r="D655" s="15">
        <v>10.1</v>
      </c>
      <c r="H655" s="8" t="s">
        <v>10907</v>
      </c>
      <c r="BAV655" s="8" t="s">
        <v>4443</v>
      </c>
      <c r="BRL655" s="8" t="s">
        <v>2940</v>
      </c>
      <c r="BTH655" s="8" t="s">
        <v>2421</v>
      </c>
      <c r="CBT655" s="8" t="s">
        <v>48</v>
      </c>
      <c r="CIB655" s="8" t="s">
        <v>6127</v>
      </c>
      <c r="CPL655" s="8" t="s">
        <v>6293</v>
      </c>
      <c r="CYR655" s="8" t="s">
        <v>4438</v>
      </c>
      <c r="DAN655" s="8" t="s">
        <v>4218</v>
      </c>
      <c r="DCJ655" s="8" t="s">
        <v>3689</v>
      </c>
      <c r="DGB655" s="8" t="s">
        <v>3233</v>
      </c>
      <c r="FNR655" s="8" t="s">
        <v>5317</v>
      </c>
      <c r="FNS655" s="8" t="s">
        <v>5317</v>
      </c>
    </row>
    <row r="656" spans="1:976 1064:2024 2071:3032 3079:4033 4184:4439">
      <c r="A656" s="8" t="s">
        <v>9924</v>
      </c>
      <c r="B656" s="10" t="s">
        <v>10905</v>
      </c>
      <c r="C656" s="8">
        <v>-31.32</v>
      </c>
      <c r="D656" s="15">
        <v>40.39</v>
      </c>
      <c r="Q656" s="8" t="s">
        <v>10905</v>
      </c>
      <c r="BAL656" s="8" t="s">
        <v>4444</v>
      </c>
      <c r="BTG656" s="8" t="s">
        <v>2744</v>
      </c>
      <c r="BVC656" s="8" t="s">
        <v>2422</v>
      </c>
      <c r="CCO656" s="8" t="s">
        <v>231</v>
      </c>
      <c r="CJX656" s="8" t="s">
        <v>4439</v>
      </c>
      <c r="CRH656" s="8" t="s">
        <v>6294</v>
      </c>
      <c r="DAN656" s="8" t="s">
        <v>4439</v>
      </c>
      <c r="DCJ656" s="8" t="s">
        <v>4022</v>
      </c>
      <c r="DEF656" s="8" t="s">
        <v>3690</v>
      </c>
      <c r="DHX656" s="8" t="s">
        <v>3234</v>
      </c>
    </row>
    <row r="657" spans="1:888 1352:2024 2120:3067 3080:4088">
      <c r="A657" s="8" t="s">
        <v>9924</v>
      </c>
      <c r="B657" s="10" t="s">
        <v>13997</v>
      </c>
      <c r="C657" s="8">
        <v>10.07</v>
      </c>
      <c r="D657" s="15">
        <v>4.6500000000000004</v>
      </c>
      <c r="W657" s="8" t="s">
        <v>13997</v>
      </c>
      <c r="BAV657" s="8" t="s">
        <v>4445</v>
      </c>
      <c r="BEN657" s="8" t="s">
        <v>3236</v>
      </c>
      <c r="BGJ657" s="8" t="s">
        <v>3236</v>
      </c>
      <c r="BWS657" s="8" t="s">
        <v>2941</v>
      </c>
      <c r="BYO657" s="8" t="s">
        <v>2423</v>
      </c>
      <c r="CGF657" s="8" t="s">
        <v>232</v>
      </c>
      <c r="CSQ657" s="8" t="s">
        <v>6128</v>
      </c>
      <c r="DAA657" s="8" t="s">
        <v>6295</v>
      </c>
      <c r="DJG657" s="8" t="s">
        <v>4440</v>
      </c>
      <c r="DLC657" s="8" t="s">
        <v>4219</v>
      </c>
      <c r="DMY657" s="8" t="s">
        <v>3691</v>
      </c>
      <c r="DQQ657" s="8" t="s">
        <v>3473</v>
      </c>
    </row>
    <row r="658" spans="1:888 1352:2024 2120:3067 3080:4088">
      <c r="A658" s="8" t="s">
        <v>9924</v>
      </c>
      <c r="B658" s="10" t="s">
        <v>13998</v>
      </c>
      <c r="C658" s="8">
        <v>113.01</v>
      </c>
      <c r="D658" s="15">
        <v>40.39</v>
      </c>
      <c r="FE658" s="8" t="s">
        <v>13998</v>
      </c>
      <c r="AYZ658" s="8" t="s">
        <v>874</v>
      </c>
      <c r="BCR658" s="8" t="s">
        <v>4446</v>
      </c>
      <c r="BKB658" s="8" t="s">
        <v>3237</v>
      </c>
      <c r="BLX658" s="8" t="s">
        <v>3237</v>
      </c>
      <c r="BWZ658" s="8" t="s">
        <v>2745</v>
      </c>
      <c r="BYV658" s="8" t="s">
        <v>2424</v>
      </c>
      <c r="CJX658" s="8" t="s">
        <v>233</v>
      </c>
      <c r="CTD658" s="8" t="s">
        <v>4441</v>
      </c>
      <c r="DAN658" s="8" t="s">
        <v>6296</v>
      </c>
      <c r="DJT658" s="8" t="s">
        <v>4441</v>
      </c>
      <c r="DLP658" s="8" t="s">
        <v>4023</v>
      </c>
      <c r="DNL658" s="8" t="s">
        <v>3692</v>
      </c>
      <c r="DRD658" s="8" t="s">
        <v>3235</v>
      </c>
    </row>
    <row r="659" spans="1:888 1352:2024 2120:3067 3080:4088">
      <c r="A659" s="8" t="s">
        <v>9924</v>
      </c>
      <c r="B659" s="10" t="s">
        <v>10906</v>
      </c>
      <c r="C659" s="8">
        <v>180.68</v>
      </c>
      <c r="D659" s="15">
        <v>34.33</v>
      </c>
      <c r="HO659" s="8" t="s">
        <v>10906</v>
      </c>
      <c r="AYZ659" s="8" t="s">
        <v>229</v>
      </c>
      <c r="BAP659" s="8" t="s">
        <v>875</v>
      </c>
      <c r="BDB659" s="8" t="s">
        <v>4447</v>
      </c>
      <c r="BNT659" s="8" t="s">
        <v>3238</v>
      </c>
      <c r="BPP659" s="8" t="s">
        <v>3238</v>
      </c>
      <c r="CJX659" s="8" t="s">
        <v>2942</v>
      </c>
      <c r="CLT659" s="8" t="s">
        <v>2425</v>
      </c>
    </row>
    <row r="660" spans="1:888 1352:2024 2120:3067 3080:4088">
      <c r="A660" s="8" t="s">
        <v>9924</v>
      </c>
      <c r="B660" s="10" t="s">
        <v>13999</v>
      </c>
      <c r="C660" s="8">
        <v>216.01</v>
      </c>
      <c r="D660" s="15">
        <v>40.39</v>
      </c>
      <c r="JD660" s="8" t="s">
        <v>13999</v>
      </c>
      <c r="AZD660" s="8" t="s">
        <v>876</v>
      </c>
      <c r="BAP660" s="8" t="s">
        <v>36</v>
      </c>
      <c r="BAZ660" s="8" t="s">
        <v>876</v>
      </c>
      <c r="BEN660" s="8" t="s">
        <v>4448</v>
      </c>
      <c r="CCP660" s="8" t="s">
        <v>3239</v>
      </c>
      <c r="CEL660" s="8" t="s">
        <v>3239</v>
      </c>
      <c r="CNP660" s="8" t="s">
        <v>2746</v>
      </c>
      <c r="CPL660" s="8" t="s">
        <v>2426</v>
      </c>
      <c r="CTD660" s="8" t="s">
        <v>50</v>
      </c>
    </row>
    <row r="661" spans="1:888 1352:2024 2120:3067 3080:4088">
      <c r="A661" s="8" t="s">
        <v>9924</v>
      </c>
      <c r="B661" s="10" t="s">
        <v>10908</v>
      </c>
      <c r="C661" s="8">
        <v>257.39999999999998</v>
      </c>
      <c r="D661" s="15">
        <v>40.39</v>
      </c>
      <c r="KT661" s="8" t="s">
        <v>10908</v>
      </c>
      <c r="BAH661" s="8" t="s">
        <v>877</v>
      </c>
      <c r="BAZ661" s="8" t="s">
        <v>877</v>
      </c>
      <c r="BBW661" s="8" t="s">
        <v>37</v>
      </c>
      <c r="BCD661" s="8" t="s">
        <v>877</v>
      </c>
      <c r="BIF661" s="8" t="s">
        <v>4449</v>
      </c>
      <c r="CUY661" s="8" t="s">
        <v>2747</v>
      </c>
      <c r="CWU661" s="8" t="s">
        <v>2427</v>
      </c>
      <c r="DHQ661" s="8" t="s">
        <v>235</v>
      </c>
    </row>
    <row r="662" spans="1:888 1352:2024 2120:3067 3080:4088">
      <c r="A662" s="8" t="s">
        <v>9924</v>
      </c>
      <c r="B662" s="10" t="s">
        <v>14000</v>
      </c>
      <c r="C662" s="8">
        <v>298.79000000000002</v>
      </c>
      <c r="D662" s="15">
        <v>20.2</v>
      </c>
      <c r="LO662" s="8" t="s">
        <v>14000</v>
      </c>
      <c r="BAM662" s="8" t="s">
        <v>878</v>
      </c>
      <c r="BCD662" s="8" t="s">
        <v>878</v>
      </c>
      <c r="BCI662" s="8" t="s">
        <v>878</v>
      </c>
      <c r="BCQ662" s="8" t="s">
        <v>230</v>
      </c>
      <c r="BKJ662" s="8" t="s">
        <v>4450</v>
      </c>
      <c r="CUZ662" s="8" t="s">
        <v>2943</v>
      </c>
      <c r="CWV662" s="8" t="s">
        <v>2428</v>
      </c>
      <c r="DHX662" s="8" t="s">
        <v>236</v>
      </c>
    </row>
    <row r="663" spans="1:888 1352:2024 2120:3067 3080:4088">
      <c r="A663" s="8" t="s">
        <v>9924</v>
      </c>
      <c r="B663" s="10" t="s">
        <v>10909</v>
      </c>
      <c r="C663" s="8">
        <v>319.99</v>
      </c>
      <c r="D663" s="15">
        <v>40.39</v>
      </c>
      <c r="ND663" s="8" t="s">
        <v>10909</v>
      </c>
      <c r="AYZ663" s="8" t="s">
        <v>228</v>
      </c>
      <c r="AZI663" s="8" t="s">
        <v>38</v>
      </c>
      <c r="AZQ663" s="8" t="s">
        <v>5363</v>
      </c>
      <c r="AZR663" s="8" t="s">
        <v>5363</v>
      </c>
      <c r="AZS663" s="8" t="s">
        <v>5363</v>
      </c>
      <c r="BAM663" s="8" t="s">
        <v>879</v>
      </c>
      <c r="BCI663" s="8" t="s">
        <v>38</v>
      </c>
      <c r="BCM663" s="8" t="s">
        <v>879</v>
      </c>
      <c r="BEI663" s="8" t="s">
        <v>879</v>
      </c>
      <c r="BOB663" s="8" t="s">
        <v>4451</v>
      </c>
      <c r="DGB663" s="8" t="s">
        <v>2748</v>
      </c>
      <c r="DHX663" s="8" t="s">
        <v>2429</v>
      </c>
      <c r="ECF663" s="8" t="s">
        <v>51</v>
      </c>
    </row>
    <row r="664" spans="1:888 1352:2024 2120:3067 3080:4088">
      <c r="A664" s="8" t="s">
        <v>9924</v>
      </c>
      <c r="B664" s="10" t="s">
        <v>10910</v>
      </c>
      <c r="C664" s="8">
        <v>361.38</v>
      </c>
      <c r="D664" s="15">
        <v>34.33</v>
      </c>
      <c r="ON664" s="17" t="s">
        <v>10910</v>
      </c>
      <c r="BAL664" s="8" t="s">
        <v>40</v>
      </c>
      <c r="BAP664" s="8" t="s">
        <v>229</v>
      </c>
      <c r="BAQ664" s="8" t="s">
        <v>880</v>
      </c>
      <c r="BBN664" s="8" t="s">
        <v>5555</v>
      </c>
      <c r="BBO664" s="8" t="s">
        <v>5555</v>
      </c>
      <c r="BDI664" s="8" t="s">
        <v>5364</v>
      </c>
      <c r="BDJ664" s="8" t="s">
        <v>5364</v>
      </c>
      <c r="BDK664" s="8" t="s">
        <v>5364</v>
      </c>
      <c r="BEI664" s="8" t="s">
        <v>40</v>
      </c>
      <c r="BER664" s="8" t="s">
        <v>880</v>
      </c>
      <c r="BGN664" s="8" t="s">
        <v>880</v>
      </c>
      <c r="BPG664" s="8" t="s">
        <v>4452</v>
      </c>
      <c r="DHX664" s="8" t="s">
        <v>2749</v>
      </c>
      <c r="DJT664" s="8" t="s">
        <v>2430</v>
      </c>
      <c r="EFX664" s="8" t="s">
        <v>53</v>
      </c>
    </row>
    <row r="665" spans="1:888 1352:2024 2120:3067 3080:4088">
      <c r="A665" s="8" t="s">
        <v>9924</v>
      </c>
      <c r="B665" s="10" t="s">
        <v>10911</v>
      </c>
      <c r="C665" s="8">
        <v>625</v>
      </c>
      <c r="D665" s="15">
        <v>40.39</v>
      </c>
      <c r="YW665" s="8" t="s">
        <v>10911</v>
      </c>
      <c r="BAZ665" s="8" t="s">
        <v>41</v>
      </c>
      <c r="BEV665" s="8" t="s">
        <v>881</v>
      </c>
      <c r="BGN665" s="8" t="s">
        <v>881</v>
      </c>
      <c r="BGR665" s="8" t="s">
        <v>881</v>
      </c>
      <c r="BHP665" s="8" t="s">
        <v>5556</v>
      </c>
      <c r="BHQ665" s="8" t="s">
        <v>5556</v>
      </c>
      <c r="BJL665" s="8" t="s">
        <v>4864</v>
      </c>
      <c r="BJM665" s="8" t="s">
        <v>4864</v>
      </c>
      <c r="BJN665" s="8" t="s">
        <v>4864</v>
      </c>
      <c r="BPP665" s="8" t="s">
        <v>4453</v>
      </c>
      <c r="DJT665" s="8" t="s">
        <v>2944</v>
      </c>
      <c r="DLP665" s="8" t="s">
        <v>2431</v>
      </c>
      <c r="EQZ665" s="8" t="s">
        <v>237</v>
      </c>
    </row>
    <row r="666" spans="1:888 1352:2024 2120:3067 3080:4088">
      <c r="A666" s="8" t="s">
        <v>9924</v>
      </c>
      <c r="B666" s="10" t="s">
        <v>14001</v>
      </c>
      <c r="C666" s="8">
        <v>666.39</v>
      </c>
      <c r="D666" s="15">
        <v>10.1</v>
      </c>
      <c r="ZH666" s="8" t="s">
        <v>14001</v>
      </c>
      <c r="BBD666" s="8" t="s">
        <v>42</v>
      </c>
      <c r="BCD666" s="8" t="s">
        <v>37</v>
      </c>
      <c r="BEZ666" s="8" t="s">
        <v>882</v>
      </c>
      <c r="BGR666" s="8" t="s">
        <v>882</v>
      </c>
      <c r="BGV666" s="8" t="s">
        <v>882</v>
      </c>
      <c r="BML666" s="8" t="s">
        <v>5557</v>
      </c>
      <c r="BMM666" s="8" t="s">
        <v>5557</v>
      </c>
      <c r="BOG666" s="8" t="s">
        <v>4866</v>
      </c>
      <c r="BOH666" s="8" t="s">
        <v>4866</v>
      </c>
      <c r="BOI666" s="8" t="s">
        <v>4866</v>
      </c>
      <c r="BRL666" s="8" t="s">
        <v>4454</v>
      </c>
      <c r="DLP666" s="8" t="s">
        <v>2750</v>
      </c>
      <c r="DNL666" s="8" t="s">
        <v>2432</v>
      </c>
      <c r="FAF666" s="8" t="s">
        <v>678</v>
      </c>
    </row>
    <row r="667" spans="1:888 1352:2024 2120:3067 3080:4088">
      <c r="A667" s="8" t="s">
        <v>9924</v>
      </c>
      <c r="B667" s="10" t="s">
        <v>14002</v>
      </c>
      <c r="C667" s="8">
        <v>677.49</v>
      </c>
      <c r="D667" s="15">
        <v>20.2</v>
      </c>
      <c r="AAD667" s="8" t="s">
        <v>14002</v>
      </c>
      <c r="BBH667" s="8" t="s">
        <v>43</v>
      </c>
      <c r="BCI667" s="8" t="s">
        <v>230</v>
      </c>
      <c r="BFC667" s="8" t="s">
        <v>883</v>
      </c>
      <c r="BGV667" s="8" t="s">
        <v>883</v>
      </c>
      <c r="BGY667" s="8" t="s">
        <v>883</v>
      </c>
      <c r="BOW667" s="8" t="s">
        <v>5558</v>
      </c>
      <c r="BOX667" s="8" t="s">
        <v>5558</v>
      </c>
      <c r="BQR667" s="8" t="s">
        <v>4867</v>
      </c>
      <c r="BQS667" s="8" t="s">
        <v>4867</v>
      </c>
      <c r="BQT667" s="8" t="s">
        <v>4867</v>
      </c>
      <c r="BTP667" s="8" t="s">
        <v>4455</v>
      </c>
      <c r="DUV667" s="8" t="s">
        <v>2751</v>
      </c>
      <c r="DWR667" s="8" t="s">
        <v>2433</v>
      </c>
    </row>
    <row r="668" spans="1:888 1352:2024 2120:3067 3080:4088">
      <c r="A668" s="8" t="s">
        <v>9924</v>
      </c>
      <c r="B668" s="10" t="s">
        <v>10912</v>
      </c>
      <c r="C668" s="8">
        <v>705.43</v>
      </c>
      <c r="D668" s="15">
        <v>33.33</v>
      </c>
      <c r="ABS668" s="8" t="s">
        <v>10912</v>
      </c>
      <c r="BBK668" s="8" t="s">
        <v>44</v>
      </c>
      <c r="BCR668" s="8" t="s">
        <v>10918</v>
      </c>
      <c r="BEN668" s="8" t="s">
        <v>10186</v>
      </c>
      <c r="BFG668" s="8" t="s">
        <v>884</v>
      </c>
      <c r="BGY668" s="8" t="s">
        <v>884</v>
      </c>
      <c r="BHC668" s="8" t="s">
        <v>884</v>
      </c>
      <c r="BRH668" s="8" t="s">
        <v>5559</v>
      </c>
      <c r="BRI668" s="8" t="s">
        <v>5559</v>
      </c>
      <c r="BTC668" s="8" t="s">
        <v>4868</v>
      </c>
      <c r="BTD668" s="8" t="s">
        <v>4868</v>
      </c>
      <c r="BTE668" s="8" t="s">
        <v>4868</v>
      </c>
      <c r="BVI668" s="8" t="s">
        <v>4456</v>
      </c>
    </row>
    <row r="669" spans="1:888 1352:2024 2120:3067 3080:4088">
      <c r="A669" s="8" t="s">
        <v>9924</v>
      </c>
      <c r="B669" s="10" t="s">
        <v>14003</v>
      </c>
      <c r="C669" s="8">
        <v>739.76</v>
      </c>
      <c r="D669" s="15">
        <v>4.54</v>
      </c>
      <c r="ABX669" s="8" t="s">
        <v>14003</v>
      </c>
      <c r="BBO669" s="8" t="s">
        <v>45</v>
      </c>
      <c r="BEI669" s="8" t="s">
        <v>39</v>
      </c>
      <c r="BFK669" s="8" t="s">
        <v>885</v>
      </c>
      <c r="BGJ669" s="8" t="s">
        <v>10919</v>
      </c>
      <c r="BHC669" s="8" t="s">
        <v>885</v>
      </c>
      <c r="BHG669" s="8" t="s">
        <v>885</v>
      </c>
      <c r="BIF669" s="8" t="s">
        <v>10187</v>
      </c>
      <c r="BTS669" s="8" t="s">
        <v>5560</v>
      </c>
      <c r="BTT669" s="8" t="s">
        <v>5560</v>
      </c>
      <c r="BUO669" s="8" t="s">
        <v>4457</v>
      </c>
      <c r="BVN669" s="8" t="s">
        <v>4869</v>
      </c>
      <c r="BVO669" s="8" t="s">
        <v>4869</v>
      </c>
      <c r="BVP669" s="8" t="s">
        <v>4869</v>
      </c>
    </row>
    <row r="670" spans="1:888 1352:2024 2120:3067 3080:4088">
      <c r="A670" s="8" t="s">
        <v>9924</v>
      </c>
      <c r="B670" s="10" t="s">
        <v>10913</v>
      </c>
      <c r="C670" s="8">
        <v>785.52</v>
      </c>
      <c r="D670" s="15">
        <v>33.33</v>
      </c>
      <c r="AEU670" s="8" t="s">
        <v>10913</v>
      </c>
      <c r="BBS670" s="8" t="s">
        <v>46</v>
      </c>
      <c r="BGN670" s="8" t="s">
        <v>40</v>
      </c>
      <c r="BHG670" s="8" t="s">
        <v>46</v>
      </c>
      <c r="BKD670" s="8" t="s">
        <v>10920</v>
      </c>
      <c r="BLZ670" s="8" t="s">
        <v>10188</v>
      </c>
      <c r="BRL670" s="8" t="s">
        <v>886</v>
      </c>
      <c r="BTH670" s="8" t="s">
        <v>886</v>
      </c>
      <c r="CCN670" s="8" t="s">
        <v>5561</v>
      </c>
      <c r="CCO670" s="8" t="s">
        <v>5561</v>
      </c>
      <c r="CEI670" s="8" t="s">
        <v>4870</v>
      </c>
      <c r="CEJ670" s="8" t="s">
        <v>4870</v>
      </c>
      <c r="CEK670" s="8" t="s">
        <v>4870</v>
      </c>
      <c r="CIB670" s="8" t="s">
        <v>4458</v>
      </c>
    </row>
    <row r="671" spans="1:888 1352:2024 2120:3067 3080:4088">
      <c r="A671" s="8" t="s">
        <v>9924</v>
      </c>
      <c r="B671" s="10" t="s">
        <v>14004</v>
      </c>
      <c r="C671" s="8">
        <v>828.71</v>
      </c>
      <c r="D671" s="15">
        <v>4.04</v>
      </c>
      <c r="AFI671" s="8" t="s">
        <v>14004</v>
      </c>
      <c r="AYZ671" s="8" t="s">
        <v>217</v>
      </c>
      <c r="BAV671" s="8" t="s">
        <v>217</v>
      </c>
      <c r="BGR671" s="8" t="s">
        <v>41</v>
      </c>
      <c r="BLK671" s="8" t="s">
        <v>10921</v>
      </c>
      <c r="BNG671" s="8" t="s">
        <v>10189</v>
      </c>
      <c r="BNT671" s="8" t="s">
        <v>47</v>
      </c>
      <c r="BRK671" s="8" t="s">
        <v>887</v>
      </c>
      <c r="BTG671" s="8" t="s">
        <v>887</v>
      </c>
      <c r="BTH671" s="8" t="s">
        <v>887</v>
      </c>
      <c r="BUC671" s="8" t="s">
        <v>47</v>
      </c>
      <c r="CCN671" s="8" t="s">
        <v>5562</v>
      </c>
      <c r="CCO671" s="8" t="s">
        <v>5562</v>
      </c>
      <c r="CEI671" s="8" t="s">
        <v>4871</v>
      </c>
      <c r="CEJ671" s="8" t="s">
        <v>4871</v>
      </c>
      <c r="CEK671" s="8" t="s">
        <v>4871</v>
      </c>
      <c r="CIG671" s="8" t="s">
        <v>4459</v>
      </c>
    </row>
    <row r="672" spans="1:888 1352:2024 2120:3067 3080:4088">
      <c r="A672" s="8" t="s">
        <v>9924</v>
      </c>
      <c r="B672" s="10" t="s">
        <v>10914</v>
      </c>
      <c r="C672" s="8">
        <v>840.46</v>
      </c>
      <c r="D672" s="15">
        <v>39.22</v>
      </c>
      <c r="AHD672" s="8" t="s">
        <v>10914</v>
      </c>
      <c r="BCR672" s="8" t="s">
        <v>218</v>
      </c>
      <c r="BEN672" s="8" t="s">
        <v>218</v>
      </c>
      <c r="BGV672" s="8" t="s">
        <v>42</v>
      </c>
      <c r="BMS672" s="8" t="s">
        <v>10922</v>
      </c>
      <c r="BNS672" s="8" t="s">
        <v>26</v>
      </c>
      <c r="BOO672" s="8" t="s">
        <v>10190</v>
      </c>
      <c r="BRK672" s="8" t="s">
        <v>888</v>
      </c>
      <c r="BRM672" s="8" t="s">
        <v>26</v>
      </c>
      <c r="BTG672" s="8" t="s">
        <v>26</v>
      </c>
      <c r="BTI672" s="8" t="s">
        <v>888</v>
      </c>
      <c r="BVE672" s="8" t="s">
        <v>888</v>
      </c>
      <c r="CCN672" s="8" t="s">
        <v>5563</v>
      </c>
      <c r="CCO672" s="8" t="s">
        <v>5563</v>
      </c>
      <c r="CEI672" s="8" t="s">
        <v>4872</v>
      </c>
      <c r="CEJ672" s="8" t="s">
        <v>4872</v>
      </c>
      <c r="CEK672" s="8" t="s">
        <v>4872</v>
      </c>
      <c r="CIB672" s="8" t="s">
        <v>4460</v>
      </c>
    </row>
    <row r="673" spans="1:943 1037:2044 2052:3032 3080:4088 4136:4376 8147:8168">
      <c r="A673" s="8" t="s">
        <v>9924</v>
      </c>
      <c r="B673" s="10" t="s">
        <v>14005</v>
      </c>
      <c r="C673" s="8">
        <v>873.84</v>
      </c>
      <c r="D673" s="15">
        <v>40.39</v>
      </c>
      <c r="AIL673" s="8" t="s">
        <v>14005</v>
      </c>
      <c r="BGJ673" s="8" t="s">
        <v>219</v>
      </c>
      <c r="BGY673" s="8" t="s">
        <v>43</v>
      </c>
      <c r="BIF673" s="8" t="s">
        <v>219</v>
      </c>
      <c r="BNG673" s="8" t="s">
        <v>48</v>
      </c>
      <c r="BNU673" s="8" t="s">
        <v>889</v>
      </c>
      <c r="BNZ673" s="8" t="s">
        <v>10923</v>
      </c>
      <c r="BPQ673" s="8" t="s">
        <v>48</v>
      </c>
      <c r="BPV673" s="8" t="s">
        <v>10191</v>
      </c>
      <c r="BVE673" s="8" t="s">
        <v>48</v>
      </c>
      <c r="BZX673" s="8" t="s">
        <v>889</v>
      </c>
      <c r="CBT673" s="8" t="s">
        <v>889</v>
      </c>
      <c r="CJX673" s="8" t="s">
        <v>4461</v>
      </c>
      <c r="CPL673" s="8" t="s">
        <v>5564</v>
      </c>
      <c r="CPM673" s="8" t="s">
        <v>5564</v>
      </c>
      <c r="CRG673" s="8" t="s">
        <v>4873</v>
      </c>
      <c r="CRH673" s="8" t="s">
        <v>4873</v>
      </c>
      <c r="CRI673" s="8" t="s">
        <v>4873</v>
      </c>
    </row>
    <row r="674" spans="1:943 1037:2044 2052:3032 3080:4088 4136:4376 8147:8168">
      <c r="A674" s="8" t="s">
        <v>9924</v>
      </c>
      <c r="B674" s="10" t="s">
        <v>10915</v>
      </c>
      <c r="C674" s="8">
        <v>880.68</v>
      </c>
      <c r="D674" s="15">
        <v>33.33</v>
      </c>
      <c r="AIL674" s="8" t="s">
        <v>10915</v>
      </c>
      <c r="AYZ674" s="8" t="s">
        <v>1954</v>
      </c>
      <c r="BAV674" s="8" t="s">
        <v>1524</v>
      </c>
      <c r="BEN674" s="8" t="s">
        <v>47</v>
      </c>
      <c r="BFF674" s="8" t="s">
        <v>679</v>
      </c>
      <c r="BGJ674" s="8" t="s">
        <v>47</v>
      </c>
      <c r="BHC674" s="8" t="s">
        <v>44</v>
      </c>
      <c r="BIF674" s="8" t="s">
        <v>47</v>
      </c>
      <c r="BKB674" s="8" t="s">
        <v>47</v>
      </c>
      <c r="BNW674" s="8" t="s">
        <v>10924</v>
      </c>
      <c r="BPS674" s="8" t="s">
        <v>10192</v>
      </c>
      <c r="BWF674" s="8" t="s">
        <v>231</v>
      </c>
      <c r="CAS674" s="8" t="s">
        <v>890</v>
      </c>
      <c r="CBT674" s="8" t="s">
        <v>890</v>
      </c>
      <c r="CCG674" s="8" t="s">
        <v>231</v>
      </c>
      <c r="CCO674" s="8" t="s">
        <v>890</v>
      </c>
      <c r="CKA674" s="8" t="s">
        <v>4462</v>
      </c>
      <c r="CPL674" s="8" t="s">
        <v>5565</v>
      </c>
      <c r="CPM674" s="8" t="s">
        <v>5565</v>
      </c>
      <c r="CRG674" s="8" t="s">
        <v>4874</v>
      </c>
      <c r="CRH674" s="8" t="s">
        <v>4874</v>
      </c>
      <c r="CRI674" s="8" t="s">
        <v>4874</v>
      </c>
    </row>
    <row r="675" spans="1:943 1037:2044 2052:3032 3080:4088 4136:4376 8147:8168">
      <c r="A675" s="8" t="s">
        <v>9924</v>
      </c>
      <c r="B675" s="10" t="s">
        <v>10916</v>
      </c>
      <c r="C675" s="8">
        <v>915.01</v>
      </c>
      <c r="D675" s="15">
        <v>19.61</v>
      </c>
      <c r="AJG675" s="8" t="s">
        <v>10916</v>
      </c>
      <c r="AYY675" s="8" t="s">
        <v>1955</v>
      </c>
      <c r="BAU675" s="8" t="s">
        <v>1525</v>
      </c>
      <c r="BEM675" s="8" t="s">
        <v>26</v>
      </c>
      <c r="BGI675" s="8" t="s">
        <v>26</v>
      </c>
      <c r="BHG675" s="8" t="s">
        <v>45</v>
      </c>
      <c r="BHQ675" s="8" t="s">
        <v>240</v>
      </c>
      <c r="BIE675" s="8" t="s">
        <v>26</v>
      </c>
      <c r="BKA675" s="8" t="s">
        <v>26</v>
      </c>
      <c r="BKX675" s="8" t="s">
        <v>221</v>
      </c>
      <c r="BMT675" s="8" t="s">
        <v>221</v>
      </c>
      <c r="BPP675" s="8" t="s">
        <v>10925</v>
      </c>
      <c r="BRL675" s="8" t="s">
        <v>10193</v>
      </c>
      <c r="BXA675" s="8" t="s">
        <v>232</v>
      </c>
      <c r="BXS675" s="8" t="s">
        <v>232</v>
      </c>
      <c r="BYW675" s="8" t="s">
        <v>891</v>
      </c>
      <c r="CCO675" s="8" t="s">
        <v>232</v>
      </c>
      <c r="CEJ675" s="8" t="s">
        <v>891</v>
      </c>
      <c r="CGF675" s="8" t="s">
        <v>891</v>
      </c>
      <c r="CNP675" s="8" t="s">
        <v>4463</v>
      </c>
      <c r="ECF675" s="8" t="s">
        <v>5566</v>
      </c>
      <c r="ECG675" s="8" t="s">
        <v>5566</v>
      </c>
      <c r="EEA675" s="8" t="s">
        <v>4876</v>
      </c>
      <c r="EEB675" s="8" t="s">
        <v>4876</v>
      </c>
      <c r="EEC675" s="8" t="s">
        <v>4876</v>
      </c>
    </row>
    <row r="676" spans="1:943 1037:2044 2052:3032 3080:4088 4136:4376 8147:8168">
      <c r="A676" s="8" t="s">
        <v>9924</v>
      </c>
      <c r="B676" s="10" t="s">
        <v>10917</v>
      </c>
      <c r="C676" s="8">
        <v>1018.41</v>
      </c>
      <c r="D676" s="15">
        <v>10.1</v>
      </c>
      <c r="AMW676" s="8" t="s">
        <v>10917</v>
      </c>
      <c r="AYZ676" s="8" t="s">
        <v>4024</v>
      </c>
      <c r="BAV676" s="8" t="s">
        <v>3693</v>
      </c>
      <c r="BAW676" s="8" t="s">
        <v>1956</v>
      </c>
      <c r="BCS676" s="8" t="s">
        <v>1526</v>
      </c>
      <c r="BEN676" s="8" t="s">
        <v>3236</v>
      </c>
      <c r="BGK676" s="8" t="s">
        <v>48</v>
      </c>
      <c r="BIG676" s="8" t="s">
        <v>48</v>
      </c>
      <c r="BKB676" s="8" t="s">
        <v>680</v>
      </c>
      <c r="BKC676" s="8" t="s">
        <v>48</v>
      </c>
      <c r="BLV676" s="8" t="s">
        <v>222</v>
      </c>
      <c r="BLY676" s="8" t="s">
        <v>48</v>
      </c>
      <c r="BNR676" s="8" t="s">
        <v>222</v>
      </c>
      <c r="BTH676" s="8" t="s">
        <v>10926</v>
      </c>
      <c r="BVD676" s="8" t="s">
        <v>10194</v>
      </c>
      <c r="CAR676" s="8" t="s">
        <v>233</v>
      </c>
      <c r="CCN676" s="8" t="s">
        <v>892</v>
      </c>
      <c r="CDQ676" s="8" t="s">
        <v>233</v>
      </c>
      <c r="CGF676" s="8" t="s">
        <v>233</v>
      </c>
      <c r="CIB676" s="8" t="s">
        <v>892</v>
      </c>
      <c r="CJX676" s="8" t="s">
        <v>892</v>
      </c>
      <c r="CQS676" s="8" t="s">
        <v>4464</v>
      </c>
      <c r="EPD676" s="8" t="s">
        <v>5567</v>
      </c>
      <c r="EPE676" s="8" t="s">
        <v>5567</v>
      </c>
      <c r="EQY676" s="8" t="s">
        <v>4877</v>
      </c>
      <c r="EQZ676" s="8" t="s">
        <v>4877</v>
      </c>
      <c r="ERA676" s="8" t="s">
        <v>4877</v>
      </c>
    </row>
    <row r="677" spans="1:943 1037:2044 2052:3032 3080:4088 4136:4376 8147:8168">
      <c r="A677" s="8" t="s">
        <v>9924</v>
      </c>
      <c r="B677" s="10" t="s">
        <v>14006</v>
      </c>
      <c r="C677" s="8">
        <v>1111.6099999999999</v>
      </c>
      <c r="D677" s="15">
        <v>40.39</v>
      </c>
      <c r="ARP677" s="8" t="s">
        <v>14006</v>
      </c>
      <c r="BEP677" s="8" t="s">
        <v>4442</v>
      </c>
      <c r="BIF677" s="8" t="s">
        <v>1957</v>
      </c>
      <c r="BKB677" s="8" t="s">
        <v>1527</v>
      </c>
      <c r="BLZ677" s="8" t="s">
        <v>6297</v>
      </c>
      <c r="BNT677" s="8" t="s">
        <v>231</v>
      </c>
      <c r="BPP677" s="8" t="s">
        <v>231</v>
      </c>
      <c r="BRL677" s="8" t="s">
        <v>231</v>
      </c>
      <c r="BTG677" s="8" t="s">
        <v>47</v>
      </c>
      <c r="BTH677" s="8" t="s">
        <v>231</v>
      </c>
      <c r="BVD677" s="8" t="s">
        <v>223</v>
      </c>
      <c r="BVF677" s="8" t="s">
        <v>4442</v>
      </c>
      <c r="BWZ677" s="8" t="s">
        <v>10927</v>
      </c>
      <c r="BXB677" s="8" t="s">
        <v>4025</v>
      </c>
      <c r="BYV677" s="8" t="s">
        <v>10195</v>
      </c>
      <c r="BYX677" s="8" t="s">
        <v>3694</v>
      </c>
      <c r="CCP677" s="8" t="s">
        <v>3239</v>
      </c>
      <c r="CEJ677" s="8" t="s">
        <v>234</v>
      </c>
      <c r="CIB677" s="8" t="s">
        <v>893</v>
      </c>
      <c r="CJX677" s="8" t="s">
        <v>893</v>
      </c>
      <c r="CKE677" s="8" t="s">
        <v>234</v>
      </c>
      <c r="CWX677" s="8" t="s">
        <v>4465</v>
      </c>
      <c r="FCB677" s="8" t="s">
        <v>5568</v>
      </c>
      <c r="FCC677" s="8" t="s">
        <v>5568</v>
      </c>
      <c r="FDW677" s="8" t="s">
        <v>4878</v>
      </c>
      <c r="FDX677" s="8" t="s">
        <v>4878</v>
      </c>
      <c r="FDY677" s="8" t="s">
        <v>4878</v>
      </c>
    </row>
    <row r="678" spans="1:943 1037:2044 2052:3032 3080:4088 4136:4376 8147:8168">
      <c r="A678" s="8" t="s">
        <v>9924</v>
      </c>
      <c r="B678" s="10" t="s">
        <v>14007</v>
      </c>
      <c r="C678" s="8">
        <v>1127.28</v>
      </c>
      <c r="D678" s="15">
        <v>40.39</v>
      </c>
      <c r="ASF678" s="8" t="s">
        <v>14007</v>
      </c>
      <c r="BLX678" s="8" t="s">
        <v>1958</v>
      </c>
      <c r="BMM678" s="8" t="s">
        <v>243</v>
      </c>
      <c r="BNT678" s="8" t="s">
        <v>1528</v>
      </c>
      <c r="BRL678" s="8" t="s">
        <v>233</v>
      </c>
      <c r="BTH678" s="8" t="s">
        <v>233</v>
      </c>
      <c r="BVD678" s="8" t="s">
        <v>233</v>
      </c>
      <c r="BVE678" s="8" t="s">
        <v>26</v>
      </c>
      <c r="BWZ678" s="8" t="s">
        <v>233</v>
      </c>
      <c r="BXT678" s="8" t="s">
        <v>224</v>
      </c>
      <c r="BZP678" s="8" t="s">
        <v>224</v>
      </c>
      <c r="CAD678" s="8" t="s">
        <v>50</v>
      </c>
      <c r="CAR678" s="8" t="s">
        <v>894</v>
      </c>
      <c r="CEJ678" s="8" t="s">
        <v>50</v>
      </c>
      <c r="CJX678" s="8" t="s">
        <v>50</v>
      </c>
      <c r="CLW678" s="8" t="s">
        <v>10928</v>
      </c>
      <c r="CNS678" s="8" t="s">
        <v>10196</v>
      </c>
      <c r="CRH678" s="8" t="s">
        <v>894</v>
      </c>
      <c r="CTD678" s="8" t="s">
        <v>894</v>
      </c>
      <c r="DHX678" s="8" t="s">
        <v>4466</v>
      </c>
    </row>
    <row r="679" spans="1:943 1037:2044 2052:3032 3080:4088 4136:4376 8147:8168">
      <c r="A679" s="8" t="s">
        <v>9924</v>
      </c>
      <c r="B679" s="10" t="s">
        <v>10918</v>
      </c>
      <c r="C679" s="8">
        <v>1272.47</v>
      </c>
      <c r="D679" s="15">
        <v>23.53</v>
      </c>
      <c r="AXD679" s="8" t="s">
        <v>10918</v>
      </c>
      <c r="BPP679" s="8" t="s">
        <v>1959</v>
      </c>
      <c r="BRL679" s="8" t="s">
        <v>1529</v>
      </c>
      <c r="BVD679" s="8" t="s">
        <v>234</v>
      </c>
      <c r="BWZ679" s="8" t="s">
        <v>234</v>
      </c>
      <c r="BYH679" s="8" t="s">
        <v>225</v>
      </c>
      <c r="BYV679" s="8" t="s">
        <v>234</v>
      </c>
      <c r="CAD679" s="8" t="s">
        <v>225</v>
      </c>
      <c r="CAR679" s="8" t="s">
        <v>234</v>
      </c>
      <c r="CBT679" s="8" t="s">
        <v>48</v>
      </c>
      <c r="CGF679" s="8" t="s">
        <v>895</v>
      </c>
      <c r="CGV679" s="8" t="s">
        <v>235</v>
      </c>
      <c r="CNP679" s="8" t="s">
        <v>235</v>
      </c>
      <c r="CPO679" s="8" t="s">
        <v>10929</v>
      </c>
      <c r="CRK679" s="8" t="s">
        <v>10197</v>
      </c>
      <c r="CTD679" s="8" t="s">
        <v>235</v>
      </c>
      <c r="DFG679" s="8" t="s">
        <v>895</v>
      </c>
      <c r="DHC679" s="8" t="s">
        <v>895</v>
      </c>
      <c r="DJY679" s="8" t="s">
        <v>4467</v>
      </c>
    </row>
    <row r="680" spans="1:943 1037:2044 2052:3032 3080:4088 4136:4376 8147:8168">
      <c r="A680" s="8" t="s">
        <v>9924</v>
      </c>
      <c r="B680" s="10" t="s">
        <v>10919</v>
      </c>
      <c r="C680" s="8">
        <v>1352.78</v>
      </c>
      <c r="D680" s="15">
        <v>39.22</v>
      </c>
      <c r="AYX680" s="8" t="s">
        <v>4829</v>
      </c>
      <c r="AYY680" s="8" t="s">
        <v>4829</v>
      </c>
      <c r="BAK680" s="8" t="s">
        <v>695</v>
      </c>
      <c r="BAV680" s="8" t="s">
        <v>10919</v>
      </c>
      <c r="BBI680" s="8" t="s">
        <v>695</v>
      </c>
      <c r="BCG680" s="8" t="s">
        <v>896</v>
      </c>
      <c r="BCH680" s="8" t="s">
        <v>3240</v>
      </c>
      <c r="BED680" s="8" t="s">
        <v>3240</v>
      </c>
      <c r="BVD680" s="8" t="s">
        <v>1960</v>
      </c>
      <c r="BWZ680" s="8" t="s">
        <v>1530</v>
      </c>
      <c r="CAR680" s="8" t="s">
        <v>1363</v>
      </c>
      <c r="CAS680" s="8" t="s">
        <v>226</v>
      </c>
      <c r="CCN680" s="8" t="s">
        <v>1363</v>
      </c>
      <c r="CCO680" s="8" t="s">
        <v>226</v>
      </c>
      <c r="CEJ680" s="8" t="s">
        <v>1363</v>
      </c>
      <c r="CGF680" s="8" t="s">
        <v>1363</v>
      </c>
      <c r="DBO680" s="8" t="s">
        <v>695</v>
      </c>
      <c r="DEQ680" s="8" t="s">
        <v>695</v>
      </c>
      <c r="DFG680" s="8" t="s">
        <v>896</v>
      </c>
      <c r="DFU680" s="8" t="s">
        <v>896</v>
      </c>
      <c r="DHC680" s="8" t="s">
        <v>695</v>
      </c>
      <c r="DHQ680" s="8" t="s">
        <v>896</v>
      </c>
      <c r="DNL680" s="8" t="s">
        <v>10930</v>
      </c>
      <c r="DPH680" s="8" t="s">
        <v>10198</v>
      </c>
    </row>
    <row r="681" spans="1:943 1037:2044 2052:3032 3080:4088 4136:4376 8147:8168">
      <c r="A681" s="8" t="s">
        <v>9924</v>
      </c>
      <c r="B681" s="10" t="s">
        <v>14008</v>
      </c>
      <c r="C681" s="8">
        <v>1433.34</v>
      </c>
      <c r="D681" s="15">
        <v>6.66</v>
      </c>
      <c r="BAR681" s="19" t="s">
        <v>236</v>
      </c>
      <c r="BBP681" s="8" t="s">
        <v>236</v>
      </c>
      <c r="BCN681" s="8" t="s">
        <v>897</v>
      </c>
      <c r="BCR681" s="8" t="s">
        <v>14008</v>
      </c>
      <c r="BEN681" s="8" t="s">
        <v>4830</v>
      </c>
      <c r="BEO681" s="8" t="s">
        <v>4830</v>
      </c>
      <c r="BWZ681" s="8" t="s">
        <v>246</v>
      </c>
      <c r="BYV681" s="8" t="s">
        <v>1961</v>
      </c>
      <c r="CAR681" s="8" t="s">
        <v>1531</v>
      </c>
      <c r="CEJ681" s="8" t="s">
        <v>235</v>
      </c>
      <c r="CGF681" s="8" t="s">
        <v>235</v>
      </c>
      <c r="CIB681" s="8" t="s">
        <v>235</v>
      </c>
      <c r="CJG681" s="8" t="s">
        <v>211</v>
      </c>
      <c r="CJX681" s="8" t="s">
        <v>235</v>
      </c>
      <c r="CLC681" s="8" t="s">
        <v>211</v>
      </c>
      <c r="DCC681" s="8" t="s">
        <v>236</v>
      </c>
      <c r="DGB681" s="8" t="s">
        <v>897</v>
      </c>
      <c r="DHQ681" s="8" t="s">
        <v>897</v>
      </c>
      <c r="DHX681" s="8" t="s">
        <v>897</v>
      </c>
      <c r="DIE681" s="8" t="s">
        <v>236</v>
      </c>
      <c r="DPH681" s="8" t="s">
        <v>4469</v>
      </c>
      <c r="DYQ681" s="8" t="s">
        <v>10931</v>
      </c>
      <c r="EAM681" s="8" t="s">
        <v>10199</v>
      </c>
    </row>
    <row r="682" spans="1:943 1037:2044 2052:3032 3080:4088 4136:4376 8147:8168">
      <c r="A682" s="8" t="s">
        <v>9924</v>
      </c>
      <c r="B682" s="10" t="s">
        <v>14009</v>
      </c>
      <c r="C682" s="8">
        <v>1447.61</v>
      </c>
      <c r="D682" s="15">
        <v>40.39</v>
      </c>
      <c r="AYZ682" s="8" t="s">
        <v>4831</v>
      </c>
      <c r="BAV682" s="8" t="s">
        <v>4831</v>
      </c>
      <c r="BAW682" s="8" t="s">
        <v>4831</v>
      </c>
      <c r="BBT682" s="8" t="s">
        <v>51</v>
      </c>
      <c r="BCR682" s="8" t="s">
        <v>898</v>
      </c>
      <c r="BEN682" s="8" t="s">
        <v>14009</v>
      </c>
      <c r="BGJ682" s="8" t="s">
        <v>3242</v>
      </c>
      <c r="BWZ682" s="8" t="s">
        <v>247</v>
      </c>
      <c r="CAS682" s="8" t="s">
        <v>1962</v>
      </c>
      <c r="CCO682" s="8" t="s">
        <v>1532</v>
      </c>
      <c r="CGG682" s="8" t="s">
        <v>232</v>
      </c>
      <c r="CIC682" s="8" t="s">
        <v>232</v>
      </c>
      <c r="CJX682" s="8" t="s">
        <v>233</v>
      </c>
      <c r="CJY682" s="8" t="s">
        <v>232</v>
      </c>
      <c r="CLU682" s="8" t="s">
        <v>232</v>
      </c>
      <c r="CNI682" s="8" t="s">
        <v>51</v>
      </c>
      <c r="CNP682" s="8" t="s">
        <v>227</v>
      </c>
      <c r="CPL682" s="8" t="s">
        <v>227</v>
      </c>
      <c r="DCJ682" s="8" t="s">
        <v>51</v>
      </c>
      <c r="DHX682" s="8" t="s">
        <v>51</v>
      </c>
      <c r="DUV682" s="8" t="s">
        <v>4470</v>
      </c>
      <c r="EAJ682" s="8" t="s">
        <v>898</v>
      </c>
      <c r="ECF682" s="8" t="s">
        <v>898</v>
      </c>
    </row>
    <row r="683" spans="1:943 1037:2044 2052:3032 3080:4088 4136:4376 8147:8168">
      <c r="A683" s="8" t="s">
        <v>9924</v>
      </c>
      <c r="B683" s="10" t="s">
        <v>10920</v>
      </c>
      <c r="C683" s="8">
        <v>1450.67</v>
      </c>
      <c r="D683" s="15">
        <v>39.22</v>
      </c>
      <c r="BAR683" s="19" t="s">
        <v>4832</v>
      </c>
      <c r="BCN683" s="8" t="s">
        <v>4832</v>
      </c>
      <c r="BCO683" s="8" t="s">
        <v>4832</v>
      </c>
      <c r="BEP683" s="8" t="s">
        <v>10920</v>
      </c>
      <c r="BIF683" s="8" t="s">
        <v>3243</v>
      </c>
      <c r="BKB683" s="8" t="s">
        <v>3243</v>
      </c>
      <c r="BKC683" s="8" t="s">
        <v>4881</v>
      </c>
      <c r="BKD683" s="8" t="s">
        <v>4881</v>
      </c>
      <c r="BKZ683" s="8" t="s">
        <v>53</v>
      </c>
      <c r="BLX683" s="8" t="s">
        <v>53</v>
      </c>
      <c r="BMV683" s="8" t="s">
        <v>899</v>
      </c>
      <c r="BWZ683" s="8" t="s">
        <v>248</v>
      </c>
      <c r="CJX683" s="8" t="s">
        <v>1963</v>
      </c>
      <c r="CLT683" s="8" t="s">
        <v>1533</v>
      </c>
      <c r="CPL683" s="8" t="s">
        <v>1364</v>
      </c>
      <c r="CRH683" s="8" t="s">
        <v>1364</v>
      </c>
      <c r="CTD683" s="8" t="s">
        <v>1364</v>
      </c>
      <c r="CUZ683" s="8" t="s">
        <v>1364</v>
      </c>
      <c r="DWR683" s="8" t="s">
        <v>53</v>
      </c>
      <c r="DYJ683" s="8" t="s">
        <v>53</v>
      </c>
      <c r="DYN683" s="8" t="s">
        <v>899</v>
      </c>
      <c r="ECF683" s="8" t="s">
        <v>53</v>
      </c>
      <c r="EDM683" s="8" t="s">
        <v>4471</v>
      </c>
      <c r="EEB683" s="8" t="s">
        <v>899</v>
      </c>
      <c r="EFX683" s="8" t="s">
        <v>899</v>
      </c>
      <c r="FJL683" s="8" t="s">
        <v>1320</v>
      </c>
      <c r="FLH683" s="8" t="s">
        <v>1320</v>
      </c>
    </row>
    <row r="684" spans="1:943 1037:2044 2052:3032 3080:4088 4136:4376 8147:8168">
      <c r="A684" s="8" t="s">
        <v>9924</v>
      </c>
      <c r="B684" s="10" t="s">
        <v>10921</v>
      </c>
      <c r="C684" s="8">
        <v>1484</v>
      </c>
      <c r="D684" s="15">
        <v>39.22</v>
      </c>
      <c r="BAV684" s="8" t="s">
        <v>4833</v>
      </c>
      <c r="BAW684" s="8" t="s">
        <v>4833</v>
      </c>
      <c r="BCR684" s="8" t="s">
        <v>4833</v>
      </c>
      <c r="BCS684" s="8" t="s">
        <v>4833</v>
      </c>
      <c r="BFW684" s="8" t="s">
        <v>10921</v>
      </c>
      <c r="BHV684" s="8" t="s">
        <v>3244</v>
      </c>
      <c r="BJR684" s="8" t="s">
        <v>3244</v>
      </c>
      <c r="BMV684" s="8" t="s">
        <v>237</v>
      </c>
      <c r="BNT684" s="8" t="s">
        <v>237</v>
      </c>
      <c r="BOR684" s="8" t="s">
        <v>900</v>
      </c>
      <c r="BVD684" s="8" t="s">
        <v>5318</v>
      </c>
      <c r="BVE684" s="8" t="s">
        <v>5318</v>
      </c>
      <c r="BWZ684" s="8" t="s">
        <v>249</v>
      </c>
      <c r="CMU684" s="8" t="s">
        <v>1964</v>
      </c>
      <c r="COQ684" s="8" t="s">
        <v>1534</v>
      </c>
      <c r="CSI684" s="8" t="s">
        <v>695</v>
      </c>
      <c r="CTD684" s="8" t="s">
        <v>50</v>
      </c>
      <c r="CUE684" s="8" t="s">
        <v>695</v>
      </c>
      <c r="CWA684" s="8" t="s">
        <v>695</v>
      </c>
      <c r="CXW684" s="8" t="s">
        <v>695</v>
      </c>
      <c r="DUV684" s="8" t="s">
        <v>900</v>
      </c>
      <c r="DVG684" s="8" t="s">
        <v>237</v>
      </c>
      <c r="EAJ684" s="8" t="s">
        <v>237</v>
      </c>
      <c r="EFX684" s="8" t="s">
        <v>237</v>
      </c>
      <c r="EJP684" s="8" t="s">
        <v>4472</v>
      </c>
      <c r="EPD684" s="8" t="s">
        <v>900</v>
      </c>
      <c r="EQZ684" s="8" t="s">
        <v>900</v>
      </c>
    </row>
    <row r="685" spans="1:943 1037:2044 2052:3032 3080:4088 4136:4376 8147:8168">
      <c r="A685" s="8" t="s">
        <v>9924</v>
      </c>
      <c r="B685" s="10" t="s">
        <v>10922</v>
      </c>
      <c r="C685" s="8">
        <v>1517.33</v>
      </c>
      <c r="D685" s="15">
        <v>39.22</v>
      </c>
      <c r="BCR685" s="8" t="s">
        <v>4834</v>
      </c>
      <c r="BCS685" s="8" t="s">
        <v>4834</v>
      </c>
      <c r="BEN685" s="8" t="s">
        <v>4834</v>
      </c>
      <c r="BEO685" s="8" t="s">
        <v>4834</v>
      </c>
      <c r="BHE685" s="8" t="s">
        <v>10922</v>
      </c>
      <c r="BIF685" s="8" t="s">
        <v>3245</v>
      </c>
      <c r="BKB685" s="8" t="s">
        <v>3245</v>
      </c>
      <c r="BSJ685" s="8" t="s">
        <v>678</v>
      </c>
      <c r="BTH685" s="8" t="s">
        <v>678</v>
      </c>
      <c r="BUF685" s="8" t="s">
        <v>901</v>
      </c>
      <c r="CEJ685" s="8" t="s">
        <v>4882</v>
      </c>
      <c r="CEK685" s="8" t="s">
        <v>4882</v>
      </c>
      <c r="CJX685" s="8" t="s">
        <v>250</v>
      </c>
      <c r="CNI685" s="8" t="s">
        <v>1965</v>
      </c>
      <c r="CPE685" s="8" t="s">
        <v>1535</v>
      </c>
      <c r="CSW685" s="8" t="s">
        <v>236</v>
      </c>
      <c r="CUS685" s="8" t="s">
        <v>236</v>
      </c>
      <c r="CWO685" s="8" t="s">
        <v>236</v>
      </c>
      <c r="CYK685" s="8" t="s">
        <v>236</v>
      </c>
      <c r="DHQ685" s="8" t="s">
        <v>235</v>
      </c>
      <c r="EHT685" s="8" t="s">
        <v>901</v>
      </c>
      <c r="EHY685" s="8" t="s">
        <v>678</v>
      </c>
      <c r="ELL685" s="8" t="s">
        <v>4473</v>
      </c>
      <c r="EQZ685" s="8" t="s">
        <v>678</v>
      </c>
      <c r="EYJ685" s="8" t="s">
        <v>901</v>
      </c>
      <c r="FAF685" s="8" t="s">
        <v>901</v>
      </c>
    </row>
    <row r="686" spans="1:943 1037:2044 2052:3032 3080:4088 4136:4376 8147:8168">
      <c r="A686" s="8" t="s">
        <v>9924</v>
      </c>
      <c r="B686" s="10" t="s">
        <v>10923</v>
      </c>
      <c r="C686" s="8">
        <v>1550.67</v>
      </c>
      <c r="D686" s="15">
        <v>39.22</v>
      </c>
      <c r="BHX686" s="8" t="s">
        <v>4835</v>
      </c>
      <c r="BIL686" s="8" t="s">
        <v>10923</v>
      </c>
      <c r="BJT686" s="8" t="s">
        <v>4835</v>
      </c>
      <c r="BJU686" s="8" t="s">
        <v>4835</v>
      </c>
      <c r="BKB686" s="8" t="s">
        <v>3246</v>
      </c>
      <c r="BLX686" s="8" t="s">
        <v>3246</v>
      </c>
      <c r="BWZ686" s="8" t="s">
        <v>238</v>
      </c>
      <c r="BXX686" s="8" t="s">
        <v>238</v>
      </c>
      <c r="BYV686" s="8" t="s">
        <v>1265</v>
      </c>
      <c r="CJX686" s="8" t="s">
        <v>251</v>
      </c>
      <c r="CRH686" s="8" t="s">
        <v>4883</v>
      </c>
      <c r="CRI686" s="8" t="s">
        <v>4883</v>
      </c>
      <c r="DCJ686" s="8" t="s">
        <v>1966</v>
      </c>
      <c r="DEF686" s="8" t="s">
        <v>1536</v>
      </c>
      <c r="DHX686" s="8" t="s">
        <v>1321</v>
      </c>
      <c r="DJT686" s="8" t="s">
        <v>1321</v>
      </c>
      <c r="DLP686" s="8" t="s">
        <v>1321</v>
      </c>
      <c r="DNL686" s="8" t="s">
        <v>1321</v>
      </c>
      <c r="ESG686" s="8" t="s">
        <v>4474</v>
      </c>
      <c r="EUR686" s="8" t="s">
        <v>238</v>
      </c>
      <c r="FAF686" s="8" t="s">
        <v>238</v>
      </c>
      <c r="LAI686" s="8" t="s">
        <v>238</v>
      </c>
      <c r="LBD686" s="8" t="s">
        <v>1265</v>
      </c>
    </row>
    <row r="687" spans="1:943 1037:2044 2052:3032 3080:4088 4136:4376 8147:8168">
      <c r="A687" s="8" t="s">
        <v>9924</v>
      </c>
      <c r="B687" s="10" t="s">
        <v>10924</v>
      </c>
      <c r="C687" s="8">
        <v>1567.33</v>
      </c>
      <c r="D687" s="15">
        <v>19.61</v>
      </c>
      <c r="BIF687" s="8" t="s">
        <v>4836</v>
      </c>
      <c r="BIG687" s="8" t="s">
        <v>4836</v>
      </c>
      <c r="BII687" s="8" t="s">
        <v>10924</v>
      </c>
      <c r="BKB687" s="8" t="s">
        <v>4836</v>
      </c>
      <c r="BKC687" s="8" t="s">
        <v>4836</v>
      </c>
      <c r="BKL687" s="8" t="s">
        <v>3247</v>
      </c>
      <c r="BMH687" s="8" t="s">
        <v>3247</v>
      </c>
      <c r="CJX687" s="8" t="s">
        <v>252</v>
      </c>
      <c r="DEF687" s="8" t="s">
        <v>4884</v>
      </c>
      <c r="DEG687" s="8" t="s">
        <v>4884</v>
      </c>
      <c r="DHX687" s="8" t="s">
        <v>1967</v>
      </c>
      <c r="DJT687" s="8" t="s">
        <v>1537</v>
      </c>
      <c r="DNL687" s="8" t="s">
        <v>53</v>
      </c>
      <c r="DPH687" s="8" t="s">
        <v>53</v>
      </c>
      <c r="DRD687" s="8" t="s">
        <v>53</v>
      </c>
      <c r="DSZ687" s="8" t="s">
        <v>53</v>
      </c>
      <c r="ECF687" s="8" t="s">
        <v>51</v>
      </c>
      <c r="EYJ687" s="8" t="s">
        <v>4475</v>
      </c>
    </row>
    <row r="688" spans="1:943 1037:2044 2052:3032 3080:4088 4136:4376 8147:8168">
      <c r="A688" s="8" t="s">
        <v>9924</v>
      </c>
      <c r="B688" s="10" t="s">
        <v>14010</v>
      </c>
      <c r="C688" s="8">
        <v>1628.08</v>
      </c>
      <c r="D688" s="15">
        <v>3.92</v>
      </c>
      <c r="BJI688" s="8" t="s">
        <v>4837</v>
      </c>
      <c r="BJJ688" s="8" t="s">
        <v>4837</v>
      </c>
      <c r="BKB688" s="8" t="s">
        <v>14010</v>
      </c>
      <c r="BLE688" s="8" t="s">
        <v>4837</v>
      </c>
      <c r="BLF688" s="8" t="s">
        <v>4837</v>
      </c>
      <c r="BLG688" s="8" t="s">
        <v>4837</v>
      </c>
      <c r="BPP688" s="8" t="s">
        <v>3248</v>
      </c>
      <c r="BRL688" s="8" t="s">
        <v>3248</v>
      </c>
      <c r="CJX688" s="8" t="s">
        <v>253</v>
      </c>
      <c r="DLP688" s="8" t="s">
        <v>1968</v>
      </c>
      <c r="DNL688" s="8" t="s">
        <v>1538</v>
      </c>
      <c r="DRD688" s="8" t="s">
        <v>237</v>
      </c>
      <c r="DSZ688" s="8" t="s">
        <v>237</v>
      </c>
      <c r="DUV688" s="8" t="s">
        <v>237</v>
      </c>
      <c r="DWR688" s="8" t="s">
        <v>237</v>
      </c>
      <c r="EFX688" s="8" t="s">
        <v>53</v>
      </c>
      <c r="FEB688" s="8" t="s">
        <v>4476</v>
      </c>
    </row>
    <row r="689" spans="1:403 1352:2025 2051:3033 3176:4088 4328:4328">
      <c r="A689" s="8" t="s">
        <v>9924</v>
      </c>
      <c r="B689" s="10" t="s">
        <v>10926</v>
      </c>
      <c r="C689" s="8">
        <v>1688.78</v>
      </c>
      <c r="D689" s="15">
        <v>39.22</v>
      </c>
      <c r="BJM689" s="8" t="s">
        <v>4838</v>
      </c>
      <c r="BLI689" s="8" t="s">
        <v>4838</v>
      </c>
      <c r="BLJ689" s="8" t="s">
        <v>4838</v>
      </c>
      <c r="BNT689" s="8" t="s">
        <v>10926</v>
      </c>
      <c r="BRT689" s="8" t="s">
        <v>3249</v>
      </c>
      <c r="BTP689" s="8" t="s">
        <v>3249</v>
      </c>
      <c r="CJX689" s="8" t="s">
        <v>254</v>
      </c>
      <c r="DRD689" s="8" t="s">
        <v>1969</v>
      </c>
      <c r="DSZ689" s="8" t="s">
        <v>1539</v>
      </c>
      <c r="DWR689" s="8" t="s">
        <v>32</v>
      </c>
      <c r="DYN689" s="8" t="s">
        <v>32</v>
      </c>
      <c r="EAJ689" s="8" t="s">
        <v>32</v>
      </c>
      <c r="ECF689" s="8" t="s">
        <v>32</v>
      </c>
      <c r="FAF689" s="8" t="s">
        <v>237</v>
      </c>
      <c r="FJL689" s="8" t="s">
        <v>4643</v>
      </c>
    </row>
    <row r="690" spans="1:403 1352:2025 2051:3033 3176:4088 4328:4328">
      <c r="A690" s="8" t="s">
        <v>9924</v>
      </c>
      <c r="B690" s="10" t="s">
        <v>14011</v>
      </c>
      <c r="C690" s="8">
        <v>1813.9</v>
      </c>
      <c r="D690" s="15">
        <v>10.1</v>
      </c>
      <c r="BJQ690" s="8" t="s">
        <v>4839</v>
      </c>
      <c r="BLM690" s="8" t="s">
        <v>4839</v>
      </c>
      <c r="BLN690" s="8" t="s">
        <v>4839</v>
      </c>
      <c r="BRL690" s="8" t="s">
        <v>14011</v>
      </c>
      <c r="BVL690" s="8" t="s">
        <v>3250</v>
      </c>
      <c r="BXH690" s="8" t="s">
        <v>3250</v>
      </c>
      <c r="CJX690" s="8" t="s">
        <v>255</v>
      </c>
      <c r="DWR690" s="8" t="s">
        <v>1970</v>
      </c>
      <c r="DYN690" s="8" t="s">
        <v>1540</v>
      </c>
      <c r="ECF690" s="8" t="s">
        <v>678</v>
      </c>
      <c r="EEB690" s="8" t="s">
        <v>678</v>
      </c>
      <c r="EFX690" s="8" t="s">
        <v>678</v>
      </c>
      <c r="EHT690" s="8" t="s">
        <v>678</v>
      </c>
    </row>
    <row r="691" spans="1:403 1352:2025 2051:3033 3176:4088 4328:4328">
      <c r="A691" s="8" t="s">
        <v>9924</v>
      </c>
      <c r="B691" s="10" t="s">
        <v>10928</v>
      </c>
      <c r="C691" s="8">
        <v>2191.33</v>
      </c>
      <c r="D691" s="15">
        <v>19.61</v>
      </c>
      <c r="BLB691" s="8" t="s">
        <v>4840</v>
      </c>
      <c r="BMW691" s="8" t="s">
        <v>4840</v>
      </c>
      <c r="BMX691" s="8" t="s">
        <v>4840</v>
      </c>
      <c r="BWQ691" s="8" t="s">
        <v>3251</v>
      </c>
      <c r="BYM691" s="8" t="s">
        <v>3251</v>
      </c>
      <c r="CGI691" s="8" t="s">
        <v>10928</v>
      </c>
      <c r="COW691" s="8" t="s">
        <v>256</v>
      </c>
      <c r="EFX691" s="8" t="s">
        <v>1971</v>
      </c>
      <c r="EHT691" s="8" t="s">
        <v>1541</v>
      </c>
      <c r="ELL691" s="8" t="s">
        <v>238</v>
      </c>
      <c r="ENH691" s="8" t="s">
        <v>238</v>
      </c>
      <c r="EPD691" s="8" t="s">
        <v>238</v>
      </c>
      <c r="EQZ691" s="8" t="s">
        <v>238</v>
      </c>
    </row>
    <row r="692" spans="1:403 1352:2025 2051:3033 3176:4088 4328:4328">
      <c r="A692" s="8" t="s">
        <v>9924</v>
      </c>
      <c r="B692" s="10" t="s">
        <v>10929</v>
      </c>
      <c r="C692" s="8">
        <v>2287.33</v>
      </c>
      <c r="D692" s="15">
        <v>19.61</v>
      </c>
      <c r="AYZ692" s="8" t="s">
        <v>2752</v>
      </c>
      <c r="BAV692" s="8" t="s">
        <v>2434</v>
      </c>
      <c r="BLX692" s="8" t="s">
        <v>4841</v>
      </c>
      <c r="BLY692" s="8" t="s">
        <v>4841</v>
      </c>
      <c r="BNT692" s="8" t="s">
        <v>4841</v>
      </c>
      <c r="BNU692" s="8" t="s">
        <v>4841</v>
      </c>
      <c r="BWZ692" s="8" t="s">
        <v>3252</v>
      </c>
      <c r="BYV692" s="8" t="s">
        <v>3252</v>
      </c>
      <c r="CKA692" s="8" t="s">
        <v>10929</v>
      </c>
      <c r="CRH692" s="8" t="s">
        <v>257</v>
      </c>
    </row>
    <row r="693" spans="1:403 1352:2025 2051:3033 3176:4088 4328:4328">
      <c r="A693" s="8" t="s">
        <v>9924</v>
      </c>
      <c r="B693" s="10" t="s">
        <v>14012</v>
      </c>
      <c r="C693" s="8">
        <v>2923.96</v>
      </c>
      <c r="D693" s="15">
        <v>4.04</v>
      </c>
      <c r="AYZ693" s="8" t="s">
        <v>2945</v>
      </c>
      <c r="BAV693" s="8" t="s">
        <v>2435</v>
      </c>
      <c r="BDJ693" s="8" t="s">
        <v>902</v>
      </c>
      <c r="BFF693" s="8" t="s">
        <v>902</v>
      </c>
      <c r="BNE693" s="8" t="s">
        <v>4842</v>
      </c>
      <c r="BNF693" s="8" t="s">
        <v>4842</v>
      </c>
      <c r="BPA693" s="8" t="s">
        <v>4842</v>
      </c>
      <c r="BPB693" s="8" t="s">
        <v>4842</v>
      </c>
      <c r="BPC693" s="8" t="s">
        <v>4842</v>
      </c>
      <c r="BYV693" s="8" t="s">
        <v>3253</v>
      </c>
      <c r="CAR693" s="8" t="s">
        <v>3253</v>
      </c>
      <c r="CRH693" s="8" t="s">
        <v>258</v>
      </c>
      <c r="DHX693" s="8" t="s">
        <v>14012</v>
      </c>
    </row>
    <row r="694" spans="1:403 1352:2025 2051:3033 3176:4088 4328:4328">
      <c r="A694" s="8" t="s">
        <v>9924</v>
      </c>
      <c r="B694" s="10" t="s">
        <v>10931</v>
      </c>
      <c r="C694" s="8">
        <v>3199.33</v>
      </c>
      <c r="D694" s="15">
        <v>19.61</v>
      </c>
      <c r="AZR694" s="8" t="s">
        <v>240</v>
      </c>
      <c r="BCR694" s="8" t="s">
        <v>2753</v>
      </c>
      <c r="BDJ694" s="8" t="s">
        <v>903</v>
      </c>
      <c r="BEB694" s="8" t="s">
        <v>240</v>
      </c>
      <c r="BEN694" s="8" t="s">
        <v>2436</v>
      </c>
      <c r="BFF694" s="8" t="s">
        <v>240</v>
      </c>
      <c r="BFU694" s="8" t="s">
        <v>903</v>
      </c>
      <c r="BHQ694" s="8" t="s">
        <v>903</v>
      </c>
      <c r="BNU694" s="8" t="s">
        <v>4843</v>
      </c>
      <c r="BPQ694" s="8" t="s">
        <v>4843</v>
      </c>
      <c r="BPR694" s="8" t="s">
        <v>4843</v>
      </c>
      <c r="CAZ694" s="8" t="s">
        <v>3254</v>
      </c>
      <c r="CCV694" s="8" t="s">
        <v>3254</v>
      </c>
      <c r="CWV694" s="8" t="s">
        <v>259</v>
      </c>
      <c r="DTC694" s="8" t="s">
        <v>10931</v>
      </c>
    </row>
    <row r="695" spans="1:403 1352:2025 2051:3033 3176:4088 4328:4328">
      <c r="A695" s="8" t="s">
        <v>9925</v>
      </c>
      <c r="B695" s="10" t="s">
        <v>10932</v>
      </c>
      <c r="C695" s="8">
        <v>-81.23</v>
      </c>
      <c r="D695" s="15">
        <v>10.1</v>
      </c>
      <c r="H695" s="8" t="s">
        <v>10932</v>
      </c>
      <c r="BCC695" s="8" t="s">
        <v>680</v>
      </c>
      <c r="BHQ695" s="8" t="s">
        <v>904</v>
      </c>
      <c r="BHR695" s="8" t="s">
        <v>680</v>
      </c>
      <c r="BIF695" s="8" t="s">
        <v>904</v>
      </c>
      <c r="BKB695" s="8" t="s">
        <v>904</v>
      </c>
      <c r="BOJ695" s="8" t="s">
        <v>2754</v>
      </c>
      <c r="BQF695" s="8" t="s">
        <v>2437</v>
      </c>
      <c r="BWZ695" s="8" t="s">
        <v>4844</v>
      </c>
      <c r="BYV695" s="8" t="s">
        <v>4844</v>
      </c>
      <c r="BYW695" s="8" t="s">
        <v>4844</v>
      </c>
      <c r="CCS695" s="8" t="s">
        <v>3255</v>
      </c>
      <c r="CEO695" s="8" t="s">
        <v>3255</v>
      </c>
      <c r="CUK695" s="8" t="s">
        <v>260</v>
      </c>
    </row>
    <row r="696" spans="1:403 1352:2025 2051:3033 3176:4088 4328:4328">
      <c r="A696" s="8" t="s">
        <v>9925</v>
      </c>
      <c r="B696" s="10" t="s">
        <v>14013</v>
      </c>
      <c r="C696" s="8">
        <v>97</v>
      </c>
      <c r="D696" s="15">
        <v>40.39</v>
      </c>
      <c r="EO696" s="8" t="s">
        <v>14013</v>
      </c>
      <c r="BEN696" s="8" t="s">
        <v>242</v>
      </c>
      <c r="BIF696" s="8" t="s">
        <v>905</v>
      </c>
      <c r="BIT696" s="8" t="s">
        <v>242</v>
      </c>
      <c r="BKB696" s="8" t="s">
        <v>905</v>
      </c>
      <c r="BYJ696" s="8" t="s">
        <v>4845</v>
      </c>
      <c r="BYK696" s="8" t="s">
        <v>4845</v>
      </c>
      <c r="CAF696" s="8" t="s">
        <v>4845</v>
      </c>
      <c r="CAG696" s="8" t="s">
        <v>4845</v>
      </c>
      <c r="CAH696" s="8" t="s">
        <v>4845</v>
      </c>
      <c r="CBY696" s="8" t="s">
        <v>3256</v>
      </c>
      <c r="CDU696" s="8" t="s">
        <v>3256</v>
      </c>
      <c r="CGH696" s="8" t="s">
        <v>2755</v>
      </c>
      <c r="CID696" s="8" t="s">
        <v>2438</v>
      </c>
      <c r="CWV696" s="8" t="s">
        <v>261</v>
      </c>
    </row>
    <row r="697" spans="1:403 1352:2025 2051:3033 3176:4088 4328:4328">
      <c r="A697" s="8" t="s">
        <v>9925</v>
      </c>
      <c r="B697" s="10" t="s">
        <v>14014</v>
      </c>
      <c r="C697" s="8">
        <v>145</v>
      </c>
      <c r="D697" s="15">
        <v>20.2</v>
      </c>
      <c r="FQ697" s="8" t="s">
        <v>14014</v>
      </c>
      <c r="BCH697" s="8" t="s">
        <v>3240</v>
      </c>
      <c r="BEN697" s="8" t="s">
        <v>243</v>
      </c>
      <c r="BFC697" s="8" t="s">
        <v>243</v>
      </c>
      <c r="BGJ697" s="8" t="s">
        <v>906</v>
      </c>
      <c r="BKB697" s="8" t="s">
        <v>243</v>
      </c>
      <c r="BKQ697" s="8" t="s">
        <v>906</v>
      </c>
      <c r="BMM697" s="8" t="s">
        <v>906</v>
      </c>
      <c r="BZW697" s="8" t="s">
        <v>4846</v>
      </c>
      <c r="CBS697" s="8" t="s">
        <v>4846</v>
      </c>
      <c r="CBT697" s="8" t="s">
        <v>4846</v>
      </c>
      <c r="CPL697" s="8" t="s">
        <v>3257</v>
      </c>
      <c r="CRH697" s="8" t="s">
        <v>3257</v>
      </c>
      <c r="DEF697" s="8" t="s">
        <v>262</v>
      </c>
    </row>
    <row r="698" spans="1:403 1352:2025 2051:3033 3176:4088 4328:4328">
      <c r="A698" s="8" t="s">
        <v>9925</v>
      </c>
      <c r="B698" s="10" t="s">
        <v>14015</v>
      </c>
      <c r="C698" s="8">
        <v>167.2</v>
      </c>
      <c r="D698" s="15">
        <v>20.100000000000001</v>
      </c>
      <c r="GM698" s="8" t="s">
        <v>14015</v>
      </c>
      <c r="AYZ698" s="8" t="s">
        <v>3875</v>
      </c>
      <c r="BCR698" s="8" t="s">
        <v>3241</v>
      </c>
      <c r="BFC698" s="8" t="s">
        <v>907</v>
      </c>
      <c r="BFF698" s="8" t="s">
        <v>239</v>
      </c>
      <c r="BFV698" s="8" t="s">
        <v>244</v>
      </c>
      <c r="BGY698" s="8" t="s">
        <v>244</v>
      </c>
      <c r="BMM698" s="8" t="s">
        <v>244</v>
      </c>
      <c r="BVD698" s="8" t="s">
        <v>907</v>
      </c>
      <c r="BWZ698" s="8" t="s">
        <v>907</v>
      </c>
      <c r="CAK698" s="8" t="s">
        <v>4847</v>
      </c>
      <c r="CAL698" s="8" t="s">
        <v>4847</v>
      </c>
      <c r="CCG698" s="8" t="s">
        <v>4847</v>
      </c>
      <c r="CCH698" s="8" t="s">
        <v>4847</v>
      </c>
      <c r="CPQ698" s="8" t="s">
        <v>3258</v>
      </c>
      <c r="CRM698" s="8" t="s">
        <v>3258</v>
      </c>
      <c r="DEF698" s="8" t="s">
        <v>263</v>
      </c>
    </row>
    <row r="699" spans="1:403 1352:2025 2051:3033 3176:4088 4328:4328">
      <c r="A699" s="8" t="s">
        <v>9925</v>
      </c>
      <c r="B699" s="10" t="s">
        <v>10933</v>
      </c>
      <c r="C699" s="8">
        <v>241</v>
      </c>
      <c r="D699" s="15">
        <v>9.9</v>
      </c>
      <c r="IY699" s="8" t="s">
        <v>10933</v>
      </c>
      <c r="AYZ699" s="8" t="s">
        <v>4026</v>
      </c>
      <c r="BAV699" s="8" t="s">
        <v>3695</v>
      </c>
      <c r="BEN699" s="8" t="s">
        <v>3242</v>
      </c>
      <c r="BHQ699" s="8" t="s">
        <v>240</v>
      </c>
      <c r="BRL699" s="8" t="s">
        <v>245</v>
      </c>
      <c r="BVD699" s="8" t="s">
        <v>908</v>
      </c>
      <c r="BVR699" s="8" t="s">
        <v>245</v>
      </c>
      <c r="BWZ699" s="8" t="s">
        <v>908</v>
      </c>
      <c r="CNP699" s="8" t="s">
        <v>4848</v>
      </c>
      <c r="CNQ699" s="8" t="s">
        <v>4848</v>
      </c>
      <c r="CPL699" s="8" t="s">
        <v>4848</v>
      </c>
      <c r="CPM699" s="8" t="s">
        <v>4848</v>
      </c>
      <c r="CRH699" s="8" t="s">
        <v>3259</v>
      </c>
      <c r="DRD699" s="8" t="s">
        <v>264</v>
      </c>
    </row>
    <row r="700" spans="1:403 1352:2025 2051:3033 3176:4088 4328:4328">
      <c r="A700" s="8" t="s">
        <v>9925</v>
      </c>
      <c r="B700" s="10" t="s">
        <v>14016</v>
      </c>
      <c r="C700" s="8">
        <v>241</v>
      </c>
      <c r="D700" s="15">
        <v>40.39</v>
      </c>
      <c r="KC700" s="8" t="s">
        <v>14016</v>
      </c>
      <c r="BAV700" s="8" t="s">
        <v>4443</v>
      </c>
      <c r="BCR700" s="8" t="s">
        <v>4220</v>
      </c>
      <c r="BEN700" s="8" t="s">
        <v>3696</v>
      </c>
      <c r="BIF700" s="8" t="s">
        <v>3243</v>
      </c>
      <c r="BKB700" s="8" t="s">
        <v>241</v>
      </c>
      <c r="BRL700" s="8" t="s">
        <v>246</v>
      </c>
      <c r="BVD700" s="8" t="s">
        <v>909</v>
      </c>
      <c r="BWZ700" s="8" t="s">
        <v>909</v>
      </c>
      <c r="CPL700" s="8" t="s">
        <v>4849</v>
      </c>
      <c r="CPM700" s="8" t="s">
        <v>4849</v>
      </c>
      <c r="CRH700" s="8" t="s">
        <v>4849</v>
      </c>
      <c r="CRI700" s="8" t="s">
        <v>4849</v>
      </c>
      <c r="CTD700" s="8" t="s">
        <v>3260</v>
      </c>
      <c r="DRD700" s="8" t="s">
        <v>265</v>
      </c>
    </row>
    <row r="701" spans="1:403 1352:2025 2051:3033 3176:4088 4328:4328">
      <c r="A701" s="8" t="s">
        <v>9925</v>
      </c>
      <c r="B701" s="10" t="s">
        <v>10934</v>
      </c>
      <c r="C701" s="8">
        <v>289</v>
      </c>
      <c r="D701" s="15">
        <v>20.2</v>
      </c>
      <c r="LE701" s="8" t="s">
        <v>10934</v>
      </c>
      <c r="AYZ701" s="8" t="s">
        <v>242</v>
      </c>
      <c r="BAL701" s="8" t="s">
        <v>4444</v>
      </c>
      <c r="BAV701" s="8" t="s">
        <v>242</v>
      </c>
      <c r="BCH701" s="8" t="s">
        <v>4221</v>
      </c>
      <c r="BED701" s="8" t="s">
        <v>3697</v>
      </c>
      <c r="BHV701" s="8" t="s">
        <v>3244</v>
      </c>
      <c r="BKB701" s="8" t="s">
        <v>242</v>
      </c>
      <c r="BRL701" s="8" t="s">
        <v>247</v>
      </c>
      <c r="BVD701" s="8" t="s">
        <v>910</v>
      </c>
      <c r="BWZ701" s="8" t="s">
        <v>910</v>
      </c>
      <c r="CRK701" s="8" t="s">
        <v>3261</v>
      </c>
      <c r="CTG701" s="8" t="s">
        <v>3261</v>
      </c>
      <c r="CUZ701" s="8" t="s">
        <v>4850</v>
      </c>
      <c r="CVA701" s="8" t="s">
        <v>4850</v>
      </c>
      <c r="CWV701" s="8" t="s">
        <v>4850</v>
      </c>
      <c r="CWW701" s="8" t="s">
        <v>4850</v>
      </c>
      <c r="DRD701" s="8" t="s">
        <v>266</v>
      </c>
    </row>
    <row r="702" spans="1:403 1352:2025 2051:3033 3176:4088 4328:4328">
      <c r="A702" s="8" t="s">
        <v>9925</v>
      </c>
      <c r="B702" s="10" t="s">
        <v>14017</v>
      </c>
      <c r="C702" s="8">
        <v>291.86</v>
      </c>
      <c r="D702" s="15">
        <v>20.2</v>
      </c>
      <c r="LH702" s="8" t="s">
        <v>14017</v>
      </c>
      <c r="AYZ702" s="8" t="s">
        <v>243</v>
      </c>
      <c r="BAV702" s="8" t="s">
        <v>4445</v>
      </c>
      <c r="BCR702" s="8" t="s">
        <v>4222</v>
      </c>
      <c r="BEN702" s="8" t="s">
        <v>3698</v>
      </c>
      <c r="BIF702" s="8" t="s">
        <v>3245</v>
      </c>
      <c r="BMM702" s="8" t="s">
        <v>243</v>
      </c>
      <c r="BRL702" s="8" t="s">
        <v>248</v>
      </c>
      <c r="BVD702" s="8" t="s">
        <v>911</v>
      </c>
      <c r="BWZ702" s="8" t="s">
        <v>911</v>
      </c>
      <c r="CUZ702" s="8" t="s">
        <v>3262</v>
      </c>
      <c r="CWV702" s="8" t="s">
        <v>3262</v>
      </c>
      <c r="CYR702" s="8" t="s">
        <v>4851</v>
      </c>
      <c r="DAN702" s="8" t="s">
        <v>4851</v>
      </c>
      <c r="DAO702" s="8" t="s">
        <v>4851</v>
      </c>
      <c r="EEB702" s="8" t="s">
        <v>267</v>
      </c>
    </row>
    <row r="703" spans="1:403 1352:2025 2051:3033 3176:4088 4328:4328">
      <c r="A703" s="8" t="s">
        <v>9925</v>
      </c>
      <c r="B703" s="10" t="s">
        <v>10935</v>
      </c>
      <c r="C703" s="8">
        <v>338</v>
      </c>
      <c r="D703" s="15">
        <v>27.77</v>
      </c>
      <c r="NJ703" s="8" t="s">
        <v>10935</v>
      </c>
      <c r="AZO703" s="8" t="s">
        <v>244</v>
      </c>
      <c r="BBK703" s="8" t="s">
        <v>244</v>
      </c>
      <c r="BCR703" s="8" t="s">
        <v>4446</v>
      </c>
      <c r="BDG703" s="8" t="s">
        <v>244</v>
      </c>
      <c r="BEN703" s="8" t="s">
        <v>4027</v>
      </c>
      <c r="BGJ703" s="8" t="s">
        <v>3699</v>
      </c>
      <c r="BKB703" s="8" t="s">
        <v>3246</v>
      </c>
      <c r="BRL703" s="8" t="s">
        <v>249</v>
      </c>
      <c r="BVD703" s="8" t="s">
        <v>912</v>
      </c>
      <c r="BWZ703" s="8" t="s">
        <v>912</v>
      </c>
      <c r="CYC703" s="8" t="s">
        <v>3263</v>
      </c>
      <c r="CZY703" s="8" t="s">
        <v>3263</v>
      </c>
      <c r="DEF703" s="8" t="s">
        <v>4852</v>
      </c>
      <c r="DEG703" s="8" t="s">
        <v>4852</v>
      </c>
      <c r="DGB703" s="8" t="s">
        <v>4852</v>
      </c>
      <c r="DGC703" s="8" t="s">
        <v>4852</v>
      </c>
      <c r="EEB703" s="8" t="s">
        <v>268</v>
      </c>
    </row>
    <row r="704" spans="1:403 1352:2025 2051:3033 3176:4088 4328:4328">
      <c r="A704" s="8" t="s">
        <v>9925</v>
      </c>
      <c r="B704" s="10" t="s">
        <v>10936</v>
      </c>
      <c r="C704" s="8">
        <v>385</v>
      </c>
      <c r="D704" s="15">
        <v>10.1</v>
      </c>
      <c r="OM704" s="8" t="s">
        <v>10936</v>
      </c>
      <c r="BCR704" s="8" t="s">
        <v>1972</v>
      </c>
      <c r="BDB704" s="8" t="s">
        <v>4447</v>
      </c>
      <c r="BEN704" s="8" t="s">
        <v>1542</v>
      </c>
      <c r="BEX704" s="8" t="s">
        <v>4028</v>
      </c>
      <c r="BGT704" s="8" t="s">
        <v>3700</v>
      </c>
      <c r="BIF704" s="8" t="s">
        <v>245</v>
      </c>
      <c r="BKB704" s="8" t="s">
        <v>245</v>
      </c>
      <c r="BKL704" s="8" t="s">
        <v>3247</v>
      </c>
      <c r="BLJ704" s="8" t="s">
        <v>250</v>
      </c>
      <c r="BLX704" s="8" t="s">
        <v>245</v>
      </c>
      <c r="BNT704" s="8" t="s">
        <v>245</v>
      </c>
      <c r="BRL704" s="8" t="s">
        <v>250</v>
      </c>
      <c r="BWZ704" s="8" t="s">
        <v>913</v>
      </c>
      <c r="CIB704" s="8" t="s">
        <v>913</v>
      </c>
      <c r="CJX704" s="8" t="s">
        <v>913</v>
      </c>
      <c r="DEH704" s="8" t="s">
        <v>3264</v>
      </c>
      <c r="DGD704" s="8" t="s">
        <v>3264</v>
      </c>
      <c r="DJT704" s="8" t="s">
        <v>4853</v>
      </c>
      <c r="DJU704" s="8" t="s">
        <v>4853</v>
      </c>
      <c r="DLP704" s="8" t="s">
        <v>4853</v>
      </c>
      <c r="DLQ704" s="8" t="s">
        <v>4853</v>
      </c>
      <c r="ERM704" s="8" t="s">
        <v>269</v>
      </c>
    </row>
    <row r="705" spans="1:958 1085:2029 2057:3032 3080:4073 4121:4425">
      <c r="A705" s="8" t="s">
        <v>9925</v>
      </c>
      <c r="B705" s="10" t="s">
        <v>10937</v>
      </c>
      <c r="C705" s="8">
        <v>396.1</v>
      </c>
      <c r="D705" s="15">
        <v>3.92</v>
      </c>
      <c r="OR705" s="8" t="s">
        <v>10937</v>
      </c>
      <c r="BCR705" s="8" t="s">
        <v>1973</v>
      </c>
      <c r="BEN705" s="8" t="s">
        <v>1543</v>
      </c>
      <c r="BGE705" s="8" t="s">
        <v>4448</v>
      </c>
      <c r="BIA705" s="8" t="s">
        <v>4029</v>
      </c>
      <c r="BIF705" s="8" t="s">
        <v>246</v>
      </c>
      <c r="BJW705" s="8" t="s">
        <v>3701</v>
      </c>
      <c r="BKB705" s="8" t="s">
        <v>246</v>
      </c>
      <c r="BLX705" s="8" t="s">
        <v>246</v>
      </c>
      <c r="BNO705" s="8" t="s">
        <v>3474</v>
      </c>
      <c r="BNT705" s="8" t="s">
        <v>246</v>
      </c>
      <c r="BWZ705" s="8" t="s">
        <v>246</v>
      </c>
      <c r="CEJ705" s="8" t="s">
        <v>251</v>
      </c>
      <c r="CIB705" s="8" t="s">
        <v>914</v>
      </c>
      <c r="CIP705" s="8" t="s">
        <v>251</v>
      </c>
      <c r="CJX705" s="8" t="s">
        <v>914</v>
      </c>
      <c r="DPH705" s="8" t="s">
        <v>3265</v>
      </c>
      <c r="DRD705" s="8" t="s">
        <v>3265</v>
      </c>
      <c r="DSZ705" s="8" t="s">
        <v>4854</v>
      </c>
      <c r="DTA705" s="8" t="s">
        <v>4854</v>
      </c>
      <c r="DUV705" s="8" t="s">
        <v>4854</v>
      </c>
      <c r="DUW705" s="8" t="s">
        <v>4854</v>
      </c>
    </row>
    <row r="706" spans="1:958 1085:2029 2057:3032 3080:4073 4121:4425">
      <c r="A706" s="8" t="s">
        <v>9925</v>
      </c>
      <c r="B706" s="10" t="s">
        <v>14018</v>
      </c>
      <c r="C706" s="8">
        <v>396.1</v>
      </c>
      <c r="D706" s="15">
        <v>232.39</v>
      </c>
      <c r="XL706" s="8" t="s">
        <v>14018</v>
      </c>
      <c r="AYZ706" s="8" t="s">
        <v>6298</v>
      </c>
      <c r="BCR706" s="8" t="s">
        <v>1974</v>
      </c>
      <c r="BEN706" s="8" t="s">
        <v>1544</v>
      </c>
      <c r="BIF706" s="8" t="s">
        <v>4449</v>
      </c>
      <c r="BKB706" s="8" t="s">
        <v>4030</v>
      </c>
      <c r="BLX706" s="8" t="s">
        <v>3491</v>
      </c>
      <c r="BNT706" s="8" t="s">
        <v>247</v>
      </c>
      <c r="BPP706" s="8" t="s">
        <v>3248</v>
      </c>
      <c r="BWZ706" s="8" t="s">
        <v>247</v>
      </c>
      <c r="CEJ706" s="8" t="s">
        <v>252</v>
      </c>
      <c r="CIB706" s="8" t="s">
        <v>915</v>
      </c>
      <c r="CJX706" s="8" t="s">
        <v>915</v>
      </c>
      <c r="DRI706" s="8" t="s">
        <v>3266</v>
      </c>
      <c r="DTE706" s="8" t="s">
        <v>3266</v>
      </c>
      <c r="ETY706" s="8" t="s">
        <v>4855</v>
      </c>
      <c r="ETZ706" s="8" t="s">
        <v>4855</v>
      </c>
      <c r="EVU706" s="8" t="s">
        <v>4855</v>
      </c>
      <c r="EVV706" s="8" t="s">
        <v>4855</v>
      </c>
    </row>
    <row r="707" spans="1:958 1085:2029 2057:3032 3080:4073 4121:4425">
      <c r="A707" s="8" t="s">
        <v>9925</v>
      </c>
      <c r="B707" s="10" t="s">
        <v>14019</v>
      </c>
      <c r="C707" s="8">
        <v>673</v>
      </c>
      <c r="D707" s="15">
        <v>40.39</v>
      </c>
      <c r="AAS707" s="8" t="s">
        <v>14019</v>
      </c>
      <c r="BBD707" s="8" t="s">
        <v>6299</v>
      </c>
      <c r="BCR707" s="8" t="s">
        <v>1975</v>
      </c>
      <c r="BEN707" s="8" t="s">
        <v>1545</v>
      </c>
      <c r="BIF707" s="8" t="s">
        <v>248</v>
      </c>
      <c r="BKB707" s="8" t="s">
        <v>248</v>
      </c>
      <c r="BKJ707" s="8" t="s">
        <v>4450</v>
      </c>
      <c r="BLX707" s="8" t="s">
        <v>248</v>
      </c>
      <c r="BMF707" s="8" t="s">
        <v>4031</v>
      </c>
      <c r="BNT707" s="8" t="s">
        <v>248</v>
      </c>
      <c r="BOB707" s="8" t="s">
        <v>3702</v>
      </c>
      <c r="BRT707" s="8" t="s">
        <v>3249</v>
      </c>
      <c r="BWZ707" s="8" t="s">
        <v>248</v>
      </c>
      <c r="CEJ707" s="8" t="s">
        <v>253</v>
      </c>
      <c r="CIB707" s="8" t="s">
        <v>916</v>
      </c>
      <c r="CJX707" s="8" t="s">
        <v>916</v>
      </c>
      <c r="DUV707" s="8" t="s">
        <v>3267</v>
      </c>
      <c r="DWR707" s="8" t="s">
        <v>3267</v>
      </c>
      <c r="EUR707" s="8" t="s">
        <v>4856</v>
      </c>
      <c r="EWN707" s="8" t="s">
        <v>4856</v>
      </c>
      <c r="EWO707" s="8" t="s">
        <v>4856</v>
      </c>
    </row>
    <row r="708" spans="1:958 1085:2029 2057:3032 3080:4073 4121:4425">
      <c r="A708" s="8" t="s">
        <v>9925</v>
      </c>
      <c r="B708" s="10" t="s">
        <v>10938</v>
      </c>
      <c r="C708" s="8">
        <v>722</v>
      </c>
      <c r="D708" s="15">
        <v>40.39</v>
      </c>
      <c r="ACP708" s="8" t="s">
        <v>10938</v>
      </c>
      <c r="AZE708" s="8" t="s">
        <v>10200</v>
      </c>
      <c r="BCR708" s="8" t="s">
        <v>1976</v>
      </c>
      <c r="BEN708" s="8" t="s">
        <v>1546</v>
      </c>
      <c r="BEV708" s="8" t="s">
        <v>6300</v>
      </c>
      <c r="BIF708" s="8" t="s">
        <v>249</v>
      </c>
      <c r="BKB708" s="8" t="s">
        <v>249</v>
      </c>
      <c r="BLX708" s="8" t="s">
        <v>249</v>
      </c>
      <c r="BNT708" s="8" t="s">
        <v>249</v>
      </c>
      <c r="BOB708" s="8" t="s">
        <v>4451</v>
      </c>
      <c r="BPX708" s="8" t="s">
        <v>4032</v>
      </c>
      <c r="BRT708" s="8" t="s">
        <v>3703</v>
      </c>
      <c r="BVL708" s="8" t="s">
        <v>3250</v>
      </c>
      <c r="BWZ708" s="8" t="s">
        <v>249</v>
      </c>
      <c r="CEJ708" s="8" t="s">
        <v>254</v>
      </c>
      <c r="CIB708" s="8" t="s">
        <v>917</v>
      </c>
      <c r="CJX708" s="8" t="s">
        <v>917</v>
      </c>
      <c r="DWR708" s="8" t="s">
        <v>3268</v>
      </c>
      <c r="DYN708" s="8" t="s">
        <v>3268</v>
      </c>
      <c r="FDP708" s="8" t="s">
        <v>4857</v>
      </c>
      <c r="FDQ708" s="8" t="s">
        <v>4857</v>
      </c>
      <c r="FFL708" s="8" t="s">
        <v>4857</v>
      </c>
      <c r="FFM708" s="8" t="s">
        <v>4857</v>
      </c>
    </row>
    <row r="709" spans="1:958 1085:2029 2057:3032 3080:4073 4121:4425">
      <c r="A709" s="8" t="s">
        <v>9925</v>
      </c>
      <c r="B709" s="10" t="s">
        <v>10939</v>
      </c>
      <c r="C709" s="8">
        <v>818</v>
      </c>
      <c r="D709" s="15">
        <v>9.7100000000000009</v>
      </c>
      <c r="AFD709" s="17" t="s">
        <v>10939</v>
      </c>
      <c r="AYW709" s="8" t="s">
        <v>10947</v>
      </c>
      <c r="BAS709" s="8" t="s">
        <v>10201</v>
      </c>
      <c r="BCR709" s="8" t="s">
        <v>1977</v>
      </c>
      <c r="BEN709" s="8" t="s">
        <v>1547</v>
      </c>
      <c r="BGA709" s="8" t="s">
        <v>6301</v>
      </c>
      <c r="BIF709" s="8" t="s">
        <v>250</v>
      </c>
      <c r="BKB709" s="8" t="s">
        <v>250</v>
      </c>
      <c r="BLX709" s="8" t="s">
        <v>250</v>
      </c>
      <c r="BNT709" s="8" t="s">
        <v>250</v>
      </c>
      <c r="BPG709" s="8" t="s">
        <v>4452</v>
      </c>
      <c r="BRC709" s="8" t="s">
        <v>4033</v>
      </c>
      <c r="BSY709" s="8" t="s">
        <v>3704</v>
      </c>
      <c r="BWQ709" s="8" t="s">
        <v>3251</v>
      </c>
      <c r="CEJ709" s="8" t="s">
        <v>255</v>
      </c>
      <c r="CIB709" s="8" t="s">
        <v>918</v>
      </c>
      <c r="CJX709" s="8" t="s">
        <v>918</v>
      </c>
      <c r="ECF709" s="8" t="s">
        <v>3269</v>
      </c>
      <c r="EEB709" s="8" t="s">
        <v>3269</v>
      </c>
      <c r="FLH709" s="8" t="s">
        <v>4858</v>
      </c>
      <c r="FLI709" s="8" t="s">
        <v>4858</v>
      </c>
      <c r="FND709" s="8" t="s">
        <v>4858</v>
      </c>
      <c r="FNE709" s="8" t="s">
        <v>4858</v>
      </c>
    </row>
    <row r="710" spans="1:958 1085:2029 2057:3032 3080:4073 4121:4425">
      <c r="A710" s="8" t="s">
        <v>9925</v>
      </c>
      <c r="B710" s="10" t="s">
        <v>10940</v>
      </c>
      <c r="C710" s="8">
        <v>833.63</v>
      </c>
      <c r="D710" s="15">
        <v>39.22</v>
      </c>
      <c r="AGW710" s="8" t="s">
        <v>10940</v>
      </c>
      <c r="AYZ710" s="8" t="s">
        <v>4453</v>
      </c>
      <c r="BAK710" s="8" t="s">
        <v>10948</v>
      </c>
      <c r="BCG710" s="8" t="s">
        <v>10202</v>
      </c>
      <c r="BGJ710" s="8" t="s">
        <v>6302</v>
      </c>
      <c r="BPP710" s="8" t="s">
        <v>4453</v>
      </c>
      <c r="BRL710" s="8" t="s">
        <v>4034</v>
      </c>
      <c r="BTH710" s="8" t="s">
        <v>3492</v>
      </c>
      <c r="BVD710" s="8" t="s">
        <v>251</v>
      </c>
      <c r="BWZ710" s="8" t="s">
        <v>3252</v>
      </c>
      <c r="BYV710" s="8" t="s">
        <v>251</v>
      </c>
      <c r="CAR710" s="8" t="s">
        <v>251</v>
      </c>
      <c r="CEJ710" s="8" t="s">
        <v>256</v>
      </c>
      <c r="CGF710" s="8" t="s">
        <v>919</v>
      </c>
      <c r="CGH710" s="8" t="s">
        <v>256</v>
      </c>
      <c r="CJX710" s="8" t="s">
        <v>919</v>
      </c>
      <c r="CNA710" s="8" t="s">
        <v>919</v>
      </c>
      <c r="COW710" s="8" t="s">
        <v>919</v>
      </c>
      <c r="EKW710" s="8" t="s">
        <v>3270</v>
      </c>
      <c r="EMS710" s="8" t="s">
        <v>3270</v>
      </c>
    </row>
    <row r="711" spans="1:958 1085:2029 2057:3032 3080:4073 4121:4425">
      <c r="A711" s="8" t="s">
        <v>9925</v>
      </c>
      <c r="B711" s="10" t="s">
        <v>10941</v>
      </c>
      <c r="C711" s="8">
        <v>914.06</v>
      </c>
      <c r="D711" s="15">
        <v>4.04</v>
      </c>
      <c r="AIP711" s="8" t="s">
        <v>10941</v>
      </c>
      <c r="BAO711" s="8" t="s">
        <v>4644</v>
      </c>
      <c r="BAV711" s="8" t="s">
        <v>4454</v>
      </c>
      <c r="BBZ711" s="8" t="s">
        <v>10949</v>
      </c>
      <c r="BDV711" s="8" t="s">
        <v>10203</v>
      </c>
      <c r="BIF711" s="8" t="s">
        <v>6303</v>
      </c>
      <c r="BPP711" s="8" t="s">
        <v>1978</v>
      </c>
      <c r="BRL711" s="8" t="s">
        <v>4454</v>
      </c>
      <c r="BTH711" s="8" t="s">
        <v>4035</v>
      </c>
      <c r="BVD711" s="8" t="s">
        <v>3507</v>
      </c>
      <c r="BWZ711" s="8" t="s">
        <v>252</v>
      </c>
      <c r="BYV711" s="8" t="s">
        <v>3253</v>
      </c>
      <c r="CAR711" s="8" t="s">
        <v>252</v>
      </c>
      <c r="CJI711" s="8" t="s">
        <v>257</v>
      </c>
      <c r="CJX711" s="8" t="s">
        <v>252</v>
      </c>
      <c r="CLC711" s="8" t="s">
        <v>257</v>
      </c>
      <c r="CLE711" s="8" t="s">
        <v>920</v>
      </c>
      <c r="COW711" s="8" t="s">
        <v>257</v>
      </c>
      <c r="CPL711" s="8" t="s">
        <v>920</v>
      </c>
      <c r="CRH711" s="8" t="s">
        <v>920</v>
      </c>
      <c r="EQZ711" s="8" t="s">
        <v>3271</v>
      </c>
      <c r="ESV711" s="8" t="s">
        <v>3271</v>
      </c>
    </row>
    <row r="712" spans="1:958 1085:2029 2057:3032 3080:4073 4121:4425">
      <c r="A712" s="8" t="s">
        <v>9925</v>
      </c>
      <c r="B712" s="10" t="s">
        <v>10942</v>
      </c>
      <c r="C712" s="8">
        <v>919.1</v>
      </c>
      <c r="D712" s="15">
        <v>9.8000000000000007</v>
      </c>
      <c r="AJA712" s="8" t="s">
        <v>10942</v>
      </c>
      <c r="BAV712" s="8" t="s">
        <v>5569</v>
      </c>
      <c r="BAW712" s="8" t="s">
        <v>5569</v>
      </c>
      <c r="BCQ712" s="8" t="s">
        <v>5365</v>
      </c>
      <c r="BCR712" s="8" t="s">
        <v>5365</v>
      </c>
      <c r="BCS712" s="8" t="s">
        <v>5365</v>
      </c>
      <c r="BCZ712" s="8" t="s">
        <v>4455</v>
      </c>
      <c r="BDO712" s="8" t="s">
        <v>10950</v>
      </c>
      <c r="BFK712" s="8" t="s">
        <v>10204</v>
      </c>
      <c r="BKJ712" s="8" t="s">
        <v>6304</v>
      </c>
      <c r="BPP712" s="8" t="s">
        <v>1979</v>
      </c>
      <c r="BRL712" s="8" t="s">
        <v>1548</v>
      </c>
      <c r="BTP712" s="8" t="s">
        <v>4455</v>
      </c>
      <c r="BVD712" s="8" t="s">
        <v>253</v>
      </c>
      <c r="BVL712" s="8" t="s">
        <v>4036</v>
      </c>
      <c r="BWZ712" s="8" t="s">
        <v>253</v>
      </c>
      <c r="BXH712" s="8" t="s">
        <v>3705</v>
      </c>
      <c r="BYV712" s="8" t="s">
        <v>253</v>
      </c>
      <c r="CAR712" s="8" t="s">
        <v>253</v>
      </c>
      <c r="CAZ712" s="8" t="s">
        <v>3254</v>
      </c>
      <c r="CJX712" s="8" t="s">
        <v>253</v>
      </c>
      <c r="CLT712" s="8" t="s">
        <v>258</v>
      </c>
      <c r="CPL712" s="8" t="s">
        <v>921</v>
      </c>
      <c r="CRH712" s="8" t="s">
        <v>921</v>
      </c>
      <c r="ESV712" s="8" t="s">
        <v>3272</v>
      </c>
      <c r="EUR712" s="8" t="s">
        <v>3272</v>
      </c>
    </row>
    <row r="713" spans="1:958 1085:2029 2057:3032 3080:4073 4121:4425">
      <c r="A713" s="8" t="s">
        <v>9925</v>
      </c>
      <c r="B713" s="10" t="s">
        <v>10943</v>
      </c>
      <c r="C713" s="8">
        <v>929.9</v>
      </c>
      <c r="D713" s="15">
        <v>19.61</v>
      </c>
      <c r="AJV713" s="8" t="s">
        <v>10943</v>
      </c>
      <c r="BED713" s="8" t="s">
        <v>10951</v>
      </c>
      <c r="BES713" s="8" t="s">
        <v>4456</v>
      </c>
      <c r="BFZ713" s="8" t="s">
        <v>10205</v>
      </c>
      <c r="BGK713" s="8" t="s">
        <v>5570</v>
      </c>
      <c r="BGL713" s="8" t="s">
        <v>5570</v>
      </c>
      <c r="BIF713" s="8" t="s">
        <v>4881</v>
      </c>
      <c r="BIH713" s="8" t="s">
        <v>4881</v>
      </c>
      <c r="BMC713" s="8" t="s">
        <v>6305</v>
      </c>
      <c r="BPP713" s="8" t="s">
        <v>1980</v>
      </c>
      <c r="BRL713" s="8" t="s">
        <v>1549</v>
      </c>
      <c r="BVD713" s="8" t="s">
        <v>254</v>
      </c>
      <c r="BVI713" s="8" t="s">
        <v>4456</v>
      </c>
      <c r="BWZ713" s="8" t="s">
        <v>254</v>
      </c>
      <c r="BXE713" s="8" t="s">
        <v>4037</v>
      </c>
      <c r="BYV713" s="8" t="s">
        <v>254</v>
      </c>
      <c r="BZA713" s="8" t="s">
        <v>3706</v>
      </c>
      <c r="CAR713" s="8" t="s">
        <v>254</v>
      </c>
      <c r="CCS713" s="8" t="s">
        <v>3255</v>
      </c>
      <c r="CJX713" s="8" t="s">
        <v>254</v>
      </c>
      <c r="CLT713" s="8" t="s">
        <v>259</v>
      </c>
      <c r="CNB713" s="8" t="s">
        <v>259</v>
      </c>
      <c r="CNP713" s="8" t="s">
        <v>922</v>
      </c>
      <c r="CRH713" s="8" t="s">
        <v>259</v>
      </c>
      <c r="CUZ713" s="8" t="s">
        <v>922</v>
      </c>
      <c r="CWV713" s="8" t="s">
        <v>922</v>
      </c>
      <c r="EZQ713" s="8" t="s">
        <v>3273</v>
      </c>
      <c r="FBM713" s="8" t="s">
        <v>3273</v>
      </c>
    </row>
    <row r="714" spans="1:958 1085:2029 2057:3032 3080:4073 4121:4425">
      <c r="A714" s="8" t="s">
        <v>9925</v>
      </c>
      <c r="B714" s="10" t="s">
        <v>10944</v>
      </c>
      <c r="C714" s="8">
        <v>1037.4100000000001</v>
      </c>
      <c r="D714" s="15">
        <v>39.22</v>
      </c>
      <c r="AOS714" s="8" t="s">
        <v>10944</v>
      </c>
      <c r="BDY714" s="8" t="s">
        <v>4457</v>
      </c>
      <c r="BEY714" s="8" t="s">
        <v>10952</v>
      </c>
      <c r="BGU714" s="8" t="s">
        <v>10206</v>
      </c>
      <c r="BLI714" s="8" t="s">
        <v>6306</v>
      </c>
      <c r="BLX714" s="8" t="s">
        <v>4480</v>
      </c>
      <c r="BPP714" s="8" t="s">
        <v>1981</v>
      </c>
      <c r="BRL714" s="8" t="s">
        <v>1550</v>
      </c>
      <c r="BTH714" s="8" t="s">
        <v>5571</v>
      </c>
      <c r="BTI714" s="8" t="s">
        <v>5571</v>
      </c>
      <c r="BUO714" s="8" t="s">
        <v>4457</v>
      </c>
      <c r="BVC714" s="8" t="s">
        <v>4884</v>
      </c>
      <c r="BVD714" s="8" t="s">
        <v>4884</v>
      </c>
      <c r="BVE714" s="8" t="s">
        <v>4884</v>
      </c>
      <c r="BWK714" s="8" t="s">
        <v>4038</v>
      </c>
      <c r="BWZ714" s="8" t="s">
        <v>255</v>
      </c>
      <c r="BYG714" s="8" t="s">
        <v>3707</v>
      </c>
      <c r="BYV714" s="8" t="s">
        <v>255</v>
      </c>
      <c r="CAR714" s="8" t="s">
        <v>255</v>
      </c>
      <c r="CBY714" s="8" t="s">
        <v>3256</v>
      </c>
      <c r="CJX714" s="8" t="s">
        <v>255</v>
      </c>
      <c r="CRH714" s="8" t="s">
        <v>260</v>
      </c>
      <c r="CSO714" s="8" t="s">
        <v>923</v>
      </c>
      <c r="CUH714" s="8" t="s">
        <v>260</v>
      </c>
      <c r="CUK714" s="8" t="s">
        <v>923</v>
      </c>
      <c r="CUZ714" s="8" t="s">
        <v>923</v>
      </c>
      <c r="CWV714" s="8" t="s">
        <v>260</v>
      </c>
      <c r="FFT714" s="8" t="s">
        <v>3274</v>
      </c>
      <c r="FHP714" s="8" t="s">
        <v>3274</v>
      </c>
    </row>
    <row r="715" spans="1:958 1085:2029 2057:3032 3080:4073 4121:4425">
      <c r="A715" s="8" t="s">
        <v>9925</v>
      </c>
      <c r="B715" s="10" t="s">
        <v>10945</v>
      </c>
      <c r="C715" s="8">
        <v>1077.6199999999999</v>
      </c>
      <c r="D715" s="15">
        <v>39.22</v>
      </c>
      <c r="AQG715" s="8" t="s">
        <v>10945</v>
      </c>
      <c r="BGM715" s="8" t="s">
        <v>10953</v>
      </c>
      <c r="BII715" s="8" t="s">
        <v>10207</v>
      </c>
      <c r="BNT715" s="8" t="s">
        <v>4645</v>
      </c>
      <c r="BPP715" s="8" t="s">
        <v>1982</v>
      </c>
      <c r="BRL715" s="8" t="s">
        <v>4458</v>
      </c>
      <c r="BVD715" s="8" t="s">
        <v>256</v>
      </c>
      <c r="BWZ715" s="8" t="s">
        <v>256</v>
      </c>
      <c r="BYV715" s="8" t="s">
        <v>6307</v>
      </c>
      <c r="CAR715" s="8" t="s">
        <v>5572</v>
      </c>
      <c r="CAS715" s="8" t="s">
        <v>5572</v>
      </c>
      <c r="CCM715" s="8" t="s">
        <v>4882</v>
      </c>
      <c r="CCN715" s="8" t="s">
        <v>4882</v>
      </c>
      <c r="CCO715" s="8" t="s">
        <v>4882</v>
      </c>
      <c r="CIB715" s="8" t="s">
        <v>4458</v>
      </c>
      <c r="CJX715" s="8" t="s">
        <v>4039</v>
      </c>
      <c r="CLT715" s="8" t="s">
        <v>3708</v>
      </c>
      <c r="COW715" s="8" t="s">
        <v>261</v>
      </c>
      <c r="CPL715" s="8" t="s">
        <v>3257</v>
      </c>
      <c r="CUK715" s="8" t="s">
        <v>924</v>
      </c>
      <c r="CUZ715" s="8" t="s">
        <v>924</v>
      </c>
      <c r="CVQ715" s="8" t="s">
        <v>261</v>
      </c>
      <c r="CWV715" s="8" t="s">
        <v>924</v>
      </c>
    </row>
    <row r="716" spans="1:958 1085:2029 2057:3032 3080:4073 4121:4425">
      <c r="A716" s="8" t="s">
        <v>9925</v>
      </c>
      <c r="B716" s="10" t="s">
        <v>10946</v>
      </c>
      <c r="C716" s="8">
        <v>1117.8399999999999</v>
      </c>
      <c r="D716" s="15">
        <v>39.22</v>
      </c>
      <c r="ARU716" s="8" t="s">
        <v>10946</v>
      </c>
      <c r="BIA716" s="8" t="s">
        <v>10954</v>
      </c>
      <c r="BJW716" s="8" t="s">
        <v>10208</v>
      </c>
      <c r="BPP716" s="8" t="s">
        <v>4481</v>
      </c>
      <c r="BRQ716" s="8" t="s">
        <v>6129</v>
      </c>
      <c r="BUO716" s="8" t="s">
        <v>1983</v>
      </c>
      <c r="BWK716" s="8" t="s">
        <v>1551</v>
      </c>
      <c r="BZA716" s="8" t="s">
        <v>6308</v>
      </c>
      <c r="CAC716" s="8" t="s">
        <v>257</v>
      </c>
      <c r="CBY716" s="8" t="s">
        <v>257</v>
      </c>
      <c r="CDU716" s="8" t="s">
        <v>257</v>
      </c>
      <c r="CFQ716" s="8" t="s">
        <v>257</v>
      </c>
      <c r="CIG716" s="8" t="s">
        <v>4459</v>
      </c>
      <c r="CKC716" s="8" t="s">
        <v>4223</v>
      </c>
      <c r="CLY716" s="8" t="s">
        <v>3709</v>
      </c>
      <c r="CNP716" s="8" t="s">
        <v>5573</v>
      </c>
      <c r="CNQ716" s="8" t="s">
        <v>5573</v>
      </c>
      <c r="CPK716" s="8" t="s">
        <v>4883</v>
      </c>
      <c r="CPL716" s="8" t="s">
        <v>4883</v>
      </c>
      <c r="CPM716" s="8" t="s">
        <v>4883</v>
      </c>
      <c r="CPQ716" s="8" t="s">
        <v>3258</v>
      </c>
      <c r="CRH716" s="8" t="s">
        <v>262</v>
      </c>
      <c r="CWV716" s="8" t="s">
        <v>262</v>
      </c>
      <c r="DCJ716" s="8" t="s">
        <v>925</v>
      </c>
      <c r="DEF716" s="8" t="s">
        <v>925</v>
      </c>
    </row>
    <row r="717" spans="1:958 1085:2029 2057:3032 3080:4073 4121:4425">
      <c r="A717" s="8" t="s">
        <v>9925</v>
      </c>
      <c r="B717" s="10" t="s">
        <v>10947</v>
      </c>
      <c r="C717" s="8">
        <v>1158.05</v>
      </c>
      <c r="D717" s="15">
        <v>39.22</v>
      </c>
      <c r="ATI717" s="8" t="s">
        <v>10947</v>
      </c>
      <c r="AYZ717" s="8" t="s">
        <v>4886</v>
      </c>
      <c r="AZA717" s="8" t="s">
        <v>4886</v>
      </c>
      <c r="AZX717" s="8" t="s">
        <v>263</v>
      </c>
      <c r="BAV717" s="8" t="s">
        <v>926</v>
      </c>
      <c r="BJP717" s="8" t="s">
        <v>10955</v>
      </c>
      <c r="BLL717" s="8" t="s">
        <v>10209</v>
      </c>
      <c r="BPP717" s="8" t="s">
        <v>4482</v>
      </c>
      <c r="BRL717" s="8" t="s">
        <v>6130</v>
      </c>
      <c r="BWZ717" s="8" t="s">
        <v>1984</v>
      </c>
      <c r="BYV717" s="8" t="s">
        <v>6309</v>
      </c>
      <c r="CCN717" s="8" t="s">
        <v>258</v>
      </c>
      <c r="CEJ717" s="8" t="s">
        <v>258</v>
      </c>
      <c r="CGF717" s="8" t="s">
        <v>258</v>
      </c>
      <c r="CIB717" s="8" t="s">
        <v>4460</v>
      </c>
      <c r="CJX717" s="8" t="s">
        <v>4224</v>
      </c>
      <c r="CLT717" s="8" t="s">
        <v>3710</v>
      </c>
      <c r="CPL717" s="8" t="s">
        <v>3259</v>
      </c>
      <c r="CRH717" s="8" t="s">
        <v>258</v>
      </c>
      <c r="CYR717" s="8" t="s">
        <v>263</v>
      </c>
      <c r="DCJ717" s="8" t="s">
        <v>926</v>
      </c>
      <c r="DEF717" s="8" t="s">
        <v>926</v>
      </c>
    </row>
    <row r="718" spans="1:958 1085:2029 2057:3032 3080:4073 4121:4425">
      <c r="A718" s="8" t="s">
        <v>9925</v>
      </c>
      <c r="B718" s="10" t="s">
        <v>10948</v>
      </c>
      <c r="C718" s="8">
        <v>1198.27</v>
      </c>
      <c r="D718" s="15">
        <v>39.22</v>
      </c>
      <c r="AUW718" s="8" t="s">
        <v>10948</v>
      </c>
      <c r="AYZ718" s="8" t="s">
        <v>4887</v>
      </c>
      <c r="AZA718" s="8" t="s">
        <v>4887</v>
      </c>
      <c r="AZX718" s="8" t="s">
        <v>264</v>
      </c>
      <c r="BAV718" s="8" t="s">
        <v>927</v>
      </c>
      <c r="BLD718" s="8" t="s">
        <v>10956</v>
      </c>
      <c r="BMZ718" s="8" t="s">
        <v>10210</v>
      </c>
      <c r="BPQ718" s="8" t="s">
        <v>4483</v>
      </c>
      <c r="BTH718" s="8" t="s">
        <v>4461</v>
      </c>
      <c r="BWZ718" s="8" t="s">
        <v>1985</v>
      </c>
      <c r="BYV718" s="8" t="s">
        <v>1552</v>
      </c>
      <c r="CAR718" s="8" t="s">
        <v>6310</v>
      </c>
      <c r="CCN718" s="8" t="s">
        <v>259</v>
      </c>
      <c r="CEJ718" s="8" t="s">
        <v>259</v>
      </c>
      <c r="CGF718" s="8" t="s">
        <v>259</v>
      </c>
      <c r="CIB718" s="8" t="s">
        <v>259</v>
      </c>
      <c r="CJX718" s="8" t="s">
        <v>4461</v>
      </c>
      <c r="CLT718" s="8" t="s">
        <v>4040</v>
      </c>
      <c r="CNP718" s="8" t="s">
        <v>3711</v>
      </c>
      <c r="CRH718" s="8" t="s">
        <v>3260</v>
      </c>
      <c r="CWV718" s="8" t="s">
        <v>259</v>
      </c>
      <c r="CYR718" s="8" t="s">
        <v>264</v>
      </c>
      <c r="DEF718" s="8" t="s">
        <v>264</v>
      </c>
      <c r="DPH718" s="8" t="s">
        <v>927</v>
      </c>
      <c r="DRD718" s="8" t="s">
        <v>927</v>
      </c>
    </row>
    <row r="719" spans="1:958 1085:2029 2057:3032 3080:4073 4121:4425">
      <c r="A719" s="8" t="s">
        <v>9925</v>
      </c>
      <c r="B719" s="10" t="s">
        <v>10951</v>
      </c>
      <c r="C719" s="8">
        <v>1320.09</v>
      </c>
      <c r="D719" s="15">
        <v>13.73</v>
      </c>
      <c r="AYP719" s="8" t="s">
        <v>10951</v>
      </c>
      <c r="BBN719" s="8" t="s">
        <v>4859</v>
      </c>
      <c r="BDJ719" s="8" t="s">
        <v>4859</v>
      </c>
      <c r="BDK719" s="8" t="s">
        <v>4859</v>
      </c>
      <c r="BFL719" s="8" t="s">
        <v>265</v>
      </c>
      <c r="BGJ719" s="8" t="s">
        <v>4889</v>
      </c>
      <c r="BGK719" s="8" t="s">
        <v>4889</v>
      </c>
      <c r="BHH719" s="8" t="s">
        <v>928</v>
      </c>
      <c r="BMR719" s="8" t="s">
        <v>10957</v>
      </c>
      <c r="BON719" s="8" t="s">
        <v>10211</v>
      </c>
      <c r="BTK719" s="8" t="s">
        <v>4462</v>
      </c>
      <c r="BYV719" s="8" t="s">
        <v>4484</v>
      </c>
      <c r="CAU719" s="8" t="s">
        <v>6311</v>
      </c>
      <c r="CCN719" s="8" t="s">
        <v>1986</v>
      </c>
      <c r="CEJ719" s="8" t="s">
        <v>1553</v>
      </c>
      <c r="CIB719" s="8" t="s">
        <v>260</v>
      </c>
      <c r="CJX719" s="8" t="s">
        <v>260</v>
      </c>
      <c r="CKA719" s="8" t="s">
        <v>4462</v>
      </c>
      <c r="CLT719" s="8" t="s">
        <v>260</v>
      </c>
      <c r="CLW719" s="8" t="s">
        <v>4041</v>
      </c>
      <c r="CNP719" s="8" t="s">
        <v>260</v>
      </c>
      <c r="CNS719" s="8" t="s">
        <v>3712</v>
      </c>
      <c r="CRK719" s="8" t="s">
        <v>3261</v>
      </c>
      <c r="CUK719" s="8" t="s">
        <v>260</v>
      </c>
      <c r="DLP719" s="8" t="s">
        <v>265</v>
      </c>
      <c r="DPH719" s="8" t="s">
        <v>928</v>
      </c>
      <c r="DRD719" s="8" t="s">
        <v>928</v>
      </c>
    </row>
    <row r="720" spans="1:958 1085:2029 2057:3032 3080:4073 4121:4425">
      <c r="A720" s="8" t="s">
        <v>9925</v>
      </c>
      <c r="B720" s="10" t="s">
        <v>10952</v>
      </c>
      <c r="C720" s="8">
        <v>1334.82</v>
      </c>
      <c r="D720" s="15">
        <v>20.2</v>
      </c>
      <c r="AZK720" s="8" t="s">
        <v>10952</v>
      </c>
      <c r="BDY720" s="8" t="s">
        <v>4860</v>
      </c>
      <c r="BFL720" s="8" t="s">
        <v>266</v>
      </c>
      <c r="BFU720" s="8" t="s">
        <v>4860</v>
      </c>
      <c r="BFV720" s="8" t="s">
        <v>4860</v>
      </c>
      <c r="BGJ720" s="8" t="s">
        <v>266</v>
      </c>
      <c r="BHH720" s="8" t="s">
        <v>929</v>
      </c>
      <c r="BLX720" s="8" t="s">
        <v>4891</v>
      </c>
      <c r="BLY720" s="8" t="s">
        <v>4891</v>
      </c>
      <c r="BOF720" s="8" t="s">
        <v>10958</v>
      </c>
      <c r="BQB720" s="8" t="s">
        <v>10212</v>
      </c>
      <c r="BWZ720" s="8" t="s">
        <v>4463</v>
      </c>
      <c r="CAC720" s="8" t="s">
        <v>1987</v>
      </c>
      <c r="CBY720" s="8" t="s">
        <v>1554</v>
      </c>
      <c r="CEJ720" s="8" t="s">
        <v>6312</v>
      </c>
      <c r="CFQ720" s="8" t="s">
        <v>261</v>
      </c>
      <c r="CHM720" s="8" t="s">
        <v>261</v>
      </c>
      <c r="CJI720" s="8" t="s">
        <v>261</v>
      </c>
      <c r="CLE720" s="8" t="s">
        <v>261</v>
      </c>
      <c r="CNP720" s="8" t="s">
        <v>4463</v>
      </c>
      <c r="CPL720" s="8" t="s">
        <v>4042</v>
      </c>
      <c r="CRH720" s="8" t="s">
        <v>3713</v>
      </c>
      <c r="CUZ720" s="8" t="s">
        <v>3262</v>
      </c>
      <c r="CWV720" s="8" t="s">
        <v>261</v>
      </c>
      <c r="DLP720" s="8" t="s">
        <v>266</v>
      </c>
      <c r="DNL720" s="8" t="s">
        <v>4485</v>
      </c>
      <c r="DPH720" s="8" t="s">
        <v>929</v>
      </c>
      <c r="DRD720" s="8" t="s">
        <v>929</v>
      </c>
    </row>
    <row r="721" spans="1:4 1352:2032 2057:3065 3080:4088 4136:4380 7453:7461">
      <c r="A721" s="8" t="s">
        <v>9925</v>
      </c>
      <c r="B721" s="10" t="s">
        <v>10953</v>
      </c>
      <c r="C721" s="8">
        <v>1356.01</v>
      </c>
      <c r="D721" s="15">
        <v>39.22</v>
      </c>
      <c r="BAY721" s="8" t="s">
        <v>10953</v>
      </c>
      <c r="BFL721" s="8" t="s">
        <v>267</v>
      </c>
      <c r="BGJ721" s="8" t="s">
        <v>4861</v>
      </c>
      <c r="BHH721" s="8" t="s">
        <v>930</v>
      </c>
      <c r="BIF721" s="8" t="s">
        <v>4861</v>
      </c>
      <c r="BIG721" s="8" t="s">
        <v>4861</v>
      </c>
      <c r="BLX721" s="8" t="s">
        <v>5319</v>
      </c>
      <c r="BLY721" s="8" t="s">
        <v>5319</v>
      </c>
      <c r="BPU721" s="8" t="s">
        <v>10959</v>
      </c>
      <c r="BRQ721" s="8" t="s">
        <v>10213</v>
      </c>
      <c r="CAC721" s="8" t="s">
        <v>4464</v>
      </c>
      <c r="CCN721" s="8" t="s">
        <v>1988</v>
      </c>
      <c r="CEJ721" s="8" t="s">
        <v>1555</v>
      </c>
      <c r="CHM721" s="8" t="s">
        <v>6313</v>
      </c>
      <c r="CIB721" s="8" t="s">
        <v>262</v>
      </c>
      <c r="CJX721" s="8" t="s">
        <v>262</v>
      </c>
      <c r="CLT721" s="8" t="s">
        <v>262</v>
      </c>
      <c r="CNP721" s="8" t="s">
        <v>262</v>
      </c>
      <c r="CQS721" s="8" t="s">
        <v>4464</v>
      </c>
      <c r="CSO721" s="8" t="s">
        <v>4043</v>
      </c>
      <c r="CUK721" s="8" t="s">
        <v>3714</v>
      </c>
      <c r="CYC721" s="8" t="s">
        <v>3263</v>
      </c>
      <c r="DEF721" s="8" t="s">
        <v>930</v>
      </c>
      <c r="DLP721" s="8" t="s">
        <v>267</v>
      </c>
      <c r="DRD721" s="8" t="s">
        <v>267</v>
      </c>
      <c r="DUV721" s="8" t="s">
        <v>4486</v>
      </c>
      <c r="ECF721" s="8" t="s">
        <v>930</v>
      </c>
      <c r="EEB721" s="8" t="s">
        <v>930</v>
      </c>
    </row>
    <row r="722" spans="1:4 1352:2032 2057:3065 3080:4088 4136:4380 7453:7461">
      <c r="A722" s="8" t="s">
        <v>9925</v>
      </c>
      <c r="B722" s="10" t="s">
        <v>10954</v>
      </c>
      <c r="C722" s="8">
        <v>1396.23</v>
      </c>
      <c r="D722" s="15">
        <v>39.22</v>
      </c>
      <c r="BCM722" s="8" t="s">
        <v>10954</v>
      </c>
      <c r="BIU722" s="8" t="s">
        <v>4862</v>
      </c>
      <c r="BKQ722" s="8" t="s">
        <v>4862</v>
      </c>
      <c r="BKR722" s="8" t="s">
        <v>4862</v>
      </c>
      <c r="BLX722" s="8" t="s">
        <v>268</v>
      </c>
      <c r="BMV722" s="8" t="s">
        <v>268</v>
      </c>
      <c r="BNT722" s="8" t="s">
        <v>931</v>
      </c>
      <c r="BTH722" s="8" t="s">
        <v>10960</v>
      </c>
      <c r="BVD722" s="8" t="s">
        <v>10214</v>
      </c>
      <c r="CGH722" s="8" t="s">
        <v>4465</v>
      </c>
      <c r="CJX722" s="8" t="s">
        <v>1989</v>
      </c>
      <c r="CLT722" s="8" t="s">
        <v>1556</v>
      </c>
      <c r="CNR722" s="8" t="s">
        <v>6314</v>
      </c>
      <c r="CPL722" s="8" t="s">
        <v>263</v>
      </c>
      <c r="CRH722" s="8" t="s">
        <v>263</v>
      </c>
      <c r="CTD722" s="8" t="s">
        <v>263</v>
      </c>
      <c r="CUZ722" s="8" t="s">
        <v>263</v>
      </c>
      <c r="CWX722" s="8" t="s">
        <v>4465</v>
      </c>
      <c r="CYT722" s="8" t="s">
        <v>4044</v>
      </c>
      <c r="DAP722" s="8" t="s">
        <v>3715</v>
      </c>
      <c r="DEF722" s="8" t="s">
        <v>263</v>
      </c>
      <c r="DEH722" s="8" t="s">
        <v>3264</v>
      </c>
      <c r="DWS722" s="8" t="s">
        <v>4487</v>
      </c>
      <c r="DYN722" s="8" t="s">
        <v>268</v>
      </c>
      <c r="ECF722" s="8" t="s">
        <v>931</v>
      </c>
      <c r="EEB722" s="8" t="s">
        <v>931</v>
      </c>
    </row>
    <row r="723" spans="1:4 1352:2032 2057:3065 3080:4088 4136:4380 7453:7461">
      <c r="A723" s="8" t="s">
        <v>9925</v>
      </c>
      <c r="B723" s="10" t="s">
        <v>10955</v>
      </c>
      <c r="C723" s="8">
        <v>1436.44</v>
      </c>
      <c r="D723" s="15">
        <v>39.22</v>
      </c>
      <c r="AYZ723" s="8" t="s">
        <v>2756</v>
      </c>
      <c r="BAV723" s="8" t="s">
        <v>2439</v>
      </c>
      <c r="BEB723" s="8" t="s">
        <v>10955</v>
      </c>
      <c r="BLE723" s="8" t="s">
        <v>4863</v>
      </c>
      <c r="BLF723" s="8" t="s">
        <v>4863</v>
      </c>
      <c r="BLX723" s="8" t="s">
        <v>269</v>
      </c>
      <c r="BMV723" s="8" t="s">
        <v>269</v>
      </c>
      <c r="BNA723" s="8" t="s">
        <v>4863</v>
      </c>
      <c r="BNB723" s="8" t="s">
        <v>4863</v>
      </c>
      <c r="BNT723" s="8" t="s">
        <v>932</v>
      </c>
      <c r="CEJ723" s="8" t="s">
        <v>10961</v>
      </c>
      <c r="CGF723" s="8" t="s">
        <v>10215</v>
      </c>
      <c r="CJX723" s="8" t="s">
        <v>1990</v>
      </c>
      <c r="CLT723" s="8" t="s">
        <v>1557</v>
      </c>
      <c r="CPL723" s="8" t="s">
        <v>264</v>
      </c>
      <c r="CRH723" s="8" t="s">
        <v>4466</v>
      </c>
      <c r="CTD723" s="8" t="s">
        <v>264</v>
      </c>
      <c r="CUZ723" s="8" t="s">
        <v>264</v>
      </c>
      <c r="CYR723" s="8" t="s">
        <v>6315</v>
      </c>
      <c r="DHX723" s="8" t="s">
        <v>4466</v>
      </c>
      <c r="DJT723" s="8" t="s">
        <v>4045</v>
      </c>
      <c r="DLP723" s="8" t="s">
        <v>3716</v>
      </c>
      <c r="DPH723" s="8" t="s">
        <v>3265</v>
      </c>
      <c r="DQM723" s="8" t="s">
        <v>269</v>
      </c>
      <c r="DRD723" s="8" t="s">
        <v>932</v>
      </c>
      <c r="DYN723" s="8" t="s">
        <v>269</v>
      </c>
      <c r="EEB723" s="8" t="s">
        <v>269</v>
      </c>
      <c r="EPQ723" s="8" t="s">
        <v>932</v>
      </c>
      <c r="ERM723" s="8" t="s">
        <v>932</v>
      </c>
    </row>
    <row r="724" spans="1:4 1352:2032 2057:3065 3080:4088 4136:4380 7453:7461">
      <c r="A724" s="8" t="s">
        <v>9925</v>
      </c>
      <c r="B724" s="10" t="s">
        <v>14020</v>
      </c>
      <c r="C724" s="8">
        <v>1447.61</v>
      </c>
      <c r="D724" s="15">
        <v>40.39</v>
      </c>
      <c r="BEN724" s="8" t="s">
        <v>14020</v>
      </c>
      <c r="BGJ724" s="8" t="s">
        <v>2757</v>
      </c>
      <c r="BIF724" s="8" t="s">
        <v>2440</v>
      </c>
      <c r="BOZ724" s="8" t="s">
        <v>4864</v>
      </c>
      <c r="BPA724" s="8" t="s">
        <v>4864</v>
      </c>
      <c r="BQV724" s="8" t="s">
        <v>4864</v>
      </c>
      <c r="BQW724" s="8" t="s">
        <v>4864</v>
      </c>
      <c r="BQX724" s="8" t="s">
        <v>4864</v>
      </c>
      <c r="BSQ724" s="8" t="s">
        <v>270</v>
      </c>
      <c r="BTO724" s="8" t="s">
        <v>270</v>
      </c>
      <c r="BUM724" s="8" t="s">
        <v>1266</v>
      </c>
      <c r="CTI724" s="8" t="s">
        <v>4467</v>
      </c>
      <c r="CUZ724" s="8" t="s">
        <v>10962</v>
      </c>
      <c r="CWV724" s="8" t="s">
        <v>10216</v>
      </c>
      <c r="CYR724" s="8" t="s">
        <v>1558</v>
      </c>
      <c r="DAS724" s="8" t="s">
        <v>6316</v>
      </c>
      <c r="DCJ724" s="8" t="s">
        <v>265</v>
      </c>
      <c r="DEF724" s="8" t="s">
        <v>265</v>
      </c>
      <c r="DGB724" s="8" t="s">
        <v>265</v>
      </c>
      <c r="DHX724" s="8" t="s">
        <v>265</v>
      </c>
      <c r="DJY724" s="8" t="s">
        <v>4467</v>
      </c>
      <c r="DLU724" s="8" t="s">
        <v>4046</v>
      </c>
      <c r="DNQ724" s="8" t="s">
        <v>3717</v>
      </c>
      <c r="DRD724" s="8" t="s">
        <v>265</v>
      </c>
      <c r="DRI724" s="8" t="s">
        <v>3266</v>
      </c>
      <c r="ELY724" s="8" t="s">
        <v>270</v>
      </c>
      <c r="ERM724" s="8" t="s">
        <v>270</v>
      </c>
      <c r="JZQ724" s="8" t="s">
        <v>270</v>
      </c>
      <c r="JZY724" s="8" t="s">
        <v>1266</v>
      </c>
    </row>
    <row r="725" spans="1:4 1352:2032 2057:3065 3080:4088 4136:4380 7453:7461">
      <c r="A725" s="8" t="s">
        <v>9925</v>
      </c>
      <c r="B725" s="10" t="s">
        <v>10956</v>
      </c>
      <c r="C725" s="8">
        <v>1476.66</v>
      </c>
      <c r="D725" s="15">
        <v>39.22</v>
      </c>
      <c r="BFP725" s="8" t="s">
        <v>10956</v>
      </c>
      <c r="BIF725" s="8" t="s">
        <v>2758</v>
      </c>
      <c r="BKB725" s="8" t="s">
        <v>2441</v>
      </c>
      <c r="BRK725" s="8" t="s">
        <v>4865</v>
      </c>
      <c r="BRL725" s="8" t="s">
        <v>4865</v>
      </c>
      <c r="BTG725" s="8" t="s">
        <v>4865</v>
      </c>
      <c r="BTH725" s="8" t="s">
        <v>4865</v>
      </c>
      <c r="CWV725" s="8" t="s">
        <v>4468</v>
      </c>
      <c r="CYR725" s="8" t="s">
        <v>1559</v>
      </c>
      <c r="DCJ725" s="8" t="s">
        <v>266</v>
      </c>
      <c r="DEF725" s="8" t="s">
        <v>6317</v>
      </c>
      <c r="DGB725" s="8" t="s">
        <v>266</v>
      </c>
      <c r="DHX725" s="8" t="s">
        <v>266</v>
      </c>
      <c r="DNL725" s="8" t="s">
        <v>4468</v>
      </c>
      <c r="DOC725" s="8" t="s">
        <v>10963</v>
      </c>
      <c r="DPH725" s="8" t="s">
        <v>4047</v>
      </c>
      <c r="DPY725" s="8" t="s">
        <v>10217</v>
      </c>
      <c r="DRD725" s="8" t="s">
        <v>3508</v>
      </c>
      <c r="DUV725" s="8" t="s">
        <v>3267</v>
      </c>
    </row>
    <row r="726" spans="1:4 1352:2032 2057:3065 3080:4088 4136:4380 7453:7461">
      <c r="A726" s="8" t="s">
        <v>9925</v>
      </c>
      <c r="B726" s="10" t="s">
        <v>10957</v>
      </c>
      <c r="C726" s="8">
        <v>1516.88</v>
      </c>
      <c r="D726" s="15">
        <v>39.22</v>
      </c>
      <c r="BHD726" s="8" t="s">
        <v>10957</v>
      </c>
      <c r="BKB726" s="8" t="s">
        <v>2759</v>
      </c>
      <c r="BLX726" s="8" t="s">
        <v>2442</v>
      </c>
      <c r="BTV726" s="8" t="s">
        <v>4866</v>
      </c>
      <c r="BTW726" s="8" t="s">
        <v>4866</v>
      </c>
      <c r="BVR726" s="8" t="s">
        <v>4866</v>
      </c>
      <c r="BVS726" s="8" t="s">
        <v>4866</v>
      </c>
      <c r="CWV726" s="8" t="s">
        <v>1991</v>
      </c>
      <c r="CYR726" s="8" t="s">
        <v>4469</v>
      </c>
      <c r="DCJ726" s="8" t="s">
        <v>267</v>
      </c>
      <c r="DEF726" s="8" t="s">
        <v>267</v>
      </c>
      <c r="DGB726" s="8" t="s">
        <v>6318</v>
      </c>
      <c r="DHX726" s="8" t="s">
        <v>267</v>
      </c>
      <c r="DPH726" s="8" t="s">
        <v>4469</v>
      </c>
      <c r="DPJ726" s="8" t="s">
        <v>10964</v>
      </c>
      <c r="DRD726" s="8" t="s">
        <v>4048</v>
      </c>
      <c r="DRF726" s="8" t="s">
        <v>10218</v>
      </c>
      <c r="DSZ726" s="8" t="s">
        <v>3718</v>
      </c>
      <c r="DWR726" s="8" t="s">
        <v>3268</v>
      </c>
      <c r="EEB726" s="8" t="s">
        <v>267</v>
      </c>
    </row>
    <row r="727" spans="1:4 1352:2032 2057:3065 3080:4088 4136:4380 7453:7461">
      <c r="A727" s="8" t="s">
        <v>9925</v>
      </c>
      <c r="B727" s="10" t="s">
        <v>10958</v>
      </c>
      <c r="C727" s="8">
        <v>1557.09</v>
      </c>
      <c r="D727" s="15">
        <v>39.22</v>
      </c>
      <c r="BIR727" s="8" t="s">
        <v>10958</v>
      </c>
      <c r="BLX727" s="8" t="s">
        <v>2946</v>
      </c>
      <c r="BNT727" s="8" t="s">
        <v>2443</v>
      </c>
      <c r="BWG727" s="8" t="s">
        <v>4867</v>
      </c>
      <c r="BYC727" s="8" t="s">
        <v>4867</v>
      </c>
      <c r="BYD727" s="8" t="s">
        <v>4867</v>
      </c>
      <c r="CGF727" s="8" t="s">
        <v>271</v>
      </c>
      <c r="DEF727" s="8" t="s">
        <v>4470</v>
      </c>
      <c r="DJT727" s="8" t="s">
        <v>1992</v>
      </c>
      <c r="DLP727" s="8" t="s">
        <v>6319</v>
      </c>
      <c r="DPH727" s="8" t="s">
        <v>268</v>
      </c>
      <c r="DQQ727" s="8" t="s">
        <v>10965</v>
      </c>
      <c r="DRD727" s="8" t="s">
        <v>268</v>
      </c>
      <c r="DSM727" s="8" t="s">
        <v>10219</v>
      </c>
      <c r="DSZ727" s="8" t="s">
        <v>268</v>
      </c>
      <c r="DUV727" s="8" t="s">
        <v>4470</v>
      </c>
      <c r="DWR727" s="8" t="s">
        <v>4049</v>
      </c>
      <c r="DYN727" s="8" t="s">
        <v>3719</v>
      </c>
      <c r="ECF727" s="8" t="s">
        <v>3269</v>
      </c>
      <c r="EEB727" s="8" t="s">
        <v>268</v>
      </c>
    </row>
    <row r="728" spans="1:4 1352:2032 2057:3065 3080:4088 4136:4380 7453:7461">
      <c r="A728" s="8" t="s">
        <v>9925</v>
      </c>
      <c r="B728" s="10" t="s">
        <v>10959</v>
      </c>
      <c r="C728" s="8">
        <v>1597.31</v>
      </c>
      <c r="D728" s="15">
        <v>39.22</v>
      </c>
      <c r="BKG728" s="8" t="s">
        <v>10959</v>
      </c>
      <c r="BLN728" s="8" t="s">
        <v>2947</v>
      </c>
      <c r="BNJ728" s="8" t="s">
        <v>2444</v>
      </c>
      <c r="BYR728" s="8" t="s">
        <v>4868</v>
      </c>
      <c r="CAN728" s="8" t="s">
        <v>4868</v>
      </c>
      <c r="CAO728" s="8" t="s">
        <v>4868</v>
      </c>
      <c r="CVA728" s="8" t="s">
        <v>272</v>
      </c>
      <c r="DJT728" s="8" t="s">
        <v>1993</v>
      </c>
      <c r="DLP728" s="8" t="s">
        <v>1560</v>
      </c>
      <c r="DMW728" s="8" t="s">
        <v>4471</v>
      </c>
      <c r="DPH728" s="8" t="s">
        <v>269</v>
      </c>
      <c r="DRD728" s="8" t="s">
        <v>269</v>
      </c>
      <c r="DRY728" s="8" t="s">
        <v>10966</v>
      </c>
      <c r="DSZ728" s="8" t="s">
        <v>269</v>
      </c>
      <c r="DTU728" s="8" t="s">
        <v>10220</v>
      </c>
      <c r="DUG728" s="8" t="s">
        <v>6320</v>
      </c>
      <c r="DUV728" s="8" t="s">
        <v>269</v>
      </c>
      <c r="EDM728" s="8" t="s">
        <v>4471</v>
      </c>
      <c r="EFI728" s="8" t="s">
        <v>4050</v>
      </c>
      <c r="EHE728" s="8" t="s">
        <v>3720</v>
      </c>
      <c r="EKW728" s="8" t="s">
        <v>3270</v>
      </c>
      <c r="ERM728" s="8" t="s">
        <v>269</v>
      </c>
    </row>
    <row r="729" spans="1:4 1352:2032 2057:3065 3080:4088 4136:4380 7453:7461">
      <c r="A729" s="8" t="s">
        <v>9925</v>
      </c>
      <c r="B729" s="10" t="s">
        <v>10960</v>
      </c>
      <c r="C729" s="8">
        <v>1688.78</v>
      </c>
      <c r="D729" s="15">
        <v>39.22</v>
      </c>
      <c r="BLX729" s="8" t="s">
        <v>2948</v>
      </c>
      <c r="BNT729" s="8" t="s">
        <v>10960</v>
      </c>
      <c r="CBC729" s="8" t="s">
        <v>4869</v>
      </c>
      <c r="CCY729" s="8" t="s">
        <v>4869</v>
      </c>
      <c r="CCZ729" s="8" t="s">
        <v>4869</v>
      </c>
      <c r="DRD729" s="8" t="s">
        <v>10967</v>
      </c>
      <c r="DSZ729" s="8" t="s">
        <v>10221</v>
      </c>
      <c r="DXE729" s="8" t="s">
        <v>1994</v>
      </c>
      <c r="DZA729" s="8" t="s">
        <v>1561</v>
      </c>
      <c r="EAJ729" s="8" t="s">
        <v>6321</v>
      </c>
      <c r="ECS729" s="8" t="s">
        <v>270</v>
      </c>
      <c r="EEO729" s="8" t="s">
        <v>270</v>
      </c>
      <c r="EGK729" s="8" t="s">
        <v>270</v>
      </c>
      <c r="EIG729" s="8" t="s">
        <v>270</v>
      </c>
      <c r="EJP729" s="8" t="s">
        <v>4472</v>
      </c>
      <c r="ELL729" s="8" t="s">
        <v>4051</v>
      </c>
      <c r="ENH729" s="8" t="s">
        <v>3721</v>
      </c>
      <c r="EQZ729" s="8" t="s">
        <v>3271</v>
      </c>
    </row>
    <row r="730" spans="1:4 1352:2032 2057:3065 3080:4088 4136:4380 7453:7461">
      <c r="A730" s="8" t="s">
        <v>9925</v>
      </c>
      <c r="B730" s="10" t="s">
        <v>10961</v>
      </c>
      <c r="C730" s="8">
        <v>1975.61</v>
      </c>
      <c r="D730" s="15">
        <v>40.39</v>
      </c>
      <c r="BNT730" s="8" t="s">
        <v>2760</v>
      </c>
      <c r="BPP730" s="8" t="s">
        <v>2445</v>
      </c>
      <c r="BYV730" s="8" t="s">
        <v>10961</v>
      </c>
      <c r="CJX730" s="8" t="s">
        <v>4870</v>
      </c>
      <c r="CLT730" s="8" t="s">
        <v>4870</v>
      </c>
      <c r="CLU730" s="8" t="s">
        <v>4870</v>
      </c>
      <c r="DTF730" s="8" t="s">
        <v>10968</v>
      </c>
      <c r="DUV730" s="8" t="s">
        <v>4473</v>
      </c>
      <c r="DVB730" s="8" t="s">
        <v>10222</v>
      </c>
      <c r="ECF730" s="8" t="s">
        <v>6322</v>
      </c>
      <c r="ELL730" s="8" t="s">
        <v>4473</v>
      </c>
      <c r="ENH730" s="8" t="s">
        <v>4052</v>
      </c>
      <c r="EPD730" s="8" t="s">
        <v>3722</v>
      </c>
      <c r="ESV730" s="8" t="s">
        <v>3272</v>
      </c>
      <c r="EWN730" s="8" t="s">
        <v>1995</v>
      </c>
      <c r="EYJ730" s="8" t="s">
        <v>1562</v>
      </c>
      <c r="FCB730" s="8" t="s">
        <v>1322</v>
      </c>
      <c r="FDX730" s="8" t="s">
        <v>1322</v>
      </c>
      <c r="FFT730" s="8" t="s">
        <v>1322</v>
      </c>
      <c r="FHP730" s="8" t="s">
        <v>1322</v>
      </c>
    </row>
    <row r="731" spans="1:4 1352:2032 2057:3065 3080:4088 4136:4380 7453:7461">
      <c r="A731" s="8" t="s">
        <v>9925</v>
      </c>
      <c r="B731" s="10" t="s">
        <v>10962</v>
      </c>
      <c r="C731" s="8">
        <v>2438.1999999999998</v>
      </c>
      <c r="D731" s="15">
        <v>9.8000000000000007</v>
      </c>
      <c r="BOD731" s="8" t="s">
        <v>2761</v>
      </c>
      <c r="BPZ731" s="8" t="s">
        <v>2446</v>
      </c>
      <c r="CJX731" s="8" t="s">
        <v>4871</v>
      </c>
      <c r="CLT731" s="8" t="s">
        <v>4871</v>
      </c>
      <c r="CLU731" s="8" t="s">
        <v>4871</v>
      </c>
      <c r="CPL731" s="8" t="s">
        <v>10962</v>
      </c>
      <c r="EBQ731" s="8" t="s">
        <v>4474</v>
      </c>
      <c r="EJA731" s="8" t="s">
        <v>6323</v>
      </c>
      <c r="ESG731" s="8" t="s">
        <v>4474</v>
      </c>
      <c r="EUC731" s="8" t="s">
        <v>4053</v>
      </c>
      <c r="EVY731" s="8" t="s">
        <v>3723</v>
      </c>
      <c r="EZQ731" s="8" t="s">
        <v>3273</v>
      </c>
    </row>
    <row r="732" spans="1:4 1352:2032 2057:3065 3080:4088 4136:4380 7453:7461">
      <c r="A732" s="8" t="s">
        <v>9925</v>
      </c>
      <c r="B732" s="10" t="s">
        <v>10963</v>
      </c>
      <c r="C732" s="8">
        <v>2905.33</v>
      </c>
      <c r="D732" s="15">
        <v>39.22</v>
      </c>
      <c r="BTH732" s="8" t="s">
        <v>2762</v>
      </c>
      <c r="BVD732" s="8" t="s">
        <v>2447</v>
      </c>
      <c r="CJX732" s="8" t="s">
        <v>4872</v>
      </c>
      <c r="CLT732" s="8" t="s">
        <v>4872</v>
      </c>
      <c r="CLU732" s="8" t="s">
        <v>4872</v>
      </c>
      <c r="DIO732" s="8" t="s">
        <v>10963</v>
      </c>
      <c r="EHT732" s="8" t="s">
        <v>4475</v>
      </c>
      <c r="EPD732" s="8" t="s">
        <v>6324</v>
      </c>
      <c r="EYJ732" s="8" t="s">
        <v>4475</v>
      </c>
      <c r="FAF732" s="8" t="s">
        <v>4054</v>
      </c>
      <c r="FCB732" s="8" t="s">
        <v>3724</v>
      </c>
      <c r="FFT732" s="8" t="s">
        <v>3274</v>
      </c>
    </row>
    <row r="733" spans="1:4 1352:2032 2057:3065 3080:4088 4136:4380 7453:7461">
      <c r="A733" s="8" t="s">
        <v>9925</v>
      </c>
      <c r="B733" s="10" t="s">
        <v>10964</v>
      </c>
      <c r="C733" s="8">
        <v>2938.67</v>
      </c>
      <c r="D733" s="15">
        <v>39.22</v>
      </c>
      <c r="BVL733" s="8" t="s">
        <v>2763</v>
      </c>
      <c r="BXH733" s="8" t="s">
        <v>2448</v>
      </c>
      <c r="CWV733" s="8" t="s">
        <v>4873</v>
      </c>
      <c r="CYR733" s="8" t="s">
        <v>4873</v>
      </c>
      <c r="CYS733" s="8" t="s">
        <v>4873</v>
      </c>
      <c r="DJV733" s="8" t="s">
        <v>10964</v>
      </c>
      <c r="ENL733" s="8" t="s">
        <v>4476</v>
      </c>
      <c r="EUV733" s="8" t="s">
        <v>6325</v>
      </c>
      <c r="FEB733" s="8" t="s">
        <v>4476</v>
      </c>
      <c r="FFX733" s="8" t="s">
        <v>4055</v>
      </c>
      <c r="FHT733" s="8" t="s">
        <v>3725</v>
      </c>
      <c r="FLL733" s="8" t="s">
        <v>3475</v>
      </c>
    </row>
    <row r="734" spans="1:4 1352:2032 2057:3065 3080:4088 4136:4380 7453:7461">
      <c r="A734" s="8" t="s">
        <v>9925</v>
      </c>
      <c r="B734" s="10" t="s">
        <v>10965</v>
      </c>
      <c r="C734" s="8">
        <v>2972</v>
      </c>
      <c r="D734" s="15">
        <v>39.22</v>
      </c>
      <c r="AYZ734" s="8" t="s">
        <v>4488</v>
      </c>
      <c r="BZD734" s="8" t="s">
        <v>2764</v>
      </c>
      <c r="CAZ734" s="8" t="s">
        <v>2449</v>
      </c>
      <c r="CWV734" s="8" t="s">
        <v>4874</v>
      </c>
      <c r="CYR734" s="8" t="s">
        <v>4874</v>
      </c>
      <c r="CYS734" s="8" t="s">
        <v>4874</v>
      </c>
      <c r="DLC734" s="8" t="s">
        <v>10965</v>
      </c>
    </row>
    <row r="735" spans="1:4 1352:2032 2057:3065 3080:4088 4136:4380 7453:7461">
      <c r="A735" s="8" t="s">
        <v>9925</v>
      </c>
      <c r="B735" s="10" t="s">
        <v>10966</v>
      </c>
      <c r="C735" s="8">
        <v>3005.33</v>
      </c>
      <c r="D735" s="15">
        <v>39.22</v>
      </c>
      <c r="CAI735" s="8" t="s">
        <v>2765</v>
      </c>
      <c r="CAR735" s="8" t="s">
        <v>4489</v>
      </c>
      <c r="CCE735" s="8" t="s">
        <v>2450</v>
      </c>
      <c r="DKG735" s="8" t="s">
        <v>4875</v>
      </c>
      <c r="DKH735" s="8" t="s">
        <v>4875</v>
      </c>
      <c r="DMC735" s="8" t="s">
        <v>4875</v>
      </c>
      <c r="DMD735" s="8" t="s">
        <v>4875</v>
      </c>
      <c r="DME735" s="8" t="s">
        <v>4875</v>
      </c>
      <c r="DMK735" s="8" t="s">
        <v>10966</v>
      </c>
    </row>
    <row r="736" spans="1:4 1352:2032 2057:3065 3080:4088 4136:4380 7453:7461">
      <c r="A736" s="8" t="s">
        <v>9925</v>
      </c>
      <c r="B736" s="10" t="s">
        <v>10967</v>
      </c>
      <c r="C736" s="8">
        <v>3008.31</v>
      </c>
      <c r="D736" s="15">
        <v>15.69</v>
      </c>
      <c r="CAR736" s="8" t="s">
        <v>2766</v>
      </c>
      <c r="CCN736" s="8" t="s">
        <v>2451</v>
      </c>
      <c r="CLT736" s="8" t="s">
        <v>4490</v>
      </c>
      <c r="DLP736" s="8" t="s">
        <v>10967</v>
      </c>
      <c r="EJP736" s="8" t="s">
        <v>4876</v>
      </c>
      <c r="ELL736" s="8" t="s">
        <v>4876</v>
      </c>
      <c r="ELM736" s="8" t="s">
        <v>4876</v>
      </c>
    </row>
    <row r="737" spans="1:833 1352:2024 2072:2825 3086:4041 4328:5001">
      <c r="A737" s="8" t="s">
        <v>9925</v>
      </c>
      <c r="B737" s="10" t="s">
        <v>10968</v>
      </c>
      <c r="C737" s="8">
        <v>3038.67</v>
      </c>
      <c r="D737" s="15">
        <v>39.22</v>
      </c>
      <c r="CER737" s="8" t="s">
        <v>2767</v>
      </c>
      <c r="CGN737" s="8" t="s">
        <v>2452</v>
      </c>
      <c r="DNR737" s="8" t="s">
        <v>10968</v>
      </c>
      <c r="EWN737" s="8" t="s">
        <v>4877</v>
      </c>
      <c r="EYJ737" s="8" t="s">
        <v>4877</v>
      </c>
      <c r="EYK737" s="8" t="s">
        <v>4877</v>
      </c>
    </row>
    <row r="738" spans="1:833 1352:2024 2072:2825 3086:4041 4328:5001">
      <c r="A738" s="8" t="s">
        <v>9926</v>
      </c>
      <c r="B738" s="10" t="s">
        <v>10969</v>
      </c>
      <c r="C738" s="8">
        <v>56.93</v>
      </c>
      <c r="D738" s="15">
        <v>40.14</v>
      </c>
      <c r="DA738" s="8" t="s">
        <v>10969</v>
      </c>
      <c r="CGK738" s="8" t="s">
        <v>2768</v>
      </c>
      <c r="CIG738" s="8" t="s">
        <v>2453</v>
      </c>
      <c r="FJL738" s="8" t="s">
        <v>4878</v>
      </c>
      <c r="FLH738" s="8" t="s">
        <v>4878</v>
      </c>
      <c r="FLI738" s="8" t="s">
        <v>4878</v>
      </c>
    </row>
    <row r="739" spans="1:833 1352:2024 2072:2825 3086:4041 4328:5001">
      <c r="A739" s="8" t="s">
        <v>9926</v>
      </c>
      <c r="B739" s="10" t="s">
        <v>14021</v>
      </c>
      <c r="C739" s="8">
        <v>98.07</v>
      </c>
      <c r="D739" s="15">
        <v>40.39</v>
      </c>
      <c r="EP739" s="8" t="s">
        <v>14021</v>
      </c>
      <c r="CFQ739" s="8" t="s">
        <v>2769</v>
      </c>
      <c r="CHM739" s="8" t="s">
        <v>2454</v>
      </c>
    </row>
    <row r="740" spans="1:833 1352:2024 2072:2825 3086:4041 4328:5001">
      <c r="A740" s="8" t="s">
        <v>9926</v>
      </c>
      <c r="B740" s="10" t="s">
        <v>10970</v>
      </c>
      <c r="C740" s="8">
        <v>146</v>
      </c>
      <c r="D740" s="15">
        <v>40.39</v>
      </c>
      <c r="GL740" s="8" t="s">
        <v>10970</v>
      </c>
      <c r="CTD740" s="8" t="s">
        <v>2770</v>
      </c>
      <c r="CUZ740" s="8" t="s">
        <v>2455</v>
      </c>
    </row>
    <row r="741" spans="1:833 1352:2024 2072:2825 3086:4041 4328:5001">
      <c r="A741" s="8" t="s">
        <v>9926</v>
      </c>
      <c r="B741" s="10" t="s">
        <v>10971</v>
      </c>
      <c r="C741" s="8">
        <v>194</v>
      </c>
      <c r="D741" s="15">
        <v>40.39</v>
      </c>
      <c r="IH741" s="8" t="s">
        <v>10971</v>
      </c>
      <c r="CTI741" s="8" t="s">
        <v>2949</v>
      </c>
      <c r="CVE741" s="8" t="s">
        <v>2456</v>
      </c>
    </row>
    <row r="742" spans="1:833 1352:2024 2072:2825 3086:4041 4328:5001">
      <c r="A742" s="8" t="s">
        <v>9926</v>
      </c>
      <c r="B742" s="10" t="s">
        <v>14022</v>
      </c>
      <c r="C742" s="8">
        <v>235.39</v>
      </c>
      <c r="D742" s="15">
        <v>33.33</v>
      </c>
      <c r="JQ742" s="8" t="s">
        <v>14022</v>
      </c>
      <c r="CTD742" s="8" t="s">
        <v>2950</v>
      </c>
      <c r="CUZ742" s="8" t="s">
        <v>2457</v>
      </c>
    </row>
    <row r="743" spans="1:833 1352:2024 2072:2825 3086:4041 4328:5001">
      <c r="A743" s="8" t="s">
        <v>9926</v>
      </c>
      <c r="B743" s="10" t="s">
        <v>10979</v>
      </c>
      <c r="C743" s="8">
        <v>344.78</v>
      </c>
      <c r="D743" s="15">
        <v>39.22</v>
      </c>
      <c r="OB743" s="8" t="s">
        <v>10979</v>
      </c>
      <c r="AYZ743" s="8" t="s">
        <v>3275</v>
      </c>
      <c r="CUZ743" s="8" t="s">
        <v>2771</v>
      </c>
      <c r="CWV743" s="8" t="s">
        <v>2458</v>
      </c>
    </row>
    <row r="744" spans="1:833 1352:2024 2072:2825 3086:4041 4328:5001">
      <c r="A744" s="8" t="s">
        <v>9926</v>
      </c>
      <c r="B744" s="10" t="s">
        <v>10974</v>
      </c>
      <c r="C744" s="8">
        <v>385</v>
      </c>
      <c r="D744" s="15">
        <v>40.39</v>
      </c>
      <c r="PQ744" s="8" t="s">
        <v>10974</v>
      </c>
      <c r="AYZ744" s="8" t="s">
        <v>3276</v>
      </c>
      <c r="CYR744" s="8" t="s">
        <v>2772</v>
      </c>
      <c r="DAN744" s="8" t="s">
        <v>2459</v>
      </c>
    </row>
    <row r="745" spans="1:833 1352:2024 2072:2825 3086:4041 4328:5001">
      <c r="A745" s="8" t="s">
        <v>9926</v>
      </c>
      <c r="B745" s="10" t="s">
        <v>14023</v>
      </c>
      <c r="C745" s="8">
        <v>625</v>
      </c>
      <c r="D745" s="15">
        <v>8.23</v>
      </c>
      <c r="XQ745" s="8" t="s">
        <v>14023</v>
      </c>
      <c r="BCS745" s="8" t="s">
        <v>3277</v>
      </c>
      <c r="BEO745" s="8" t="s">
        <v>3277</v>
      </c>
      <c r="DBU745" s="8" t="s">
        <v>2773</v>
      </c>
      <c r="DDQ745" s="8" t="s">
        <v>2460</v>
      </c>
    </row>
    <row r="746" spans="1:833 1352:2024 2072:2825 3086:4041 4328:5001">
      <c r="A746" s="8" t="s">
        <v>9926</v>
      </c>
      <c r="B746" s="10" t="s">
        <v>10972</v>
      </c>
      <c r="C746" s="8">
        <v>634.23</v>
      </c>
      <c r="D746" s="15">
        <v>40.39</v>
      </c>
      <c r="ZG746" s="8" t="s">
        <v>10972</v>
      </c>
      <c r="BEO746" s="8" t="s">
        <v>3278</v>
      </c>
      <c r="BGK746" s="8" t="s">
        <v>3278</v>
      </c>
      <c r="CEJ746" s="8" t="s">
        <v>933</v>
      </c>
      <c r="CGF746" s="8" t="s">
        <v>933</v>
      </c>
      <c r="DSZ746" s="8" t="s">
        <v>2774</v>
      </c>
      <c r="DUV746" s="8" t="s">
        <v>2461</v>
      </c>
    </row>
    <row r="747" spans="1:833 1352:2024 2072:2825 3086:4041 4328:5001">
      <c r="A747" s="8" t="s">
        <v>9926</v>
      </c>
      <c r="B747" s="10" t="s">
        <v>10973</v>
      </c>
      <c r="C747" s="8">
        <v>675.62</v>
      </c>
      <c r="D747" s="15">
        <v>10.1</v>
      </c>
      <c r="ZR747" s="8" t="s">
        <v>10973</v>
      </c>
      <c r="BKB747" s="8" t="s">
        <v>3279</v>
      </c>
      <c r="BLX747" s="8" t="s">
        <v>3279</v>
      </c>
      <c r="BRL747" s="8" t="s">
        <v>934</v>
      </c>
      <c r="BRW747" s="8" t="s">
        <v>272</v>
      </c>
      <c r="CAR747" s="8" t="s">
        <v>272</v>
      </c>
      <c r="CGF747" s="8" t="s">
        <v>272</v>
      </c>
      <c r="CTE747" s="8" t="s">
        <v>934</v>
      </c>
      <c r="CVA747" s="8" t="s">
        <v>934</v>
      </c>
      <c r="DVA747" s="8" t="s">
        <v>2775</v>
      </c>
      <c r="DWW747" s="8" t="s">
        <v>2462</v>
      </c>
    </row>
    <row r="748" spans="1:833 1352:2024 2072:2825 3086:4041 4328:5001">
      <c r="A748" s="8" t="s">
        <v>9926</v>
      </c>
      <c r="B748" s="10" t="s">
        <v>14024</v>
      </c>
      <c r="C748" s="8">
        <v>707.21</v>
      </c>
      <c r="D748" s="15">
        <v>4.04</v>
      </c>
      <c r="AAQ748" s="8" t="s">
        <v>14024</v>
      </c>
      <c r="AZD748" s="8" t="s">
        <v>41</v>
      </c>
      <c r="BCR748" s="8" t="s">
        <v>5574</v>
      </c>
      <c r="BEM748" s="8" t="s">
        <v>4889</v>
      </c>
      <c r="BEN748" s="8" t="s">
        <v>4889</v>
      </c>
      <c r="BEO748" s="8" t="s">
        <v>4889</v>
      </c>
      <c r="BNT748" s="8" t="s">
        <v>3280</v>
      </c>
      <c r="BPP748" s="8" t="s">
        <v>3280</v>
      </c>
      <c r="CPM748" s="8" t="s">
        <v>273</v>
      </c>
      <c r="CVA748" s="8" t="s">
        <v>273</v>
      </c>
      <c r="DYN748" s="8" t="s">
        <v>2776</v>
      </c>
      <c r="EAJ748" s="8" t="s">
        <v>2463</v>
      </c>
      <c r="GHW748" s="8" t="s">
        <v>273</v>
      </c>
      <c r="GJI748" s="8" t="s">
        <v>1267</v>
      </c>
    </row>
    <row r="749" spans="1:833 1352:2024 2072:2825 3086:4041 4328:5001">
      <c r="A749" s="8" t="s">
        <v>9926</v>
      </c>
      <c r="B749" s="10" t="s">
        <v>10975</v>
      </c>
      <c r="C749" s="8">
        <v>712.25</v>
      </c>
      <c r="D749" s="15">
        <v>33.33</v>
      </c>
      <c r="ABZ749" s="8" t="s">
        <v>10975</v>
      </c>
      <c r="AZH749" s="8" t="s">
        <v>42</v>
      </c>
      <c r="BIF749" s="8" t="s">
        <v>5575</v>
      </c>
      <c r="BKA749" s="8" t="s">
        <v>4891</v>
      </c>
      <c r="BKB749" s="8" t="s">
        <v>4891</v>
      </c>
      <c r="BKC749" s="8" t="s">
        <v>4891</v>
      </c>
      <c r="BQT749" s="8" t="s">
        <v>3281</v>
      </c>
      <c r="BSP749" s="8" t="s">
        <v>3281</v>
      </c>
      <c r="EAJ749" s="8" t="s">
        <v>2777</v>
      </c>
      <c r="ECF749" s="8" t="s">
        <v>2464</v>
      </c>
    </row>
    <row r="750" spans="1:833 1352:2024 2072:2825 3086:4041 4328:5001">
      <c r="A750" s="8" t="s">
        <v>9926</v>
      </c>
      <c r="B750" s="10" t="s">
        <v>10976</v>
      </c>
      <c r="C750" s="8">
        <v>746.58</v>
      </c>
      <c r="D750" s="15">
        <v>4.04</v>
      </c>
      <c r="ACE750" s="8" t="s">
        <v>10976</v>
      </c>
      <c r="AZL750" s="17" t="s">
        <v>43</v>
      </c>
      <c r="BIF750" s="8" t="s">
        <v>5576</v>
      </c>
      <c r="BIG750" s="8" t="s">
        <v>5576</v>
      </c>
      <c r="BKA750" s="8" t="s">
        <v>5319</v>
      </c>
      <c r="BKB750" s="8" t="s">
        <v>5319</v>
      </c>
      <c r="BKC750" s="8" t="s">
        <v>5319</v>
      </c>
      <c r="BTH750" s="8" t="s">
        <v>3282</v>
      </c>
      <c r="BVD750" s="8" t="s">
        <v>3282</v>
      </c>
      <c r="EFX750" s="8" t="s">
        <v>2778</v>
      </c>
      <c r="EHT750" s="8" t="s">
        <v>2465</v>
      </c>
    </row>
    <row r="751" spans="1:833 1352:2024 2072:2825 3086:4041 4328:5001">
      <c r="A751" s="8" t="s">
        <v>9926</v>
      </c>
      <c r="B751" s="10" t="s">
        <v>10977</v>
      </c>
      <c r="C751" s="8">
        <v>751.62</v>
      </c>
      <c r="D751" s="15">
        <v>33.33</v>
      </c>
      <c r="ADM751" s="8" t="s">
        <v>10977</v>
      </c>
      <c r="AZO751" s="8" t="s">
        <v>44</v>
      </c>
      <c r="BWZ751" s="8" t="s">
        <v>3283</v>
      </c>
      <c r="BYV751" s="8" t="s">
        <v>3283</v>
      </c>
      <c r="EOO751" s="8" t="s">
        <v>2779</v>
      </c>
      <c r="EQK751" s="8" t="s">
        <v>2466</v>
      </c>
    </row>
    <row r="752" spans="1:833 1352:2024 2072:2825 3086:4041 4328:5001">
      <c r="A752" s="8" t="s">
        <v>9926</v>
      </c>
      <c r="B752" s="10" t="s">
        <v>10978</v>
      </c>
      <c r="C752" s="8">
        <v>785.95</v>
      </c>
      <c r="D752" s="15">
        <v>39.22</v>
      </c>
      <c r="AFA752" s="8" t="s">
        <v>10978</v>
      </c>
      <c r="AZS752" s="8" t="s">
        <v>45</v>
      </c>
      <c r="BWZ752" s="8" t="s">
        <v>3284</v>
      </c>
      <c r="BYV752" s="8" t="s">
        <v>3284</v>
      </c>
      <c r="CGF752" s="8" t="s">
        <v>271</v>
      </c>
      <c r="EUR752" s="8" t="s">
        <v>2780</v>
      </c>
      <c r="EWN752" s="8" t="s">
        <v>2467</v>
      </c>
    </row>
    <row r="753" spans="1:1016 1064:2027 2059:3032 3080:4040 4169:4376">
      <c r="A753" s="8" t="s">
        <v>9926</v>
      </c>
      <c r="B753" s="10" t="s">
        <v>10980</v>
      </c>
      <c r="C753" s="8">
        <v>906.06</v>
      </c>
      <c r="D753" s="15">
        <v>33.33</v>
      </c>
      <c r="AJK753" s="8" t="s">
        <v>10980</v>
      </c>
      <c r="AZW753" s="8" t="s">
        <v>46</v>
      </c>
      <c r="BXA753" s="8" t="s">
        <v>3285</v>
      </c>
      <c r="BYW753" s="8" t="s">
        <v>3285</v>
      </c>
      <c r="CVA753" s="8" t="s">
        <v>272</v>
      </c>
      <c r="EWN753" s="8" t="s">
        <v>2781</v>
      </c>
      <c r="EYJ753" s="8" t="s">
        <v>2468</v>
      </c>
    </row>
    <row r="754" spans="1:1016 1064:2027 2059:3032 3080:4040 4169:4376">
      <c r="A754" s="8" t="s">
        <v>9926</v>
      </c>
      <c r="B754" s="10" t="s">
        <v>10981</v>
      </c>
      <c r="C754" s="8">
        <v>940.39</v>
      </c>
      <c r="D754" s="15">
        <v>19.61</v>
      </c>
      <c r="AKF754" s="8" t="s">
        <v>10981</v>
      </c>
      <c r="AZX754" s="8" t="s">
        <v>694</v>
      </c>
      <c r="CGF754" s="8" t="s">
        <v>3286</v>
      </c>
      <c r="CIB754" s="8" t="s">
        <v>3286</v>
      </c>
      <c r="FDI754" s="8" t="s">
        <v>2782</v>
      </c>
      <c r="FFE754" s="8" t="s">
        <v>2469</v>
      </c>
    </row>
    <row r="755" spans="1:1016 1064:2027 2059:3032 3080:4040 4169:4376">
      <c r="A755" s="8" t="s">
        <v>9926</v>
      </c>
      <c r="B755" s="10" t="s">
        <v>10982</v>
      </c>
      <c r="C755" s="8">
        <v>967.78</v>
      </c>
      <c r="D755" s="15">
        <v>19.61</v>
      </c>
      <c r="ALG755" s="8" t="s">
        <v>10982</v>
      </c>
      <c r="AYZ755" s="8" t="s">
        <v>10223</v>
      </c>
      <c r="BKB755" s="8" t="s">
        <v>47</v>
      </c>
      <c r="BLX755" s="8" t="s">
        <v>47</v>
      </c>
      <c r="DVW755" s="8" t="s">
        <v>3287</v>
      </c>
      <c r="DXS755" s="8" t="s">
        <v>3287</v>
      </c>
      <c r="FJL755" s="8" t="s">
        <v>2783</v>
      </c>
      <c r="FLH755" s="8" t="s">
        <v>2470</v>
      </c>
    </row>
    <row r="756" spans="1:1016 1064:2027 2059:3032 3080:4040 4169:4376">
      <c r="A756" s="8" t="s">
        <v>9926</v>
      </c>
      <c r="B756" s="10" t="s">
        <v>10983</v>
      </c>
      <c r="C756" s="8">
        <v>988.39</v>
      </c>
      <c r="D756" s="15">
        <v>19.61</v>
      </c>
      <c r="AMB756" s="8" t="s">
        <v>10983</v>
      </c>
      <c r="BCQ756" s="8" t="s">
        <v>10985</v>
      </c>
      <c r="BEM756" s="8" t="s">
        <v>10224</v>
      </c>
      <c r="BKA756" s="8" t="s">
        <v>26</v>
      </c>
      <c r="BLW756" s="8" t="s">
        <v>26</v>
      </c>
      <c r="ECF756" s="8" t="s">
        <v>3288</v>
      </c>
      <c r="EEB756" s="8" t="s">
        <v>3288</v>
      </c>
    </row>
    <row r="757" spans="1:1016 1064:2027 2059:3032 3080:4040 4169:4376">
      <c r="A757" s="8" t="s">
        <v>9926</v>
      </c>
      <c r="B757" s="10" t="s">
        <v>10984</v>
      </c>
      <c r="C757" s="8">
        <v>1015.61</v>
      </c>
      <c r="D757" s="15">
        <v>40.39</v>
      </c>
      <c r="ANX757" s="8" t="s">
        <v>10984</v>
      </c>
      <c r="AZA757" s="8" t="s">
        <v>3876</v>
      </c>
      <c r="BCS757" s="8" t="s">
        <v>3277</v>
      </c>
      <c r="BDL757" s="8" t="s">
        <v>10986</v>
      </c>
      <c r="BFH757" s="8" t="s">
        <v>10225</v>
      </c>
      <c r="BLY757" s="8" t="s">
        <v>48</v>
      </c>
      <c r="BNU757" s="8" t="s">
        <v>48</v>
      </c>
      <c r="EEC757" s="8" t="s">
        <v>3289</v>
      </c>
      <c r="EFY757" s="8" t="s">
        <v>3289</v>
      </c>
    </row>
    <row r="758" spans="1:1016 1064:2027 2059:3032 3080:4040 4169:4376">
      <c r="A758" s="8" t="s">
        <v>9926</v>
      </c>
      <c r="B758" s="10" t="s">
        <v>14025</v>
      </c>
      <c r="C758" s="8">
        <v>1063.6099999999999</v>
      </c>
      <c r="D758" s="15">
        <v>40.39</v>
      </c>
      <c r="APT758" s="8" t="s">
        <v>14025</v>
      </c>
      <c r="AYZ758" s="8" t="s">
        <v>1563</v>
      </c>
      <c r="AZA758" s="8" t="s">
        <v>4225</v>
      </c>
      <c r="BAW758" s="8" t="s">
        <v>3726</v>
      </c>
      <c r="BCR758" s="8" t="s">
        <v>1365</v>
      </c>
      <c r="BEN758" s="8" t="s">
        <v>1365</v>
      </c>
      <c r="BEO758" s="8" t="s">
        <v>3278</v>
      </c>
      <c r="BGJ758" s="8" t="s">
        <v>1365</v>
      </c>
      <c r="BIF758" s="8" t="s">
        <v>1365</v>
      </c>
      <c r="BKB758" s="8" t="s">
        <v>10987</v>
      </c>
      <c r="BLX758" s="8" t="s">
        <v>10226</v>
      </c>
      <c r="BTH758" s="8" t="s">
        <v>231</v>
      </c>
      <c r="BVD758" s="8" t="s">
        <v>231</v>
      </c>
    </row>
    <row r="759" spans="1:1016 1064:2027 2059:3032 3080:4040 4169:4376">
      <c r="A759" s="8" t="s">
        <v>9926</v>
      </c>
      <c r="B759" s="10" t="s">
        <v>10985</v>
      </c>
      <c r="C759" s="8">
        <v>1261.67</v>
      </c>
      <c r="D759" s="15">
        <v>33.33</v>
      </c>
      <c r="AXC759" s="8" t="s">
        <v>10985</v>
      </c>
      <c r="BCR759" s="8" t="s">
        <v>4477</v>
      </c>
      <c r="BEN759" s="8" t="s">
        <v>4056</v>
      </c>
      <c r="BGJ759" s="8" t="s">
        <v>3493</v>
      </c>
      <c r="BKB759" s="8" t="s">
        <v>3279</v>
      </c>
      <c r="BLN759" s="8" t="s">
        <v>1996</v>
      </c>
      <c r="BNJ759" s="8" t="s">
        <v>1564</v>
      </c>
      <c r="BOC759" s="8" t="s">
        <v>10988</v>
      </c>
      <c r="BPY759" s="8" t="s">
        <v>10227</v>
      </c>
      <c r="BRB759" s="8" t="s">
        <v>1323</v>
      </c>
      <c r="BSX759" s="8" t="s">
        <v>1323</v>
      </c>
      <c r="BUT759" s="8" t="s">
        <v>1323</v>
      </c>
      <c r="BWP759" s="8" t="s">
        <v>1323</v>
      </c>
      <c r="BWZ759" s="8" t="s">
        <v>233</v>
      </c>
      <c r="BYV759" s="8" t="s">
        <v>233</v>
      </c>
    </row>
    <row r="760" spans="1:1016 1064:2027 2059:3032 3080:4040 4169:4376">
      <c r="A760" s="8" t="s">
        <v>9926</v>
      </c>
      <c r="B760" s="10" t="s">
        <v>10986</v>
      </c>
      <c r="C760" s="8">
        <v>1296</v>
      </c>
      <c r="D760" s="15">
        <v>19.989999999999998</v>
      </c>
      <c r="AXX760" s="8" t="s">
        <v>10986</v>
      </c>
      <c r="BEN760" s="8" t="s">
        <v>277</v>
      </c>
      <c r="BGJ760" s="8" t="s">
        <v>4478</v>
      </c>
      <c r="BIF760" s="8" t="s">
        <v>4057</v>
      </c>
      <c r="BKB760" s="8" t="s">
        <v>3727</v>
      </c>
      <c r="BNT760" s="8" t="s">
        <v>3280</v>
      </c>
      <c r="BRL760" s="8" t="s">
        <v>10989</v>
      </c>
      <c r="BTH760" s="8" t="s">
        <v>10228</v>
      </c>
      <c r="CAR760" s="8" t="s">
        <v>234</v>
      </c>
      <c r="CAS760" s="8" t="s">
        <v>1997</v>
      </c>
      <c r="CCN760" s="8" t="s">
        <v>234</v>
      </c>
      <c r="CCO760" s="8" t="s">
        <v>1565</v>
      </c>
      <c r="CGG760" s="8" t="s">
        <v>273</v>
      </c>
      <c r="CIC760" s="8" t="s">
        <v>273</v>
      </c>
      <c r="CJY760" s="8" t="s">
        <v>273</v>
      </c>
      <c r="CLU760" s="8" t="s">
        <v>273</v>
      </c>
    </row>
    <row r="761" spans="1:1016 1064:2027 2059:3032 3080:4040 4169:4376">
      <c r="A761" s="8" t="s">
        <v>9926</v>
      </c>
      <c r="B761" s="10" t="s">
        <v>14026</v>
      </c>
      <c r="C761" s="8">
        <v>1426.41</v>
      </c>
      <c r="D761" s="15">
        <v>40.39</v>
      </c>
      <c r="AYZ761" s="8" t="s">
        <v>6326</v>
      </c>
      <c r="BCR761" s="8" t="s">
        <v>4491</v>
      </c>
      <c r="BDS761" s="8" t="s">
        <v>14026</v>
      </c>
      <c r="BIF761" s="8" t="s">
        <v>4479</v>
      </c>
      <c r="BKB761" s="8" t="s">
        <v>4058</v>
      </c>
      <c r="BLX761" s="8" t="s">
        <v>3494</v>
      </c>
      <c r="BPP761" s="8" t="s">
        <v>3281</v>
      </c>
      <c r="CAR761" s="8" t="s">
        <v>50</v>
      </c>
      <c r="CCN761" s="8" t="s">
        <v>50</v>
      </c>
      <c r="CPL761" s="8" t="s">
        <v>10990</v>
      </c>
      <c r="CRH761" s="8" t="s">
        <v>10229</v>
      </c>
    </row>
    <row r="762" spans="1:1016 1064:2027 2059:3032 3080:4040 4169:4376">
      <c r="A762" s="8" t="s">
        <v>9926</v>
      </c>
      <c r="B762" s="10" t="s">
        <v>14027</v>
      </c>
      <c r="C762" s="8">
        <v>1447.61</v>
      </c>
      <c r="D762" s="15">
        <v>40.39</v>
      </c>
      <c r="BCR762" s="8" t="s">
        <v>6327</v>
      </c>
      <c r="BDM762" s="8" t="s">
        <v>4896</v>
      </c>
      <c r="BDN762" s="8" t="s">
        <v>4896</v>
      </c>
      <c r="BEN762" s="8" t="s">
        <v>14027</v>
      </c>
      <c r="BGJ762" s="8" t="s">
        <v>4646</v>
      </c>
      <c r="BLX762" s="8" t="s">
        <v>4480</v>
      </c>
      <c r="BNT762" s="8" t="s">
        <v>4226</v>
      </c>
      <c r="BPP762" s="8" t="s">
        <v>3728</v>
      </c>
      <c r="BRL762" s="8" t="s">
        <v>279</v>
      </c>
      <c r="BTH762" s="8" t="s">
        <v>3282</v>
      </c>
      <c r="CJX762" s="8" t="s">
        <v>235</v>
      </c>
      <c r="CLT762" s="8" t="s">
        <v>235</v>
      </c>
      <c r="CWV762" s="8" t="s">
        <v>10991</v>
      </c>
      <c r="CYR762" s="8" t="s">
        <v>10230</v>
      </c>
    </row>
    <row r="763" spans="1:1016 1064:2027 2059:3032 3080:4040 4169:4376">
      <c r="A763" s="8" t="s">
        <v>9926</v>
      </c>
      <c r="B763" s="10" t="s">
        <v>10987</v>
      </c>
      <c r="C763" s="8">
        <v>1467.8</v>
      </c>
      <c r="D763" s="15">
        <v>20.2</v>
      </c>
      <c r="AYZ763" s="8" t="s">
        <v>4481</v>
      </c>
      <c r="BEN763" s="8" t="s">
        <v>10987</v>
      </c>
      <c r="BET763" s="8" t="s">
        <v>4897</v>
      </c>
      <c r="BEU763" s="8" t="s">
        <v>4897</v>
      </c>
      <c r="BGJ763" s="8" t="s">
        <v>6328</v>
      </c>
      <c r="BIF763" s="8" t="s">
        <v>4492</v>
      </c>
      <c r="BPP763" s="8" t="s">
        <v>4481</v>
      </c>
      <c r="BRL763" s="8" t="s">
        <v>4059</v>
      </c>
      <c r="BTH763" s="8" t="s">
        <v>3729</v>
      </c>
      <c r="BWZ763" s="8" t="s">
        <v>3283</v>
      </c>
      <c r="BYV763" s="8" t="s">
        <v>280</v>
      </c>
      <c r="CLU763" s="8" t="s">
        <v>232</v>
      </c>
      <c r="CNQ763" s="8" t="s">
        <v>232</v>
      </c>
      <c r="DEF763" s="8" t="s">
        <v>10992</v>
      </c>
      <c r="DGB763" s="8" t="s">
        <v>10231</v>
      </c>
    </row>
    <row r="764" spans="1:1016 1064:2027 2059:3032 3080:4040 4169:4376">
      <c r="A764" s="8" t="s">
        <v>9926</v>
      </c>
      <c r="B764" s="10" t="s">
        <v>14028</v>
      </c>
      <c r="C764" s="8">
        <v>1576.96</v>
      </c>
      <c r="D764" s="15">
        <v>15.69</v>
      </c>
      <c r="AYZ764" s="8" t="s">
        <v>4482</v>
      </c>
      <c r="BGJ764" s="8" t="s">
        <v>6329</v>
      </c>
      <c r="BIO764" s="8" t="s">
        <v>14028</v>
      </c>
      <c r="BKA764" s="8" t="s">
        <v>4493</v>
      </c>
      <c r="BPP764" s="8" t="s">
        <v>4482</v>
      </c>
      <c r="BRL764" s="8" t="s">
        <v>5320</v>
      </c>
      <c r="BRM764" s="8" t="s">
        <v>5320</v>
      </c>
      <c r="BTH764" s="8" t="s">
        <v>3730</v>
      </c>
      <c r="BWZ764" s="8" t="s">
        <v>3284</v>
      </c>
      <c r="CMW764" s="8" t="s">
        <v>281</v>
      </c>
      <c r="CXW764" s="8" t="s">
        <v>695</v>
      </c>
      <c r="CZS764" s="8" t="s">
        <v>695</v>
      </c>
      <c r="EEB764" s="8" t="s">
        <v>10993</v>
      </c>
      <c r="EFX764" s="8" t="s">
        <v>10232</v>
      </c>
    </row>
    <row r="765" spans="1:1016 1064:2027 2059:3032 3080:4040 4169:4376">
      <c r="A765" s="8" t="s">
        <v>9926</v>
      </c>
      <c r="B765" s="10" t="s">
        <v>10989</v>
      </c>
      <c r="C765" s="8">
        <v>1646.67</v>
      </c>
      <c r="D765" s="15">
        <v>33.33</v>
      </c>
      <c r="AZA765" s="8" t="s">
        <v>4483</v>
      </c>
      <c r="BGK765" s="8" t="s">
        <v>6330</v>
      </c>
      <c r="BLX765" s="8" t="s">
        <v>10989</v>
      </c>
      <c r="BPQ765" s="8" t="s">
        <v>4483</v>
      </c>
      <c r="BRM765" s="8" t="s">
        <v>4060</v>
      </c>
      <c r="BTI765" s="8" t="s">
        <v>3731</v>
      </c>
      <c r="BVD765" s="8" t="s">
        <v>4898</v>
      </c>
      <c r="BVE765" s="8" t="s">
        <v>4898</v>
      </c>
      <c r="BXA765" s="8" t="s">
        <v>3285</v>
      </c>
      <c r="CRV765" s="8" t="s">
        <v>282</v>
      </c>
      <c r="CYK765" s="8" t="s">
        <v>236</v>
      </c>
      <c r="DAG765" s="8" t="s">
        <v>236</v>
      </c>
    </row>
    <row r="766" spans="1:1016 1064:2027 2059:3032 3080:4040 4169:4376">
      <c r="A766" s="8" t="s">
        <v>9926</v>
      </c>
      <c r="B766" s="10" t="s">
        <v>14029</v>
      </c>
      <c r="C766" s="8">
        <v>1692.22</v>
      </c>
      <c r="D766" s="15">
        <v>20.2</v>
      </c>
      <c r="BIF766" s="8" t="s">
        <v>4484</v>
      </c>
      <c r="BND766" s="8" t="s">
        <v>14029</v>
      </c>
      <c r="BNT766" s="8" t="s">
        <v>4647</v>
      </c>
      <c r="BPP766" s="8" t="s">
        <v>6331</v>
      </c>
      <c r="BYV766" s="8" t="s">
        <v>4484</v>
      </c>
      <c r="BYX766" s="8" t="s">
        <v>4899</v>
      </c>
      <c r="BYY766" s="8" t="s">
        <v>4899</v>
      </c>
      <c r="CAR766" s="8" t="s">
        <v>4061</v>
      </c>
      <c r="CCN766" s="8" t="s">
        <v>3732</v>
      </c>
      <c r="CGF766" s="8" t="s">
        <v>3286</v>
      </c>
      <c r="DNL766" s="8" t="s">
        <v>1321</v>
      </c>
      <c r="DPH766" s="8" t="s">
        <v>1321</v>
      </c>
      <c r="EUR766" s="8" t="s">
        <v>283</v>
      </c>
    </row>
    <row r="767" spans="1:1016 1064:2027 2059:3032 3080:4040 4169:4376">
      <c r="A767" s="8" t="s">
        <v>9926</v>
      </c>
      <c r="B767" s="10" t="s">
        <v>14030</v>
      </c>
      <c r="C767" s="8">
        <v>1713.41</v>
      </c>
      <c r="D767" s="15">
        <v>20.2</v>
      </c>
      <c r="AYZ767" s="8" t="s">
        <v>3290</v>
      </c>
      <c r="AZU767" s="8" t="s">
        <v>4879</v>
      </c>
      <c r="AZV767" s="8" t="s">
        <v>4879</v>
      </c>
      <c r="BAV767" s="8" t="s">
        <v>3290</v>
      </c>
      <c r="BNZ767" s="8" t="s">
        <v>14030</v>
      </c>
      <c r="BPP767" s="8" t="s">
        <v>4495</v>
      </c>
      <c r="CAE767" s="8" t="s">
        <v>4900</v>
      </c>
      <c r="CAF767" s="8" t="s">
        <v>4900</v>
      </c>
      <c r="CWV767" s="8" t="s">
        <v>4485</v>
      </c>
      <c r="DEF767" s="8" t="s">
        <v>6332</v>
      </c>
      <c r="DNL767" s="8" t="s">
        <v>4485</v>
      </c>
      <c r="DPH767" s="8" t="s">
        <v>4062</v>
      </c>
      <c r="DRD767" s="8" t="s">
        <v>3733</v>
      </c>
      <c r="DSZ767" s="8" t="s">
        <v>53</v>
      </c>
      <c r="DUV767" s="8" t="s">
        <v>3287</v>
      </c>
    </row>
    <row r="768" spans="1:1016 1064:2027 2059:3032 3080:4040 4169:4376">
      <c r="A768" s="8" t="s">
        <v>9926</v>
      </c>
      <c r="B768" s="10" t="s">
        <v>14031</v>
      </c>
      <c r="C768" s="8">
        <v>1734.61</v>
      </c>
      <c r="D768" s="15">
        <v>20.2</v>
      </c>
      <c r="BAV768" s="8" t="s">
        <v>3291</v>
      </c>
      <c r="BCR768" s="8" t="s">
        <v>3291</v>
      </c>
      <c r="BDC768" s="8" t="s">
        <v>4880</v>
      </c>
      <c r="BEY768" s="8" t="s">
        <v>4880</v>
      </c>
      <c r="BEZ768" s="8" t="s">
        <v>4880</v>
      </c>
      <c r="BOU768" s="8" t="s">
        <v>14031</v>
      </c>
      <c r="BVD768" s="8" t="s">
        <v>4496</v>
      </c>
      <c r="CBM768" s="8" t="s">
        <v>4901</v>
      </c>
      <c r="CBN768" s="8" t="s">
        <v>4901</v>
      </c>
      <c r="DEF768" s="8" t="s">
        <v>6131</v>
      </c>
      <c r="DLP768" s="8" t="s">
        <v>6333</v>
      </c>
      <c r="DUV768" s="8" t="s">
        <v>4486</v>
      </c>
      <c r="DWR768" s="8" t="s">
        <v>4227</v>
      </c>
      <c r="DYN768" s="8" t="s">
        <v>3495</v>
      </c>
      <c r="ECF768" s="8" t="s">
        <v>3288</v>
      </c>
    </row>
    <row r="769" spans="1:174 1352:2035 2072:2985 3081:3896 4135:5083">
      <c r="A769" s="8" t="s">
        <v>9926</v>
      </c>
      <c r="B769" s="10" t="s">
        <v>14032</v>
      </c>
      <c r="C769" s="8">
        <v>1755.8</v>
      </c>
      <c r="D769" s="15">
        <v>20.2</v>
      </c>
      <c r="BCR769" s="8" t="s">
        <v>3292</v>
      </c>
      <c r="BEN769" s="8" t="s">
        <v>3292</v>
      </c>
      <c r="BNU769" s="8" t="s">
        <v>4881</v>
      </c>
      <c r="BNV769" s="8" t="s">
        <v>4881</v>
      </c>
      <c r="BPP769" s="8" t="s">
        <v>14032</v>
      </c>
      <c r="BPQ769" s="8" t="s">
        <v>4881</v>
      </c>
      <c r="BPR769" s="8" t="s">
        <v>4881</v>
      </c>
      <c r="BWZ769" s="8" t="s">
        <v>4497</v>
      </c>
      <c r="CCT769" s="8" t="s">
        <v>4902</v>
      </c>
      <c r="CCU769" s="8" t="s">
        <v>4902</v>
      </c>
      <c r="DGC769" s="8" t="s">
        <v>4487</v>
      </c>
      <c r="DNM769" s="8" t="s">
        <v>6334</v>
      </c>
      <c r="DWS769" s="8" t="s">
        <v>4487</v>
      </c>
      <c r="DYO769" s="8" t="s">
        <v>4063</v>
      </c>
      <c r="EAK769" s="8" t="s">
        <v>3734</v>
      </c>
      <c r="ECF769" s="8" t="s">
        <v>32</v>
      </c>
      <c r="EEB769" s="8" t="s">
        <v>32</v>
      </c>
      <c r="EEC769" s="8" t="s">
        <v>3289</v>
      </c>
    </row>
    <row r="770" spans="1:174 1352:2035 2072:2985 3081:3896 4135:5083">
      <c r="A770" s="8" t="s">
        <v>9926</v>
      </c>
      <c r="B770" s="10" t="s">
        <v>14033</v>
      </c>
      <c r="C770" s="8">
        <v>2049.41</v>
      </c>
      <c r="D770" s="15">
        <v>20.2</v>
      </c>
      <c r="BEN770" s="8" t="s">
        <v>3293</v>
      </c>
      <c r="BGJ770" s="8" t="s">
        <v>3293</v>
      </c>
      <c r="BZG770" s="8" t="s">
        <v>4498</v>
      </c>
      <c r="CAX770" s="8" t="s">
        <v>14033</v>
      </c>
      <c r="CCQ770" s="8" t="s">
        <v>4903</v>
      </c>
      <c r="CCR770" s="8" t="s">
        <v>4903</v>
      </c>
      <c r="CIB770" s="8" t="s">
        <v>4882</v>
      </c>
      <c r="CJX770" s="8" t="s">
        <v>4882</v>
      </c>
      <c r="CJY770" s="8" t="s">
        <v>4882</v>
      </c>
      <c r="EHT770" s="8" t="s">
        <v>678</v>
      </c>
      <c r="EJP770" s="8" t="s">
        <v>678</v>
      </c>
    </row>
    <row r="771" spans="1:174 1352:2035 2072:2985 3081:3896 4135:5083">
      <c r="A771" s="8" t="s">
        <v>9926</v>
      </c>
      <c r="B771" s="10" t="s">
        <v>14034</v>
      </c>
      <c r="C771" s="8">
        <v>2070.61</v>
      </c>
      <c r="D771" s="15">
        <v>20.2</v>
      </c>
      <c r="BGJ771" s="8" t="s">
        <v>3294</v>
      </c>
      <c r="BIF771" s="8" t="s">
        <v>3294</v>
      </c>
      <c r="CAR771" s="8" t="s">
        <v>4499</v>
      </c>
      <c r="CBS771" s="8" t="s">
        <v>14034</v>
      </c>
      <c r="CIB771" s="8" t="s">
        <v>4904</v>
      </c>
      <c r="CIC771" s="8" t="s">
        <v>4904</v>
      </c>
      <c r="CUZ771" s="8" t="s">
        <v>4883</v>
      </c>
      <c r="CWV771" s="8" t="s">
        <v>4883</v>
      </c>
      <c r="CWW771" s="8" t="s">
        <v>4883</v>
      </c>
      <c r="EQZ771" s="8" t="s">
        <v>238</v>
      </c>
      <c r="ESV771" s="8" t="s">
        <v>238</v>
      </c>
    </row>
    <row r="772" spans="1:174 1352:2035 2072:2985 3081:3896 4135:5083">
      <c r="A772" s="8" t="s">
        <v>9926</v>
      </c>
      <c r="B772" s="10" t="s">
        <v>14035</v>
      </c>
      <c r="C772" s="8">
        <v>2091.8000000000002</v>
      </c>
      <c r="D772" s="15">
        <v>20.2</v>
      </c>
      <c r="CAW772" s="8" t="s">
        <v>4500</v>
      </c>
      <c r="CCN772" s="8" t="s">
        <v>14035</v>
      </c>
      <c r="CIB772" s="8" t="s">
        <v>3295</v>
      </c>
      <c r="CJX772" s="8" t="s">
        <v>3295</v>
      </c>
      <c r="DAQ772" s="8" t="s">
        <v>4905</v>
      </c>
      <c r="DAR772" s="8" t="s">
        <v>4905</v>
      </c>
      <c r="DHX772" s="8" t="s">
        <v>4884</v>
      </c>
      <c r="DJT772" s="8" t="s">
        <v>4884</v>
      </c>
      <c r="DJU772" s="8" t="s">
        <v>4884</v>
      </c>
    </row>
    <row r="773" spans="1:174 1352:2035 2072:2985 3081:3896 4135:5083">
      <c r="A773" s="8" t="s">
        <v>9926</v>
      </c>
      <c r="B773" s="10" t="s">
        <v>14036</v>
      </c>
      <c r="C773" s="8">
        <v>2263.61</v>
      </c>
      <c r="D773" s="15">
        <v>40.39</v>
      </c>
      <c r="CBD773" s="8" t="s">
        <v>4501</v>
      </c>
      <c r="CJX773" s="8" t="s">
        <v>14036</v>
      </c>
      <c r="DEI773" s="8" t="s">
        <v>4906</v>
      </c>
      <c r="DEJ773" s="8" t="s">
        <v>4906</v>
      </c>
    </row>
    <row r="774" spans="1:174 1352:2035 2072:2985 3081:3896 4135:5083">
      <c r="A774" s="8" t="s">
        <v>9926</v>
      </c>
      <c r="B774" s="10" t="s">
        <v>14037</v>
      </c>
      <c r="C774" s="8">
        <v>2455.1999999999998</v>
      </c>
      <c r="D774" s="15">
        <v>20.2</v>
      </c>
      <c r="CNP774" s="8" t="s">
        <v>4502</v>
      </c>
      <c r="CQM774" s="8" t="s">
        <v>14037</v>
      </c>
      <c r="ECF774" s="8" t="s">
        <v>5321</v>
      </c>
      <c r="ECG774" s="8" t="s">
        <v>5321</v>
      </c>
    </row>
    <row r="775" spans="1:174 1352:2035 2072:2985 3081:3896 4135:5083">
      <c r="A775" s="8" t="s">
        <v>9926</v>
      </c>
      <c r="B775" s="10" t="s">
        <v>10991</v>
      </c>
      <c r="C775" s="8">
        <v>2476.39</v>
      </c>
      <c r="D775" s="15">
        <v>19.61</v>
      </c>
      <c r="CRH775" s="8" t="s">
        <v>10991</v>
      </c>
      <c r="CTD775" s="8" t="s">
        <v>4503</v>
      </c>
      <c r="ENK775" s="8" t="s">
        <v>4907</v>
      </c>
      <c r="ENL775" s="8" t="s">
        <v>4907</v>
      </c>
    </row>
    <row r="776" spans="1:174 1352:2035 2072:2985 3081:3896 4135:5083">
      <c r="A776" s="8" t="s">
        <v>9926</v>
      </c>
      <c r="B776" s="10" t="s">
        <v>14038</v>
      </c>
      <c r="C776" s="8">
        <v>2667.8</v>
      </c>
      <c r="D776" s="15">
        <v>20.2</v>
      </c>
      <c r="CUZ776" s="8" t="s">
        <v>4504</v>
      </c>
      <c r="CYR776" s="8" t="s">
        <v>14038</v>
      </c>
    </row>
    <row r="777" spans="1:174 1352:2035 2072:2985 3081:3896 4135:5083">
      <c r="A777" s="8" t="s">
        <v>9926</v>
      </c>
      <c r="B777" s="10" t="s">
        <v>10993</v>
      </c>
      <c r="C777" s="8">
        <v>3356.08</v>
      </c>
      <c r="D777" s="15">
        <v>3.92</v>
      </c>
      <c r="CWU777" s="8" t="s">
        <v>4505</v>
      </c>
      <c r="DYN777" s="8" t="s">
        <v>10993</v>
      </c>
    </row>
    <row r="778" spans="1:174 1352:2035 2072:2985 3081:3896 4135:5083">
      <c r="A778" s="8" t="s">
        <v>9927</v>
      </c>
      <c r="B778" s="10" t="s">
        <v>10994</v>
      </c>
      <c r="C778" s="8">
        <v>-144.84</v>
      </c>
      <c r="D778" s="15">
        <v>40.39</v>
      </c>
      <c r="H778" s="8" t="s">
        <v>10994</v>
      </c>
      <c r="DUV778" s="8" t="s">
        <v>4506</v>
      </c>
    </row>
    <row r="779" spans="1:174 1352:2035 2072:2985 3081:3896 4135:5083">
      <c r="A779" s="8" t="s">
        <v>9927</v>
      </c>
      <c r="B779" s="10" t="s">
        <v>10995</v>
      </c>
      <c r="C779" s="8">
        <v>-39.86</v>
      </c>
      <c r="D779" s="15">
        <v>40.39</v>
      </c>
      <c r="H779" s="8" t="s">
        <v>10995</v>
      </c>
      <c r="BCR779" s="8" t="s">
        <v>935</v>
      </c>
      <c r="BEN779" s="8" t="s">
        <v>935</v>
      </c>
      <c r="EIE779" s="8" t="s">
        <v>4507</v>
      </c>
    </row>
    <row r="780" spans="1:174 1352:2035 2072:2985 3081:3896 4135:5083">
      <c r="A780" s="8" t="s">
        <v>9927</v>
      </c>
      <c r="B780" s="10" t="s">
        <v>14039</v>
      </c>
      <c r="C780" s="8">
        <v>1.53</v>
      </c>
      <c r="D780" s="15">
        <v>20.2</v>
      </c>
      <c r="AD780" s="8" t="s">
        <v>14039</v>
      </c>
      <c r="AYZ780" s="8" t="s">
        <v>3290</v>
      </c>
      <c r="BAG780" s="8" t="s">
        <v>680</v>
      </c>
      <c r="BEN780" s="8" t="s">
        <v>278</v>
      </c>
      <c r="BIF780" s="8" t="s">
        <v>936</v>
      </c>
      <c r="BKB780" s="8" t="s">
        <v>936</v>
      </c>
      <c r="EJO780" s="8" t="s">
        <v>4508</v>
      </c>
    </row>
    <row r="781" spans="1:174 1352:2035 2072:2985 3081:3896 4135:5083">
      <c r="A781" s="8" t="s">
        <v>9927</v>
      </c>
      <c r="B781" s="10" t="s">
        <v>14040</v>
      </c>
      <c r="C781" s="8">
        <v>64.12</v>
      </c>
      <c r="D781" s="15">
        <v>18.18</v>
      </c>
      <c r="CL781" s="8" t="s">
        <v>14040</v>
      </c>
      <c r="BAV781" s="8" t="s">
        <v>3291</v>
      </c>
      <c r="BCR781" s="8" t="s">
        <v>242</v>
      </c>
      <c r="BEN781" s="8" t="s">
        <v>279</v>
      </c>
      <c r="BKB781" s="8" t="s">
        <v>279</v>
      </c>
      <c r="BPP781" s="8" t="s">
        <v>937</v>
      </c>
      <c r="BRL781" s="8" t="s">
        <v>937</v>
      </c>
      <c r="EJU781" s="8" t="s">
        <v>4510</v>
      </c>
    </row>
    <row r="782" spans="1:174 1352:2035 2072:2985 3081:3896 4135:5083">
      <c r="A782" s="8" t="s">
        <v>9927</v>
      </c>
      <c r="B782" s="10" t="s">
        <v>14041</v>
      </c>
      <c r="C782" s="8">
        <v>83.3</v>
      </c>
      <c r="D782" s="15">
        <v>20.2</v>
      </c>
      <c r="DH782" s="8" t="s">
        <v>14041</v>
      </c>
      <c r="AYZ782" s="8" t="s">
        <v>3877</v>
      </c>
      <c r="BAV782" s="8" t="s">
        <v>243</v>
      </c>
      <c r="BCR782" s="8" t="s">
        <v>3292</v>
      </c>
      <c r="BKB782" s="8" t="s">
        <v>938</v>
      </c>
      <c r="BKV782" s="8" t="s">
        <v>280</v>
      </c>
      <c r="BLX782" s="8" t="s">
        <v>280</v>
      </c>
      <c r="BRL782" s="8" t="s">
        <v>280</v>
      </c>
      <c r="BWZ782" s="8" t="s">
        <v>938</v>
      </c>
      <c r="BYV782" s="8" t="s">
        <v>938</v>
      </c>
      <c r="FCA782" s="8" t="s">
        <v>4511</v>
      </c>
    </row>
    <row r="783" spans="1:174 1352:2035 2072:2985 3081:3896 4135:5083">
      <c r="A783" s="8" t="s">
        <v>9927</v>
      </c>
      <c r="B783" s="10" t="s">
        <v>14042</v>
      </c>
      <c r="C783" s="8">
        <v>104.49</v>
      </c>
      <c r="D783" s="15">
        <v>20.2</v>
      </c>
      <c r="EC783" s="8" t="s">
        <v>14042</v>
      </c>
      <c r="AYZ783" s="8" t="s">
        <v>4064</v>
      </c>
      <c r="AZC783" s="8" t="s">
        <v>2471</v>
      </c>
      <c r="BAV783" s="8" t="s">
        <v>3735</v>
      </c>
      <c r="BDG783" s="8" t="s">
        <v>244</v>
      </c>
      <c r="BDQ783" s="8" t="s">
        <v>281</v>
      </c>
      <c r="BEN783" s="8" t="s">
        <v>3293</v>
      </c>
      <c r="BFC783" s="8" t="s">
        <v>244</v>
      </c>
      <c r="BTH783" s="8" t="s">
        <v>281</v>
      </c>
      <c r="BYV783" s="8" t="s">
        <v>281</v>
      </c>
      <c r="CPZ783" s="8" t="s">
        <v>939</v>
      </c>
      <c r="CRV783" s="8" t="s">
        <v>939</v>
      </c>
      <c r="FJL783" s="8" t="s">
        <v>4648</v>
      </c>
    </row>
    <row r="784" spans="1:174 1352:2035 2072:2985 3081:3896 4135:5083">
      <c r="A784" s="8" t="s">
        <v>9927</v>
      </c>
      <c r="B784" s="10" t="s">
        <v>10996</v>
      </c>
      <c r="C784" s="8">
        <v>125.69</v>
      </c>
      <c r="D784" s="15">
        <v>40.39</v>
      </c>
      <c r="FR784" s="8" t="s">
        <v>10996</v>
      </c>
      <c r="AYZ784" s="8" t="s">
        <v>4488</v>
      </c>
      <c r="BAV784" s="8" t="s">
        <v>4065</v>
      </c>
      <c r="BCR784" s="8" t="s">
        <v>3496</v>
      </c>
      <c r="BGJ784" s="8" t="s">
        <v>3294</v>
      </c>
      <c r="BNT784" s="8" t="s">
        <v>245</v>
      </c>
      <c r="BPP784" s="8" t="s">
        <v>245</v>
      </c>
      <c r="CMH784" s="8" t="s">
        <v>283</v>
      </c>
      <c r="CRV784" s="8" t="s">
        <v>283</v>
      </c>
      <c r="FLH784" s="8" t="s">
        <v>4649</v>
      </c>
      <c r="GLR784" s="8" t="s">
        <v>1268</v>
      </c>
      <c r="GMM784" s="8" t="s">
        <v>283</v>
      </c>
    </row>
    <row r="785" spans="1:967 1107:2046 2072:2552 3131:3944 4424:4424">
      <c r="A785" s="8" t="s">
        <v>9927</v>
      </c>
      <c r="B785" s="10" t="s">
        <v>10997</v>
      </c>
      <c r="C785" s="8">
        <v>167.08</v>
      </c>
      <c r="D785" s="15">
        <v>4.04</v>
      </c>
      <c r="FW785" s="8" t="s">
        <v>10997</v>
      </c>
      <c r="BGK785" s="8" t="s">
        <v>2951</v>
      </c>
      <c r="BIG785" s="8" t="s">
        <v>2472</v>
      </c>
      <c r="BKB785" s="8" t="s">
        <v>4489</v>
      </c>
      <c r="BNT785" s="8" t="s">
        <v>246</v>
      </c>
      <c r="BPP785" s="8" t="s">
        <v>246</v>
      </c>
      <c r="BRL785" s="8" t="s">
        <v>6335</v>
      </c>
      <c r="CAR785" s="8" t="s">
        <v>4489</v>
      </c>
      <c r="CCN785" s="8" t="s">
        <v>4066</v>
      </c>
      <c r="CEJ785" s="8" t="s">
        <v>3736</v>
      </c>
      <c r="CIB785" s="8" t="s">
        <v>3295</v>
      </c>
      <c r="FND785" s="8" t="s">
        <v>4650</v>
      </c>
    </row>
    <row r="786" spans="1:967 1107:2046 2072:2552 3131:3944 4424:4424">
      <c r="A786" s="8" t="s">
        <v>9927</v>
      </c>
      <c r="B786" s="10" t="s">
        <v>14043</v>
      </c>
      <c r="C786" s="8">
        <v>241</v>
      </c>
      <c r="D786" s="15">
        <v>10.1</v>
      </c>
      <c r="IY786" s="8" t="s">
        <v>14043</v>
      </c>
      <c r="BIG786" s="8" t="s">
        <v>2952</v>
      </c>
      <c r="BKC786" s="8" t="s">
        <v>2473</v>
      </c>
      <c r="BNT786" s="8" t="s">
        <v>247</v>
      </c>
      <c r="BPP786" s="8" t="s">
        <v>247</v>
      </c>
      <c r="BVD786" s="8" t="s">
        <v>4490</v>
      </c>
      <c r="CCN786" s="8" t="s">
        <v>6336</v>
      </c>
      <c r="CLT786" s="8" t="s">
        <v>4490</v>
      </c>
      <c r="CNP786" s="8" t="s">
        <v>4067</v>
      </c>
      <c r="CPL786" s="8" t="s">
        <v>3737</v>
      </c>
      <c r="CTD786" s="8" t="s">
        <v>3476</v>
      </c>
      <c r="FND786" s="8" t="s">
        <v>4651</v>
      </c>
    </row>
    <row r="787" spans="1:967 1107:2046 2072:2552 3131:3944 4424:4424">
      <c r="A787" s="8" t="s">
        <v>9927</v>
      </c>
      <c r="B787" s="10" t="s">
        <v>10998</v>
      </c>
      <c r="C787" s="8">
        <v>252.1</v>
      </c>
      <c r="D787" s="15">
        <v>40.39</v>
      </c>
      <c r="KN787" s="8" t="s">
        <v>10998</v>
      </c>
      <c r="BNT787" s="8" t="s">
        <v>2784</v>
      </c>
      <c r="BPP787" s="8" t="s">
        <v>2474</v>
      </c>
    </row>
    <row r="788" spans="1:967 1107:2046 2072:2552 3131:3944 4424:4424">
      <c r="A788" s="8" t="s">
        <v>9927</v>
      </c>
      <c r="B788" s="10" t="s">
        <v>10999</v>
      </c>
      <c r="C788" s="8">
        <v>337</v>
      </c>
      <c r="D788" s="15">
        <v>40.39</v>
      </c>
      <c r="NU788" s="8" t="s">
        <v>10999</v>
      </c>
      <c r="BEN788" s="8" t="s">
        <v>276</v>
      </c>
      <c r="BNT788" s="8" t="s">
        <v>249</v>
      </c>
      <c r="BPP788" s="8" t="s">
        <v>249</v>
      </c>
      <c r="BWZ788" s="8" t="s">
        <v>2953</v>
      </c>
      <c r="BYV788" s="8" t="s">
        <v>2475</v>
      </c>
    </row>
    <row r="789" spans="1:967 1107:2046 2072:2552 3131:3944 4424:4424">
      <c r="A789" s="8" t="s">
        <v>9927</v>
      </c>
      <c r="B789" s="10" t="s">
        <v>14044</v>
      </c>
      <c r="C789" s="8">
        <v>624</v>
      </c>
      <c r="D789" s="15">
        <v>39.22</v>
      </c>
      <c r="YU789" s="8" t="s">
        <v>14044</v>
      </c>
      <c r="BEN789" s="8" t="s">
        <v>277</v>
      </c>
      <c r="BNT789" s="8" t="s">
        <v>250</v>
      </c>
      <c r="BPP789" s="8" t="s">
        <v>250</v>
      </c>
      <c r="CAR789" s="8" t="s">
        <v>2785</v>
      </c>
      <c r="CCN789" s="8" t="s">
        <v>2476</v>
      </c>
    </row>
    <row r="790" spans="1:967 1107:2046 2072:2552 3131:3944 4424:4424">
      <c r="A790" s="8" t="s">
        <v>9927</v>
      </c>
      <c r="B790" s="10" t="s">
        <v>11000</v>
      </c>
      <c r="C790" s="8">
        <v>651.1</v>
      </c>
      <c r="D790" s="15">
        <v>9.8000000000000007</v>
      </c>
      <c r="YS790" s="8" t="s">
        <v>11000</v>
      </c>
      <c r="BKB790" s="8" t="s">
        <v>278</v>
      </c>
      <c r="CAR790" s="8" t="s">
        <v>2786</v>
      </c>
      <c r="CCN790" s="8" t="s">
        <v>2477</v>
      </c>
    </row>
    <row r="791" spans="1:967 1107:2046 2072:2552 3131:3944 4424:4424">
      <c r="A791" s="8" t="s">
        <v>9927</v>
      </c>
      <c r="B791" s="10" t="s">
        <v>14045</v>
      </c>
      <c r="C791" s="8">
        <v>676.33</v>
      </c>
      <c r="D791" s="15">
        <v>20.2</v>
      </c>
      <c r="AAC791" s="8" t="s">
        <v>14045</v>
      </c>
      <c r="BRL791" s="8" t="s">
        <v>279</v>
      </c>
      <c r="CAR791" s="8" t="s">
        <v>252</v>
      </c>
      <c r="CAS791" s="8" t="s">
        <v>2787</v>
      </c>
      <c r="CCN791" s="8" t="s">
        <v>252</v>
      </c>
      <c r="CCO791" s="8" t="s">
        <v>2478</v>
      </c>
    </row>
    <row r="792" spans="1:967 1107:2046 2072:2552 3131:3944 4424:4424">
      <c r="A792" s="8" t="s">
        <v>9927</v>
      </c>
      <c r="B792" s="10" t="s">
        <v>11002</v>
      </c>
      <c r="C792" s="8">
        <v>697.53</v>
      </c>
      <c r="D792" s="15">
        <v>8.08</v>
      </c>
      <c r="AAL792" s="8" t="s">
        <v>11002</v>
      </c>
      <c r="AZT792" s="8" t="s">
        <v>5366</v>
      </c>
      <c r="AZU792" s="8" t="s">
        <v>5577</v>
      </c>
      <c r="BBP792" s="8" t="s">
        <v>5366</v>
      </c>
      <c r="BBQ792" s="8" t="s">
        <v>5366</v>
      </c>
      <c r="BBR792" s="8" t="s">
        <v>5366</v>
      </c>
      <c r="BYV792" s="8" t="s">
        <v>280</v>
      </c>
      <c r="CAR792" s="8" t="s">
        <v>253</v>
      </c>
      <c r="CCN792" s="8" t="s">
        <v>253</v>
      </c>
      <c r="CEJ792" s="8" t="s">
        <v>2788</v>
      </c>
      <c r="CGF792" s="8" t="s">
        <v>2479</v>
      </c>
    </row>
    <row r="793" spans="1:967 1107:2046 2072:2552 3131:3944 4424:4424">
      <c r="A793" s="8" t="s">
        <v>9927</v>
      </c>
      <c r="B793" s="10" t="s">
        <v>14046</v>
      </c>
      <c r="C793" s="8">
        <v>706.61</v>
      </c>
      <c r="D793" s="15">
        <v>19.61</v>
      </c>
      <c r="ABF793" s="8" t="s">
        <v>14046</v>
      </c>
      <c r="AYZ793" s="8" t="s">
        <v>10233</v>
      </c>
      <c r="BBB793" s="8" t="s">
        <v>5578</v>
      </c>
      <c r="BCW793" s="8" t="s">
        <v>4897</v>
      </c>
      <c r="BCX793" s="8" t="s">
        <v>4897</v>
      </c>
      <c r="BCY793" s="8" t="s">
        <v>4897</v>
      </c>
      <c r="CAR793" s="8" t="s">
        <v>254</v>
      </c>
      <c r="CCN793" s="8" t="s">
        <v>254</v>
      </c>
      <c r="CJX793" s="8" t="s">
        <v>2789</v>
      </c>
      <c r="CLT793" s="8" t="s">
        <v>2480</v>
      </c>
      <c r="CMW793" s="8" t="s">
        <v>281</v>
      </c>
    </row>
    <row r="794" spans="1:967 1107:2046 2072:2552 3131:3944 4424:4424">
      <c r="A794" s="8" t="s">
        <v>9927</v>
      </c>
      <c r="B794" s="10" t="s">
        <v>14047</v>
      </c>
      <c r="C794" s="8">
        <v>741.65</v>
      </c>
      <c r="D794" s="15">
        <v>10.1</v>
      </c>
      <c r="ACF794" s="8" t="s">
        <v>14047</v>
      </c>
      <c r="BII794" s="8" t="s">
        <v>11011</v>
      </c>
      <c r="BKE794" s="8" t="s">
        <v>10234</v>
      </c>
      <c r="BNT794" s="8" t="s">
        <v>5579</v>
      </c>
      <c r="BNU794" s="8" t="s">
        <v>5579</v>
      </c>
      <c r="BPO794" s="8" t="s">
        <v>5320</v>
      </c>
      <c r="BPP794" s="8" t="s">
        <v>5320</v>
      </c>
      <c r="BPQ794" s="8" t="s">
        <v>5320</v>
      </c>
      <c r="CAR794" s="8" t="s">
        <v>255</v>
      </c>
      <c r="CCN794" s="8" t="s">
        <v>255</v>
      </c>
      <c r="CJX794" s="8" t="s">
        <v>2790</v>
      </c>
      <c r="CLT794" s="8" t="s">
        <v>2481</v>
      </c>
      <c r="CRV794" s="8" t="s">
        <v>282</v>
      </c>
    </row>
    <row r="795" spans="1:967 1107:2046 2072:2552 3131:3944 4424:4424">
      <c r="A795" s="8" t="s">
        <v>9927</v>
      </c>
      <c r="B795" s="10" t="s">
        <v>11003</v>
      </c>
      <c r="C795" s="8">
        <v>752.75</v>
      </c>
      <c r="D795" s="15">
        <v>17.649999999999999</v>
      </c>
      <c r="ACX795" s="8" t="s">
        <v>11003</v>
      </c>
      <c r="BLX795" s="8" t="s">
        <v>11012</v>
      </c>
      <c r="BNT795" s="8" t="s">
        <v>10235</v>
      </c>
      <c r="BRL795" s="8" t="s">
        <v>5580</v>
      </c>
      <c r="BTG795" s="8" t="s">
        <v>4898</v>
      </c>
      <c r="BTH795" s="8" t="s">
        <v>4898</v>
      </c>
      <c r="BTI795" s="8" t="s">
        <v>4898</v>
      </c>
      <c r="CAR795" s="8" t="s">
        <v>256</v>
      </c>
      <c r="CCN795" s="8" t="s">
        <v>256</v>
      </c>
      <c r="EFX795" s="8" t="s">
        <v>2954</v>
      </c>
      <c r="EHT795" s="8" t="s">
        <v>2482</v>
      </c>
      <c r="EUR795" s="8" t="s">
        <v>283</v>
      </c>
    </row>
    <row r="796" spans="1:967 1107:2046 2072:2552 3131:3944 4424:4424">
      <c r="A796" s="8" t="s">
        <v>9927</v>
      </c>
      <c r="B796" s="10" t="s">
        <v>11004</v>
      </c>
      <c r="C796" s="8">
        <v>771.39</v>
      </c>
      <c r="D796" s="15">
        <v>3.92</v>
      </c>
      <c r="Z796" s="13"/>
      <c r="ADC796" s="8" t="s">
        <v>11004</v>
      </c>
      <c r="BOX796" s="8" t="s">
        <v>11013</v>
      </c>
      <c r="BQT796" s="8" t="s">
        <v>10236</v>
      </c>
      <c r="BVF796" s="8" t="s">
        <v>5581</v>
      </c>
      <c r="BXA796" s="8" t="s">
        <v>4899</v>
      </c>
      <c r="BXB796" s="8" t="s">
        <v>4899</v>
      </c>
      <c r="BXC796" s="8" t="s">
        <v>4899</v>
      </c>
      <c r="CFQ796" s="8" t="s">
        <v>257</v>
      </c>
      <c r="CHM796" s="8" t="s">
        <v>257</v>
      </c>
      <c r="EHU796" s="8" t="s">
        <v>2791</v>
      </c>
      <c r="EJQ796" s="8" t="s">
        <v>2483</v>
      </c>
    </row>
    <row r="797" spans="1:967 1107:2046 2072:2552 3131:3944 4424:4424">
      <c r="A797" s="8" t="s">
        <v>9927</v>
      </c>
      <c r="B797" s="10" t="s">
        <v>11005</v>
      </c>
      <c r="C797" s="8">
        <v>798.13</v>
      </c>
      <c r="D797" s="15">
        <v>10.050000000000001</v>
      </c>
      <c r="AEJ797" s="8" t="s">
        <v>11005</v>
      </c>
      <c r="BPS797" s="8" t="s">
        <v>11014</v>
      </c>
      <c r="BRO797" s="8" t="s">
        <v>10237</v>
      </c>
      <c r="BWM797" s="8" t="s">
        <v>5582</v>
      </c>
      <c r="BYH797" s="8" t="s">
        <v>4900</v>
      </c>
      <c r="BYI797" s="8" t="s">
        <v>4900</v>
      </c>
      <c r="BYJ797" s="8" t="s">
        <v>4900</v>
      </c>
      <c r="CIB797" s="8" t="s">
        <v>258</v>
      </c>
      <c r="CJX797" s="8" t="s">
        <v>258</v>
      </c>
    </row>
    <row r="798" spans="1:967 1107:2046 2072:2552 3131:3944 4424:4424">
      <c r="A798" s="8" t="s">
        <v>9927</v>
      </c>
      <c r="B798" s="10" t="s">
        <v>14048</v>
      </c>
      <c r="C798" s="8">
        <v>811.96</v>
      </c>
      <c r="D798" s="15">
        <v>4.04</v>
      </c>
      <c r="AER798" s="8" t="s">
        <v>14048</v>
      </c>
      <c r="AYZ798" s="8" t="s">
        <v>4512</v>
      </c>
      <c r="BRL798" s="8" t="s">
        <v>11015</v>
      </c>
      <c r="BTH798" s="8" t="s">
        <v>10238</v>
      </c>
      <c r="BXT798" s="8" t="s">
        <v>4901</v>
      </c>
      <c r="BXU798" s="8" t="s">
        <v>5583</v>
      </c>
      <c r="BZP798" s="8" t="s">
        <v>4901</v>
      </c>
      <c r="BZQ798" s="8" t="s">
        <v>4901</v>
      </c>
      <c r="BZR798" s="8" t="s">
        <v>4901</v>
      </c>
      <c r="CIB798" s="8" t="s">
        <v>259</v>
      </c>
      <c r="CJX798" s="8" t="s">
        <v>259</v>
      </c>
    </row>
    <row r="799" spans="1:967 1107:2046 2072:2552 3131:3944 4424:4424">
      <c r="A799" s="8" t="s">
        <v>9927</v>
      </c>
      <c r="B799" s="10" t="s">
        <v>11006</v>
      </c>
      <c r="C799" s="8">
        <v>919.82</v>
      </c>
      <c r="D799" s="15">
        <v>39.22</v>
      </c>
      <c r="AKE799" s="8" t="s">
        <v>11006</v>
      </c>
      <c r="AZK799" s="8" t="s">
        <v>4652</v>
      </c>
      <c r="BAA799" s="8" t="s">
        <v>275</v>
      </c>
      <c r="BZB799" s="8" t="s">
        <v>5584</v>
      </c>
      <c r="CAW799" s="8" t="s">
        <v>4902</v>
      </c>
      <c r="CAX799" s="8" t="s">
        <v>4902</v>
      </c>
      <c r="CAY799" s="8" t="s">
        <v>4902</v>
      </c>
      <c r="CEM799" s="8" t="s">
        <v>11016</v>
      </c>
      <c r="CGI799" s="8" t="s">
        <v>10239</v>
      </c>
      <c r="CNP799" s="8" t="s">
        <v>260</v>
      </c>
      <c r="CPL799" s="8" t="s">
        <v>260</v>
      </c>
    </row>
    <row r="800" spans="1:967 1107:2046 2072:2552 3131:3944 4424:4424">
      <c r="A800" s="8" t="s">
        <v>9927</v>
      </c>
      <c r="B800" s="10" t="s">
        <v>11007</v>
      </c>
      <c r="C800" s="8">
        <v>1095.1600000000001</v>
      </c>
      <c r="D800" s="15">
        <v>3.92</v>
      </c>
      <c r="APO800" s="8" t="s">
        <v>11007</v>
      </c>
      <c r="AZO800" s="8" t="s">
        <v>3296</v>
      </c>
      <c r="AZT800" s="8" t="s">
        <v>278</v>
      </c>
      <c r="BAV800" s="8" t="s">
        <v>4513</v>
      </c>
      <c r="BBP800" s="8" t="s">
        <v>278</v>
      </c>
      <c r="BYY800" s="8" t="s">
        <v>5585</v>
      </c>
      <c r="BYZ800" s="8" t="s">
        <v>5585</v>
      </c>
      <c r="CAT800" s="8" t="s">
        <v>4903</v>
      </c>
      <c r="CAU800" s="8" t="s">
        <v>4903</v>
      </c>
      <c r="CAV800" s="8" t="s">
        <v>4903</v>
      </c>
      <c r="CLE800" s="8" t="s">
        <v>261</v>
      </c>
      <c r="CNA800" s="8" t="s">
        <v>261</v>
      </c>
      <c r="DPK800" s="8" t="s">
        <v>11017</v>
      </c>
      <c r="DRG800" s="8" t="s">
        <v>10240</v>
      </c>
    </row>
    <row r="801" spans="1:4 1112:2040 2072:3053 3272:4040 4163:4344">
      <c r="A801" s="8" t="s">
        <v>9927</v>
      </c>
      <c r="B801" s="10" t="s">
        <v>11008</v>
      </c>
      <c r="C801" s="8">
        <v>1100.08</v>
      </c>
      <c r="D801" s="15">
        <v>3.92</v>
      </c>
      <c r="APT801" s="8" t="s">
        <v>11008</v>
      </c>
      <c r="AYZ801" s="8" t="s">
        <v>3297</v>
      </c>
      <c r="AZL801" s="17" t="s">
        <v>279</v>
      </c>
      <c r="BAV801" s="8" t="s">
        <v>3297</v>
      </c>
      <c r="BBH801" s="8" t="s">
        <v>279</v>
      </c>
      <c r="BDD801" s="8" t="s">
        <v>279</v>
      </c>
      <c r="BIF801" s="8" t="s">
        <v>4514</v>
      </c>
      <c r="CEJ801" s="8" t="s">
        <v>5586</v>
      </c>
      <c r="CGE801" s="8" t="s">
        <v>4904</v>
      </c>
      <c r="CGF801" s="8" t="s">
        <v>4904</v>
      </c>
      <c r="CGG801" s="8" t="s">
        <v>4904</v>
      </c>
      <c r="CNP801" s="8" t="s">
        <v>262</v>
      </c>
      <c r="CPL801" s="8" t="s">
        <v>262</v>
      </c>
      <c r="FDC801" s="8" t="s">
        <v>11018</v>
      </c>
      <c r="FEY801" s="8" t="s">
        <v>10241</v>
      </c>
    </row>
    <row r="802" spans="1:4 1112:2040 2072:3053 3272:4040 4163:4344">
      <c r="A802" s="8" t="s">
        <v>9927</v>
      </c>
      <c r="B802" s="10" t="s">
        <v>11009</v>
      </c>
      <c r="C802" s="8">
        <v>1107.74</v>
      </c>
      <c r="D802" s="15">
        <v>4.04</v>
      </c>
      <c r="AQB802" s="8" t="s">
        <v>11009</v>
      </c>
      <c r="AYZ802" s="8" t="s">
        <v>2484</v>
      </c>
      <c r="AZO802" s="8" t="s">
        <v>3298</v>
      </c>
      <c r="BBK802" s="8" t="s">
        <v>3298</v>
      </c>
      <c r="BCR802" s="8" t="s">
        <v>280</v>
      </c>
      <c r="BEN802" s="8" t="s">
        <v>280</v>
      </c>
      <c r="BGJ802" s="8" t="s">
        <v>280</v>
      </c>
      <c r="BIF802" s="8" t="s">
        <v>4515</v>
      </c>
      <c r="CUZ802" s="8" t="s">
        <v>263</v>
      </c>
      <c r="CWV802" s="8" t="s">
        <v>263</v>
      </c>
      <c r="CWY802" s="8" t="s">
        <v>5587</v>
      </c>
      <c r="CWZ802" s="8" t="s">
        <v>5587</v>
      </c>
      <c r="CYT802" s="8" t="s">
        <v>4905</v>
      </c>
      <c r="CYU802" s="8" t="s">
        <v>4905</v>
      </c>
      <c r="CYV802" s="8" t="s">
        <v>4905</v>
      </c>
      <c r="FDX802" s="8" t="s">
        <v>11019</v>
      </c>
      <c r="FFT802" s="8" t="s">
        <v>10242</v>
      </c>
    </row>
    <row r="803" spans="1:4 1112:2040 2072:3053 3272:4040 4163:4344">
      <c r="A803" s="8" t="s">
        <v>9927</v>
      </c>
      <c r="B803" s="10" t="s">
        <v>14049</v>
      </c>
      <c r="C803" s="8">
        <v>1111.6099999999999</v>
      </c>
      <c r="D803" s="15">
        <v>40.39</v>
      </c>
      <c r="ARP803" s="8" t="s">
        <v>14049</v>
      </c>
      <c r="AYZ803" s="8" t="s">
        <v>2792</v>
      </c>
      <c r="BAV803" s="8" t="s">
        <v>2485</v>
      </c>
      <c r="BEN803" s="8" t="s">
        <v>1998</v>
      </c>
      <c r="BGJ803" s="8" t="s">
        <v>1566</v>
      </c>
      <c r="BIF803" s="8" t="s">
        <v>4516</v>
      </c>
      <c r="BKB803" s="8" t="s">
        <v>3299</v>
      </c>
      <c r="BLX803" s="8" t="s">
        <v>3299</v>
      </c>
      <c r="BNT803" s="8" t="s">
        <v>281</v>
      </c>
      <c r="BPP803" s="8" t="s">
        <v>281</v>
      </c>
      <c r="CUZ803" s="8" t="s">
        <v>264</v>
      </c>
      <c r="CWV803" s="8" t="s">
        <v>264</v>
      </c>
      <c r="DAQ803" s="8" t="s">
        <v>5588</v>
      </c>
      <c r="DAR803" s="8" t="s">
        <v>5588</v>
      </c>
      <c r="DCL803" s="8" t="s">
        <v>4906</v>
      </c>
      <c r="DCM803" s="8" t="s">
        <v>4906</v>
      </c>
      <c r="DCN803" s="8" t="s">
        <v>4906</v>
      </c>
    </row>
    <row r="804" spans="1:4 1112:2040 2072:3053 3272:4040 4163:4344">
      <c r="A804" s="8" t="s">
        <v>9927</v>
      </c>
      <c r="B804" s="10" t="s">
        <v>11010</v>
      </c>
      <c r="C804" s="8">
        <v>1112.78</v>
      </c>
      <c r="D804" s="15">
        <v>39.22</v>
      </c>
      <c r="ARP804" s="8" t="s">
        <v>11010</v>
      </c>
      <c r="BAU804" s="8" t="s">
        <v>2793</v>
      </c>
      <c r="BCQ804" s="8" t="s">
        <v>2486</v>
      </c>
      <c r="BKB804" s="8" t="s">
        <v>4517</v>
      </c>
      <c r="BLX804" s="8" t="s">
        <v>286</v>
      </c>
      <c r="BPP804" s="8" t="s">
        <v>3300</v>
      </c>
      <c r="BRL804" s="8" t="s">
        <v>3300</v>
      </c>
      <c r="BVD804" s="8" t="s">
        <v>1366</v>
      </c>
      <c r="BWZ804" s="8" t="s">
        <v>1366</v>
      </c>
      <c r="BYV804" s="8" t="s">
        <v>1366</v>
      </c>
      <c r="CAR804" s="8" t="s">
        <v>1366</v>
      </c>
      <c r="DHX804" s="8" t="s">
        <v>265</v>
      </c>
      <c r="DJT804" s="8" t="s">
        <v>265</v>
      </c>
      <c r="DYN804" s="8" t="s">
        <v>5589</v>
      </c>
      <c r="DYO804" s="8" t="s">
        <v>5589</v>
      </c>
      <c r="EAI804" s="8" t="s">
        <v>5321</v>
      </c>
      <c r="EAJ804" s="8" t="s">
        <v>5321</v>
      </c>
      <c r="EAK804" s="8" t="s">
        <v>5321</v>
      </c>
    </row>
    <row r="805" spans="1:4 1112:2040 2072:3053 3272:4040 4163:4344">
      <c r="A805" s="8" t="s">
        <v>9927</v>
      </c>
      <c r="B805" s="10" t="s">
        <v>11011</v>
      </c>
      <c r="C805" s="8">
        <v>1423.33</v>
      </c>
      <c r="D805" s="15">
        <v>19.61</v>
      </c>
      <c r="BCU805" s="8" t="s">
        <v>11011</v>
      </c>
      <c r="BGJ805" s="8" t="s">
        <v>2794</v>
      </c>
      <c r="BIF805" s="8" t="s">
        <v>2487</v>
      </c>
      <c r="BLX805" s="8" t="s">
        <v>4518</v>
      </c>
      <c r="BRK805" s="8" t="s">
        <v>3301</v>
      </c>
      <c r="BRL805" s="8" t="s">
        <v>287</v>
      </c>
      <c r="BTG805" s="8" t="s">
        <v>3301</v>
      </c>
      <c r="BXN805" s="8" t="s">
        <v>1999</v>
      </c>
      <c r="BZJ805" s="8" t="s">
        <v>1567</v>
      </c>
      <c r="CDB805" s="8" t="s">
        <v>283</v>
      </c>
      <c r="CEX805" s="8" t="s">
        <v>283</v>
      </c>
      <c r="CGT805" s="8" t="s">
        <v>283</v>
      </c>
      <c r="CIP805" s="8" t="s">
        <v>283</v>
      </c>
      <c r="DHX805" s="8" t="s">
        <v>266</v>
      </c>
      <c r="DJT805" s="8" t="s">
        <v>266</v>
      </c>
      <c r="EJS805" s="8" t="s">
        <v>5590</v>
      </c>
      <c r="EJT805" s="8" t="s">
        <v>5590</v>
      </c>
      <c r="ELN805" s="8" t="s">
        <v>4907</v>
      </c>
      <c r="ELO805" s="8" t="s">
        <v>4907</v>
      </c>
      <c r="ELP805" s="8" t="s">
        <v>4907</v>
      </c>
    </row>
    <row r="806" spans="1:4 1112:2040 2072:3053 3272:4040 4163:4344">
      <c r="A806" s="8" t="s">
        <v>9927</v>
      </c>
      <c r="B806" s="10" t="s">
        <v>14050</v>
      </c>
      <c r="C806" s="8">
        <v>1516.39</v>
      </c>
      <c r="D806" s="15">
        <v>19.61</v>
      </c>
      <c r="BGJ806" s="8" t="s">
        <v>14050</v>
      </c>
      <c r="BIF806" s="8" t="s">
        <v>2795</v>
      </c>
      <c r="BKB806" s="8" t="s">
        <v>2488</v>
      </c>
      <c r="BLP806" s="8" t="s">
        <v>4519</v>
      </c>
      <c r="BRL806" s="8" t="s">
        <v>288</v>
      </c>
      <c r="BUE806" s="8" t="s">
        <v>3302</v>
      </c>
      <c r="BWA806" s="8" t="s">
        <v>3302</v>
      </c>
      <c r="CCN806" s="8" t="s">
        <v>2000</v>
      </c>
      <c r="CEJ806" s="8" t="s">
        <v>1568</v>
      </c>
      <c r="CIB806" s="8" t="s">
        <v>1367</v>
      </c>
      <c r="CJX806" s="8" t="s">
        <v>1367</v>
      </c>
      <c r="CLT806" s="8" t="s">
        <v>1367</v>
      </c>
      <c r="CNP806" s="8" t="s">
        <v>1367</v>
      </c>
      <c r="DHX806" s="8" t="s">
        <v>267</v>
      </c>
      <c r="DJT806" s="8" t="s">
        <v>267</v>
      </c>
    </row>
    <row r="807" spans="1:4 1112:2040 2072:3053 3272:4040 4163:4344">
      <c r="A807" s="8" t="s">
        <v>9927</v>
      </c>
      <c r="B807" s="10" t="s">
        <v>11013</v>
      </c>
      <c r="C807" s="8">
        <v>1594.14</v>
      </c>
      <c r="D807" s="15">
        <v>20.2</v>
      </c>
      <c r="BJJ807" s="8" t="s">
        <v>11013</v>
      </c>
      <c r="BPO807" s="8" t="s">
        <v>4520</v>
      </c>
      <c r="BTV807" s="8" t="s">
        <v>289</v>
      </c>
      <c r="BWZ807" s="8" t="s">
        <v>3303</v>
      </c>
      <c r="BYV807" s="8" t="s">
        <v>3303</v>
      </c>
      <c r="DUV807" s="8" t="s">
        <v>268</v>
      </c>
      <c r="DWR807" s="8" t="s">
        <v>268</v>
      </c>
    </row>
    <row r="808" spans="1:4 1112:2040 2072:3053 3272:4040 4163:4344">
      <c r="A808" s="8" t="s">
        <v>9927</v>
      </c>
      <c r="B808" s="10" t="s">
        <v>11014</v>
      </c>
      <c r="C808" s="8">
        <v>1615.33</v>
      </c>
      <c r="D808" s="15">
        <v>19.61</v>
      </c>
      <c r="BKE808" s="8" t="s">
        <v>11014</v>
      </c>
      <c r="BTE808" s="8" t="s">
        <v>4521</v>
      </c>
      <c r="BVD808" s="8" t="s">
        <v>290</v>
      </c>
      <c r="BZL808" s="8" t="s">
        <v>2796</v>
      </c>
      <c r="CBH808" s="8" t="s">
        <v>2489</v>
      </c>
      <c r="CCN808" s="8" t="s">
        <v>3304</v>
      </c>
      <c r="CEJ808" s="8" t="s">
        <v>3304</v>
      </c>
      <c r="DUV808" s="8" t="s">
        <v>269</v>
      </c>
      <c r="DWR808" s="8" t="s">
        <v>269</v>
      </c>
    </row>
    <row r="809" spans="1:4 1112:2040 2072:3053 3272:4040 4163:4344">
      <c r="A809" s="8" t="s">
        <v>9927</v>
      </c>
      <c r="B809" s="10" t="s">
        <v>14051</v>
      </c>
      <c r="C809" s="8">
        <v>1669.9</v>
      </c>
      <c r="D809" s="15">
        <v>10.1</v>
      </c>
      <c r="BLX809" s="8" t="s">
        <v>14051</v>
      </c>
      <c r="BVD809" s="8" t="s">
        <v>4522</v>
      </c>
      <c r="CAR809" s="8" t="s">
        <v>2797</v>
      </c>
      <c r="CCN809" s="8" t="s">
        <v>2490</v>
      </c>
      <c r="CEJ809" s="8" t="s">
        <v>3305</v>
      </c>
      <c r="CGF809" s="8" t="s">
        <v>3305</v>
      </c>
      <c r="EIG809" s="8" t="s">
        <v>270</v>
      </c>
      <c r="EKC809" s="8" t="s">
        <v>270</v>
      </c>
    </row>
    <row r="810" spans="1:4 1112:2040 2072:3053 3272:4040 4163:4344">
      <c r="A810" s="8" t="s">
        <v>9927</v>
      </c>
      <c r="B810" s="10" t="s">
        <v>14052</v>
      </c>
      <c r="C810" s="8">
        <v>1707.8</v>
      </c>
      <c r="D810" s="15">
        <v>20.2</v>
      </c>
      <c r="BNT810" s="8" t="s">
        <v>14052</v>
      </c>
      <c r="BVD810" s="8" t="s">
        <v>4523</v>
      </c>
      <c r="CDI810" s="8" t="s">
        <v>2798</v>
      </c>
      <c r="CFE810" s="8" t="s">
        <v>2491</v>
      </c>
      <c r="CGQ810" s="8" t="s">
        <v>3306</v>
      </c>
      <c r="CIE810" s="8" t="s">
        <v>292</v>
      </c>
      <c r="CIM810" s="8" t="s">
        <v>3306</v>
      </c>
      <c r="FHP810" s="8" t="s">
        <v>1322</v>
      </c>
      <c r="FJL810" s="8" t="s">
        <v>1322</v>
      </c>
    </row>
    <row r="811" spans="1:4 1112:2040 2072:3053 3272:4040 4163:4344">
      <c r="A811" s="8" t="s">
        <v>9927</v>
      </c>
      <c r="B811" s="10" t="s">
        <v>11016</v>
      </c>
      <c r="C811" s="8">
        <v>1999.33</v>
      </c>
      <c r="D811" s="15">
        <v>19.61</v>
      </c>
      <c r="BWU811" s="8" t="s">
        <v>4524</v>
      </c>
      <c r="BYY811" s="8" t="s">
        <v>11016</v>
      </c>
      <c r="CIB811" s="8" t="s">
        <v>3307</v>
      </c>
      <c r="CJX811" s="8" t="s">
        <v>3307</v>
      </c>
      <c r="CLT811" s="8" t="s">
        <v>2799</v>
      </c>
      <c r="CNP811" s="8" t="s">
        <v>2492</v>
      </c>
      <c r="COK811" s="8" t="s">
        <v>293</v>
      </c>
    </row>
    <row r="812" spans="1:4 1112:2040 2072:3053 3272:4040 4163:4344">
      <c r="A812" s="8" t="s">
        <v>9927</v>
      </c>
      <c r="B812" s="10" t="s">
        <v>11017</v>
      </c>
      <c r="C812" s="8">
        <v>2959.33</v>
      </c>
      <c r="D812" s="15">
        <v>19.61</v>
      </c>
      <c r="BYS812" s="8" t="s">
        <v>4525</v>
      </c>
      <c r="CIG812" s="8" t="s">
        <v>3308</v>
      </c>
      <c r="CKC812" s="8" t="s">
        <v>3308</v>
      </c>
      <c r="CPL812" s="8" t="s">
        <v>2800</v>
      </c>
      <c r="CPR812" s="8" t="s">
        <v>294</v>
      </c>
      <c r="CRH812" s="8" t="s">
        <v>2493</v>
      </c>
      <c r="DJW812" s="8" t="s">
        <v>11017</v>
      </c>
    </row>
    <row r="813" spans="1:4 1112:2040 2072:3053 3272:4040 4163:4344">
      <c r="A813" s="8" t="s">
        <v>9927</v>
      </c>
      <c r="B813" s="10" t="s">
        <v>11018</v>
      </c>
      <c r="C813" s="8">
        <v>3991.78</v>
      </c>
      <c r="D813" s="15">
        <v>19.61</v>
      </c>
      <c r="AZO813" s="8" t="s">
        <v>3298</v>
      </c>
      <c r="CAR813" s="8" t="s">
        <v>4526</v>
      </c>
      <c r="CIN813" s="8" t="s">
        <v>3309</v>
      </c>
      <c r="CKJ813" s="8" t="s">
        <v>3309</v>
      </c>
      <c r="CUD813" s="8" t="s">
        <v>295</v>
      </c>
      <c r="EXO813" s="8" t="s">
        <v>11018</v>
      </c>
    </row>
    <row r="814" spans="1:4 1112:2040 2072:3053 3272:4040 4163:4344">
      <c r="A814" s="8" t="s">
        <v>9927</v>
      </c>
      <c r="B814" s="10" t="s">
        <v>11019</v>
      </c>
      <c r="C814" s="8">
        <v>4012.39</v>
      </c>
      <c r="D814" s="15">
        <v>19.61</v>
      </c>
      <c r="AZV814" s="8" t="s">
        <v>4885</v>
      </c>
      <c r="AZW814" s="8" t="s">
        <v>4885</v>
      </c>
      <c r="BAE814" s="8" t="s">
        <v>4909</v>
      </c>
      <c r="BAF814" s="8" t="s">
        <v>4909</v>
      </c>
      <c r="BBR814" s="8" t="s">
        <v>4885</v>
      </c>
      <c r="BBS814" s="8" t="s">
        <v>4885</v>
      </c>
      <c r="BBT814" s="8" t="s">
        <v>4885</v>
      </c>
      <c r="BCR814" s="8" t="s">
        <v>4491</v>
      </c>
      <c r="BEN814" s="8" t="s">
        <v>4068</v>
      </c>
      <c r="BGJ814" s="8" t="s">
        <v>3738</v>
      </c>
      <c r="BKB814" s="8" t="s">
        <v>3299</v>
      </c>
      <c r="CCN814" s="8" t="s">
        <v>4527</v>
      </c>
      <c r="CUZ814" s="8" t="s">
        <v>3310</v>
      </c>
      <c r="CWV814" s="8" t="s">
        <v>3310</v>
      </c>
      <c r="DJV814" s="8" t="s">
        <v>296</v>
      </c>
      <c r="EYJ814" s="8" t="s">
        <v>11019</v>
      </c>
    </row>
    <row r="815" spans="1:4 1112:2040 2072:3053 3272:4040 4163:4344">
      <c r="A815" s="8" t="s">
        <v>9927</v>
      </c>
      <c r="B815" s="10" t="s">
        <v>14053</v>
      </c>
      <c r="C815" s="8">
        <v>4288.57</v>
      </c>
      <c r="D815" s="15">
        <v>39.22</v>
      </c>
      <c r="AYZ815" s="8" t="s">
        <v>6337</v>
      </c>
      <c r="BBT815" s="8" t="s">
        <v>4910</v>
      </c>
      <c r="BBU815" s="8" t="s">
        <v>4910</v>
      </c>
      <c r="BCR815" s="8" t="s">
        <v>4886</v>
      </c>
      <c r="BCS815" s="8" t="s">
        <v>4886</v>
      </c>
      <c r="BEN815" s="8" t="s">
        <v>4886</v>
      </c>
      <c r="BEO815" s="8" t="s">
        <v>4886</v>
      </c>
      <c r="BIF815" s="8" t="s">
        <v>4492</v>
      </c>
      <c r="BKB815" s="8" t="s">
        <v>4228</v>
      </c>
      <c r="BLX815" s="8" t="s">
        <v>3739</v>
      </c>
      <c r="BPP815" s="8" t="s">
        <v>3300</v>
      </c>
      <c r="CEI815" s="8" t="s">
        <v>4528</v>
      </c>
      <c r="DBV815" s="8" t="s">
        <v>3311</v>
      </c>
      <c r="DDR815" s="8" t="s">
        <v>3311</v>
      </c>
      <c r="DLC815" s="8" t="s">
        <v>297</v>
      </c>
      <c r="FJT815" s="8" t="s">
        <v>14053</v>
      </c>
    </row>
    <row r="816" spans="1:4 1112:2040 2072:3053 3272:4040 4163:4344">
      <c r="A816" s="8" t="s">
        <v>9927</v>
      </c>
      <c r="B816" s="10" t="s">
        <v>14054</v>
      </c>
      <c r="C816" s="8">
        <v>4296.3500000000004</v>
      </c>
      <c r="D816" s="15">
        <v>39.22</v>
      </c>
      <c r="AYZ816" s="8" t="s">
        <v>940</v>
      </c>
      <c r="BAU816" s="8" t="s">
        <v>6338</v>
      </c>
      <c r="BCR816" s="8" t="s">
        <v>4887</v>
      </c>
      <c r="BCS816" s="8" t="s">
        <v>4887</v>
      </c>
      <c r="BDH816" s="8" t="s">
        <v>4911</v>
      </c>
      <c r="BDI816" s="8" t="s">
        <v>4911</v>
      </c>
      <c r="BEN816" s="8" t="s">
        <v>4887</v>
      </c>
      <c r="BEO816" s="8" t="s">
        <v>4887</v>
      </c>
      <c r="BKA816" s="8" t="s">
        <v>4493</v>
      </c>
      <c r="BLW816" s="8" t="s">
        <v>4069</v>
      </c>
      <c r="BNS816" s="8" t="s">
        <v>3740</v>
      </c>
      <c r="BRK816" s="8" t="s">
        <v>3301</v>
      </c>
      <c r="DDG816" s="8" t="s">
        <v>3312</v>
      </c>
      <c r="DFC816" s="8" t="s">
        <v>3312</v>
      </c>
      <c r="DHX816" s="8" t="s">
        <v>4529</v>
      </c>
      <c r="DMK816" s="8" t="s">
        <v>298</v>
      </c>
      <c r="FKB816" s="8" t="s">
        <v>14054</v>
      </c>
    </row>
    <row r="817" spans="1:124 1352:2035 2059:3053 3083:3944 4327:4417">
      <c r="A817" s="8" t="s">
        <v>9927</v>
      </c>
      <c r="B817" s="10" t="s">
        <v>14055</v>
      </c>
      <c r="C817" s="8">
        <v>4304.1400000000003</v>
      </c>
      <c r="D817" s="15">
        <v>39.22</v>
      </c>
      <c r="AYZ817" s="8" t="s">
        <v>285</v>
      </c>
      <c r="BCR817" s="8" t="s">
        <v>6339</v>
      </c>
      <c r="BCS817" s="8" t="s">
        <v>4888</v>
      </c>
      <c r="BEN817" s="8" t="s">
        <v>4888</v>
      </c>
      <c r="BEO817" s="8" t="s">
        <v>4888</v>
      </c>
      <c r="BEV817" s="8" t="s">
        <v>4912</v>
      </c>
      <c r="BEW817" s="8" t="s">
        <v>4912</v>
      </c>
      <c r="BGJ817" s="8" t="s">
        <v>941</v>
      </c>
      <c r="BIF817" s="8" t="s">
        <v>941</v>
      </c>
      <c r="BLX817" s="8" t="s">
        <v>4494</v>
      </c>
      <c r="BNT817" s="8" t="s">
        <v>4229</v>
      </c>
      <c r="BPP817" s="8" t="s">
        <v>3741</v>
      </c>
      <c r="BTH817" s="8" t="s">
        <v>3302</v>
      </c>
      <c r="DEE817" s="8" t="s">
        <v>3313</v>
      </c>
      <c r="DGA817" s="8" t="s">
        <v>3313</v>
      </c>
      <c r="DNR817" s="8" t="s">
        <v>299</v>
      </c>
      <c r="DUV817" s="8" t="s">
        <v>4530</v>
      </c>
      <c r="FKI817" s="8" t="s">
        <v>14055</v>
      </c>
    </row>
    <row r="818" spans="1:124 1352:2035 2059:3053 3083:3944 4327:4417">
      <c r="A818" s="8" t="s">
        <v>9927</v>
      </c>
      <c r="B818" s="10" t="s">
        <v>14056</v>
      </c>
      <c r="C818" s="8">
        <v>4317.9799999999996</v>
      </c>
      <c r="D818" s="15">
        <v>39.22</v>
      </c>
      <c r="AYZ818" s="8" t="s">
        <v>4495</v>
      </c>
      <c r="BCR818" s="8" t="s">
        <v>286</v>
      </c>
      <c r="BDZ818" s="8" t="s">
        <v>286</v>
      </c>
      <c r="BEN818" s="8" t="s">
        <v>942</v>
      </c>
      <c r="BGJ818" s="8" t="s">
        <v>6340</v>
      </c>
      <c r="BGK818" s="8" t="s">
        <v>4913</v>
      </c>
      <c r="BIF818" s="8" t="s">
        <v>286</v>
      </c>
      <c r="BKB818" s="8" t="s">
        <v>4889</v>
      </c>
      <c r="BKC818" s="8" t="s">
        <v>4889</v>
      </c>
      <c r="BLX818" s="8" t="s">
        <v>4889</v>
      </c>
      <c r="BLY818" s="8" t="s">
        <v>4889</v>
      </c>
      <c r="BPP818" s="8" t="s">
        <v>4495</v>
      </c>
      <c r="BRL818" s="8" t="s">
        <v>4070</v>
      </c>
      <c r="BTH818" s="8" t="s">
        <v>3742</v>
      </c>
      <c r="BWZ818" s="8" t="s">
        <v>3303</v>
      </c>
      <c r="DNO818" s="8" t="s">
        <v>300</v>
      </c>
      <c r="ECF818" s="8" t="s">
        <v>3314</v>
      </c>
      <c r="EEB818" s="8" t="s">
        <v>3314</v>
      </c>
      <c r="ESV818" s="8" t="s">
        <v>4531</v>
      </c>
      <c r="FKW818" s="8" t="s">
        <v>14056</v>
      </c>
    </row>
    <row r="819" spans="1:124 1352:2035 2059:3053 3083:3944 4327:4417">
      <c r="A819" s="8" t="s">
        <v>9927</v>
      </c>
      <c r="B819" s="10" t="s">
        <v>14057</v>
      </c>
      <c r="C819" s="8">
        <v>4325.76</v>
      </c>
      <c r="D819" s="15">
        <v>39.22</v>
      </c>
      <c r="BEN819" s="8" t="s">
        <v>4496</v>
      </c>
      <c r="BGD819" s="8" t="s">
        <v>287</v>
      </c>
      <c r="BGJ819" s="8" t="s">
        <v>287</v>
      </c>
      <c r="BHY819" s="8" t="s">
        <v>4914</v>
      </c>
      <c r="BHZ819" s="8" t="s">
        <v>4914</v>
      </c>
      <c r="BLX819" s="8" t="s">
        <v>6341</v>
      </c>
      <c r="BPP819" s="8" t="s">
        <v>4890</v>
      </c>
      <c r="BPQ819" s="8" t="s">
        <v>4890</v>
      </c>
      <c r="BRL819" s="8" t="s">
        <v>4890</v>
      </c>
      <c r="BRM819" s="8" t="s">
        <v>4890</v>
      </c>
      <c r="BVD819" s="8" t="s">
        <v>4496</v>
      </c>
      <c r="BWZ819" s="8" t="s">
        <v>4071</v>
      </c>
      <c r="BYV819" s="8" t="s">
        <v>3743</v>
      </c>
      <c r="CCN819" s="8" t="s">
        <v>3304</v>
      </c>
      <c r="ELO819" s="8" t="s">
        <v>301</v>
      </c>
      <c r="EPO819" s="8" t="s">
        <v>3315</v>
      </c>
      <c r="ERK819" s="8" t="s">
        <v>3315</v>
      </c>
      <c r="EUR819" s="8" t="s">
        <v>4532</v>
      </c>
      <c r="FLE819" s="8" t="s">
        <v>14057</v>
      </c>
    </row>
    <row r="820" spans="1:124 1352:2035 2059:3053 3083:3944 4327:4417">
      <c r="A820" s="8" t="s">
        <v>9927</v>
      </c>
      <c r="B820" s="10" t="s">
        <v>14058</v>
      </c>
      <c r="C820" s="8">
        <v>4328.78</v>
      </c>
      <c r="D820" s="15">
        <v>39.22</v>
      </c>
      <c r="BGJ820" s="8" t="s">
        <v>6132</v>
      </c>
      <c r="BJM820" s="8" t="s">
        <v>4915</v>
      </c>
      <c r="BJN820" s="8" t="s">
        <v>4915</v>
      </c>
      <c r="BLX820" s="8" t="s">
        <v>288</v>
      </c>
      <c r="BNT820" s="8" t="s">
        <v>6342</v>
      </c>
      <c r="BPP820" s="8" t="s">
        <v>4891</v>
      </c>
      <c r="BPQ820" s="8" t="s">
        <v>4891</v>
      </c>
      <c r="BRL820" s="8" t="s">
        <v>4891</v>
      </c>
      <c r="BRM820" s="8" t="s">
        <v>4891</v>
      </c>
      <c r="BWZ820" s="8" t="s">
        <v>4497</v>
      </c>
      <c r="BYV820" s="8" t="s">
        <v>4230</v>
      </c>
      <c r="CAR820" s="8" t="s">
        <v>3744</v>
      </c>
      <c r="CEJ820" s="8" t="s">
        <v>3305</v>
      </c>
      <c r="EPG820" s="8" t="s">
        <v>302</v>
      </c>
      <c r="EQY820" s="8" t="s">
        <v>3316</v>
      </c>
      <c r="ESU820" s="8" t="s">
        <v>3316</v>
      </c>
      <c r="FLH820" s="8" t="s">
        <v>14058</v>
      </c>
    </row>
    <row r="821" spans="1:124 1352:2035 2059:3053 3083:3944 4327:4417">
      <c r="A821" s="8" t="s">
        <v>9927</v>
      </c>
      <c r="B821" s="10" t="s">
        <v>14059</v>
      </c>
      <c r="C821" s="8">
        <v>4328.78</v>
      </c>
      <c r="D821" s="15">
        <v>39.22</v>
      </c>
      <c r="BIQ821" s="8" t="s">
        <v>4498</v>
      </c>
      <c r="BLA821" s="8" t="s">
        <v>4916</v>
      </c>
      <c r="BLB821" s="8" t="s">
        <v>4916</v>
      </c>
      <c r="BLX821" s="8" t="s">
        <v>289</v>
      </c>
      <c r="BNT821" s="8" t="s">
        <v>943</v>
      </c>
      <c r="BNU821" s="8" t="s">
        <v>289</v>
      </c>
      <c r="BQA821" s="8" t="s">
        <v>6343</v>
      </c>
      <c r="BRL821" s="8" t="s">
        <v>289</v>
      </c>
      <c r="BRZ821" s="8" t="s">
        <v>943</v>
      </c>
      <c r="BTV821" s="8" t="s">
        <v>943</v>
      </c>
      <c r="BZG821" s="8" t="s">
        <v>4498</v>
      </c>
      <c r="CBC821" s="8" t="s">
        <v>4072</v>
      </c>
      <c r="CCY821" s="8" t="s">
        <v>3745</v>
      </c>
      <c r="CGQ821" s="8" t="s">
        <v>3306</v>
      </c>
      <c r="ERE821" s="8" t="s">
        <v>3317</v>
      </c>
      <c r="ETA821" s="8" t="s">
        <v>3317</v>
      </c>
      <c r="FLH821" s="8" t="s">
        <v>14059</v>
      </c>
    </row>
    <row r="822" spans="1:124 1352:2035 2059:3053 3083:3944 4327:4417">
      <c r="A822" s="8" t="s">
        <v>9927</v>
      </c>
      <c r="B822" s="10" t="s">
        <v>14060</v>
      </c>
      <c r="C822" s="8">
        <v>4354.2</v>
      </c>
      <c r="D822" s="15">
        <v>39.22</v>
      </c>
      <c r="BKB822" s="8" t="s">
        <v>4499</v>
      </c>
      <c r="BLO822" s="8" t="s">
        <v>4917</v>
      </c>
      <c r="BLP822" s="8" t="s">
        <v>4917</v>
      </c>
      <c r="BOH822" s="8" t="s">
        <v>290</v>
      </c>
      <c r="BRL822" s="8" t="s">
        <v>6344</v>
      </c>
      <c r="BTH822" s="8" t="s">
        <v>944</v>
      </c>
      <c r="BTV822" s="8" t="s">
        <v>944</v>
      </c>
      <c r="BUA822" s="8" t="s">
        <v>290</v>
      </c>
      <c r="BVD822" s="8" t="s">
        <v>944</v>
      </c>
      <c r="CAR822" s="8" t="s">
        <v>4499</v>
      </c>
      <c r="CCN822" s="8" t="s">
        <v>4073</v>
      </c>
      <c r="CEJ822" s="8" t="s">
        <v>3746</v>
      </c>
      <c r="CIB822" s="8" t="s">
        <v>3307</v>
      </c>
      <c r="ERE822" s="8" t="s">
        <v>3318</v>
      </c>
      <c r="ETA822" s="8" t="s">
        <v>3318</v>
      </c>
      <c r="FMG822" s="8" t="s">
        <v>14060</v>
      </c>
    </row>
    <row r="823" spans="1:124 1352:2035 2059:3053 3083:3944 4327:4417">
      <c r="A823" s="8" t="s">
        <v>9927</v>
      </c>
      <c r="B823" s="10" t="s">
        <v>14061</v>
      </c>
      <c r="C823" s="8">
        <v>4359.92</v>
      </c>
      <c r="D823" s="15">
        <v>39.22</v>
      </c>
      <c r="BKB823" s="8" t="s">
        <v>945</v>
      </c>
      <c r="BKG823" s="8" t="s">
        <v>4500</v>
      </c>
      <c r="BPP823" s="8" t="s">
        <v>291</v>
      </c>
      <c r="BRQ823" s="8" t="s">
        <v>6345</v>
      </c>
      <c r="BVB823" s="8" t="s">
        <v>4918</v>
      </c>
      <c r="BVC823" s="8" t="s">
        <v>4918</v>
      </c>
      <c r="BVD823" s="8" t="s">
        <v>291</v>
      </c>
      <c r="CAW823" s="8" t="s">
        <v>4500</v>
      </c>
      <c r="CCS823" s="8" t="s">
        <v>4074</v>
      </c>
      <c r="CEJ823" s="8" t="s">
        <v>945</v>
      </c>
      <c r="CEO823" s="8" t="s">
        <v>3747</v>
      </c>
      <c r="CGF823" s="8" t="s">
        <v>945</v>
      </c>
      <c r="CIG823" s="8" t="s">
        <v>3308</v>
      </c>
      <c r="FJK823" s="8" t="s">
        <v>3319</v>
      </c>
      <c r="FLG823" s="8" t="s">
        <v>3319</v>
      </c>
      <c r="FMM823" s="8" t="s">
        <v>14061</v>
      </c>
    </row>
    <row r="824" spans="1:124 1352:2035 2059:3053 3083:3944 4327:4417">
      <c r="A824" s="8" t="s">
        <v>9927</v>
      </c>
      <c r="B824" s="10" t="s">
        <v>14062</v>
      </c>
      <c r="C824" s="8">
        <v>4361.9799999999996</v>
      </c>
      <c r="D824" s="15">
        <v>39.22</v>
      </c>
      <c r="BCG824" s="8" t="s">
        <v>11032</v>
      </c>
      <c r="BEC824" s="8" t="s">
        <v>10243</v>
      </c>
      <c r="BKN824" s="8" t="s">
        <v>4501</v>
      </c>
      <c r="BRX824" s="8" t="s">
        <v>6346</v>
      </c>
      <c r="BWI824" s="8" t="s">
        <v>4919</v>
      </c>
      <c r="BWJ824" s="8" t="s">
        <v>4919</v>
      </c>
      <c r="CAR824" s="8" t="s">
        <v>292</v>
      </c>
      <c r="CBD824" s="8" t="s">
        <v>4501</v>
      </c>
      <c r="CCZ824" s="8" t="s">
        <v>4075</v>
      </c>
      <c r="CEJ824" s="8" t="s">
        <v>946</v>
      </c>
      <c r="CEV824" s="8" t="s">
        <v>3748</v>
      </c>
      <c r="CFA824" s="8" t="s">
        <v>292</v>
      </c>
      <c r="CGF824" s="8" t="s">
        <v>292</v>
      </c>
      <c r="CGI824" s="8" t="s">
        <v>946</v>
      </c>
      <c r="CIE824" s="8" t="s">
        <v>946</v>
      </c>
      <c r="CIN824" s="8" t="s">
        <v>3309</v>
      </c>
      <c r="FMO824" s="8" t="s">
        <v>14062</v>
      </c>
    </row>
    <row r="825" spans="1:124 1352:2035 2059:3053 3083:3944 4327:4417">
      <c r="A825" s="8" t="s">
        <v>9927</v>
      </c>
      <c r="B825" s="10" t="s">
        <v>14063</v>
      </c>
      <c r="C825" s="8">
        <v>4364.0200000000004</v>
      </c>
      <c r="D825" s="15">
        <v>39.22</v>
      </c>
      <c r="BCR825" s="8" t="s">
        <v>11033</v>
      </c>
      <c r="BEN825" s="8" t="s">
        <v>10244</v>
      </c>
      <c r="BWZ825" s="8" t="s">
        <v>4502</v>
      </c>
      <c r="BXQ825" s="8" t="s">
        <v>4920</v>
      </c>
      <c r="BXR825" s="8" t="s">
        <v>4920</v>
      </c>
      <c r="CCO825" s="8" t="s">
        <v>293</v>
      </c>
      <c r="CCQ825" s="8" t="s">
        <v>293</v>
      </c>
      <c r="CEJ825" s="8" t="s">
        <v>6347</v>
      </c>
      <c r="CIE825" s="8" t="s">
        <v>293</v>
      </c>
      <c r="CMO825" s="8" t="s">
        <v>947</v>
      </c>
      <c r="CNP825" s="8" t="s">
        <v>4502</v>
      </c>
      <c r="COK825" s="8" t="s">
        <v>947</v>
      </c>
      <c r="CPL825" s="8" t="s">
        <v>4076</v>
      </c>
      <c r="CRH825" s="8" t="s">
        <v>3749</v>
      </c>
      <c r="CUZ825" s="8" t="s">
        <v>3310</v>
      </c>
      <c r="FMQ825" s="8" t="s">
        <v>14063</v>
      </c>
    </row>
    <row r="826" spans="1:124 1352:2035 2059:3053 3083:3944 4327:4417">
      <c r="A826" s="8" t="s">
        <v>9927</v>
      </c>
      <c r="B826" s="10" t="s">
        <v>14064</v>
      </c>
      <c r="C826" s="8">
        <v>4369.7700000000004</v>
      </c>
      <c r="D826" s="15">
        <v>39.22</v>
      </c>
      <c r="BEN826" s="8" t="s">
        <v>11034</v>
      </c>
      <c r="BGJ826" s="8" t="s">
        <v>10245</v>
      </c>
      <c r="BYX826" s="8" t="s">
        <v>4921</v>
      </c>
      <c r="BYY826" s="8" t="s">
        <v>4921</v>
      </c>
      <c r="CCN826" s="8" t="s">
        <v>4503</v>
      </c>
      <c r="CIW826" s="8" t="s">
        <v>294</v>
      </c>
      <c r="CJX826" s="8" t="s">
        <v>6348</v>
      </c>
      <c r="CLZ826" s="8" t="s">
        <v>294</v>
      </c>
      <c r="CMO826" s="8" t="s">
        <v>948</v>
      </c>
      <c r="CNV826" s="8" t="s">
        <v>948</v>
      </c>
      <c r="COK826" s="8" t="s">
        <v>294</v>
      </c>
      <c r="CPR826" s="8" t="s">
        <v>948</v>
      </c>
      <c r="CTD826" s="8" t="s">
        <v>4503</v>
      </c>
      <c r="CUZ826" s="8" t="s">
        <v>4077</v>
      </c>
      <c r="CWV826" s="8" t="s">
        <v>3750</v>
      </c>
      <c r="DAN826" s="8" t="s">
        <v>3311</v>
      </c>
      <c r="FMW826" s="8" t="s">
        <v>14064</v>
      </c>
    </row>
    <row r="827" spans="1:124 1352:2035 2059:3053 3083:3944 4327:4417">
      <c r="A827" s="8" t="s">
        <v>1300</v>
      </c>
      <c r="B827" s="10" t="s">
        <v>11020</v>
      </c>
      <c r="C827" s="8">
        <v>-197.61</v>
      </c>
      <c r="D827" s="15">
        <v>38.369999999999997</v>
      </c>
      <c r="H827" s="8" t="s">
        <v>11020</v>
      </c>
      <c r="BGJ827" s="8" t="s">
        <v>11035</v>
      </c>
      <c r="BIF827" s="8" t="s">
        <v>10246</v>
      </c>
      <c r="CAE827" s="8" t="s">
        <v>4922</v>
      </c>
      <c r="CAF827" s="8" t="s">
        <v>4922</v>
      </c>
      <c r="CEJ827" s="8" t="s">
        <v>4504</v>
      </c>
      <c r="CKD827" s="8" t="s">
        <v>295</v>
      </c>
      <c r="CKE827" s="8" t="s">
        <v>295</v>
      </c>
      <c r="CLT827" s="8" t="s">
        <v>6349</v>
      </c>
      <c r="CPR827" s="8" t="s">
        <v>295</v>
      </c>
      <c r="CSH827" s="8" t="s">
        <v>949</v>
      </c>
      <c r="CUD827" s="8" t="s">
        <v>949</v>
      </c>
      <c r="CUZ827" s="8" t="s">
        <v>4504</v>
      </c>
      <c r="CWV827" s="8" t="s">
        <v>4078</v>
      </c>
      <c r="CYR827" s="8" t="s">
        <v>3751</v>
      </c>
      <c r="DCJ827" s="8" t="s">
        <v>3312</v>
      </c>
    </row>
    <row r="828" spans="1:124 1352:2035 2059:3053 3083:3944 4327:4417">
      <c r="A828" s="8" t="s">
        <v>1300</v>
      </c>
      <c r="B828" s="10" t="s">
        <v>14065</v>
      </c>
      <c r="C828" s="8">
        <v>-47</v>
      </c>
      <c r="D828" s="15">
        <v>40.39</v>
      </c>
      <c r="H828" s="8" t="s">
        <v>14065</v>
      </c>
      <c r="BKB828" s="8" t="s">
        <v>11036</v>
      </c>
      <c r="BLX828" s="8" t="s">
        <v>10247</v>
      </c>
      <c r="CBM828" s="8" t="s">
        <v>4923</v>
      </c>
      <c r="CBN828" s="8" t="s">
        <v>4923</v>
      </c>
      <c r="CFD828" s="8" t="s">
        <v>296</v>
      </c>
      <c r="CFJ828" s="8" t="s">
        <v>950</v>
      </c>
      <c r="CGE828" s="8" t="s">
        <v>4505</v>
      </c>
      <c r="CNO828" s="8" t="s">
        <v>6350</v>
      </c>
      <c r="COP828" s="8" t="s">
        <v>296</v>
      </c>
      <c r="CUD828" s="8" t="s">
        <v>296</v>
      </c>
      <c r="CWU828" s="8" t="s">
        <v>4505</v>
      </c>
      <c r="CYQ828" s="8" t="s">
        <v>4079</v>
      </c>
      <c r="DAM828" s="8" t="s">
        <v>3752</v>
      </c>
      <c r="DEE828" s="8" t="s">
        <v>3313</v>
      </c>
      <c r="DHZ828" s="8" t="s">
        <v>950</v>
      </c>
      <c r="DJV828" s="8" t="s">
        <v>950</v>
      </c>
    </row>
    <row r="829" spans="1:124 1352:2035 2059:3053 3083:3944 4327:4417">
      <c r="A829" s="8" t="s">
        <v>1300</v>
      </c>
      <c r="B829" s="10" t="s">
        <v>11055</v>
      </c>
      <c r="C829" s="8">
        <v>-5.61</v>
      </c>
      <c r="D829" s="15">
        <v>20.2</v>
      </c>
      <c r="W829" s="8" t="s">
        <v>11055</v>
      </c>
      <c r="BBU829" s="8" t="s">
        <v>297</v>
      </c>
      <c r="BCS829" s="8" t="s">
        <v>297</v>
      </c>
      <c r="BDQ829" s="8" t="s">
        <v>951</v>
      </c>
      <c r="BLX829" s="8" t="s">
        <v>11037</v>
      </c>
      <c r="BNT829" s="8" t="s">
        <v>10248</v>
      </c>
      <c r="CCT829" s="8" t="s">
        <v>4924</v>
      </c>
      <c r="CCU829" s="8" t="s">
        <v>4924</v>
      </c>
      <c r="DEF829" s="8" t="s">
        <v>4506</v>
      </c>
      <c r="DEH829" s="8" t="s">
        <v>297</v>
      </c>
      <c r="DJG829" s="8" t="s">
        <v>951</v>
      </c>
      <c r="DJV829" s="8" t="s">
        <v>951</v>
      </c>
      <c r="DLC829" s="8" t="s">
        <v>951</v>
      </c>
      <c r="DLP829" s="8" t="s">
        <v>6351</v>
      </c>
      <c r="DUV829" s="8" t="s">
        <v>4506</v>
      </c>
      <c r="DWR829" s="8" t="s">
        <v>4080</v>
      </c>
      <c r="DYN829" s="8" t="s">
        <v>3753</v>
      </c>
      <c r="ECF829" s="8" t="s">
        <v>3314</v>
      </c>
    </row>
    <row r="830" spans="1:124 1352:2035 2059:3053 3083:3944 4327:4417">
      <c r="A830" s="8" t="s">
        <v>1300</v>
      </c>
      <c r="B830" s="10" t="s">
        <v>11021</v>
      </c>
      <c r="C830" s="8">
        <v>15.59</v>
      </c>
      <c r="D830" s="15">
        <v>40.39</v>
      </c>
      <c r="BL830" s="8" t="s">
        <v>11021</v>
      </c>
      <c r="BCL830" s="8" t="s">
        <v>298</v>
      </c>
      <c r="BDJ830" s="8" t="s">
        <v>298</v>
      </c>
      <c r="BEH830" s="8" t="s">
        <v>952</v>
      </c>
      <c r="BTH830" s="8" t="s">
        <v>11038</v>
      </c>
      <c r="BVD830" s="8" t="s">
        <v>10249</v>
      </c>
      <c r="CIB830" s="8" t="s">
        <v>4925</v>
      </c>
      <c r="CIC830" s="8" t="s">
        <v>4925</v>
      </c>
      <c r="DFO830" s="8" t="s">
        <v>298</v>
      </c>
      <c r="DIS830" s="8" t="s">
        <v>298</v>
      </c>
      <c r="DJG830" s="8" t="s">
        <v>952</v>
      </c>
      <c r="DKO830" s="8" t="s">
        <v>952</v>
      </c>
      <c r="DLC830" s="8" t="s">
        <v>298</v>
      </c>
      <c r="DMK830" s="8" t="s">
        <v>952</v>
      </c>
      <c r="DRO830" s="8" t="s">
        <v>4507</v>
      </c>
      <c r="DYY830" s="8" t="s">
        <v>6352</v>
      </c>
      <c r="EIE830" s="8" t="s">
        <v>4507</v>
      </c>
      <c r="EKA830" s="8" t="s">
        <v>4081</v>
      </c>
      <c r="ELW830" s="8" t="s">
        <v>3754</v>
      </c>
      <c r="EPO830" s="8" t="s">
        <v>3315</v>
      </c>
    </row>
    <row r="831" spans="1:124 1352:2035 2059:3053 3083:3944 4327:4417">
      <c r="A831" s="8" t="s">
        <v>1300</v>
      </c>
      <c r="B831" s="10" t="s">
        <v>14066</v>
      </c>
      <c r="C831" s="8">
        <v>56.98</v>
      </c>
      <c r="D831" s="15">
        <v>40.39</v>
      </c>
      <c r="DA831" s="8" t="s">
        <v>14066</v>
      </c>
      <c r="BDB831" s="8" t="s">
        <v>299</v>
      </c>
      <c r="BDZ831" s="8" t="s">
        <v>299</v>
      </c>
      <c r="BEX831" s="8" t="s">
        <v>953</v>
      </c>
      <c r="BVD831" s="8" t="s">
        <v>11039</v>
      </c>
      <c r="BWZ831" s="8" t="s">
        <v>10250</v>
      </c>
      <c r="DGW831" s="8" t="s">
        <v>299</v>
      </c>
      <c r="DJT831" s="8" t="s">
        <v>4926</v>
      </c>
      <c r="DJU831" s="8" t="s">
        <v>4926</v>
      </c>
      <c r="DJZ831" s="8" t="s">
        <v>299</v>
      </c>
      <c r="DKO831" s="8" t="s">
        <v>953</v>
      </c>
      <c r="DLV831" s="8" t="s">
        <v>953</v>
      </c>
      <c r="DMK831" s="8" t="s">
        <v>299</v>
      </c>
      <c r="DNR831" s="8" t="s">
        <v>953</v>
      </c>
      <c r="DSY831" s="8" t="s">
        <v>4508</v>
      </c>
      <c r="EAI831" s="8" t="s">
        <v>6353</v>
      </c>
      <c r="EJO831" s="8" t="s">
        <v>4508</v>
      </c>
      <c r="ELK831" s="8" t="s">
        <v>4082</v>
      </c>
      <c r="ENG831" s="8" t="s">
        <v>3755</v>
      </c>
      <c r="EQY831" s="8" t="s">
        <v>3316</v>
      </c>
    </row>
    <row r="832" spans="1:124 1352:2035 2059:3053 3083:3944 4327:4417">
      <c r="A832" s="8" t="s">
        <v>1300</v>
      </c>
      <c r="B832" s="10" t="s">
        <v>11022</v>
      </c>
      <c r="C832" s="8">
        <v>98.37</v>
      </c>
      <c r="D832" s="15">
        <v>18.13</v>
      </c>
      <c r="DT832" s="8" t="s">
        <v>11022</v>
      </c>
      <c r="BDS832" s="8" t="s">
        <v>300</v>
      </c>
      <c r="BEQ832" s="8" t="s">
        <v>300</v>
      </c>
      <c r="BFO832" s="8" t="s">
        <v>954</v>
      </c>
      <c r="BXF832" s="8" t="s">
        <v>11040</v>
      </c>
      <c r="BZB832" s="8" t="s">
        <v>10251</v>
      </c>
      <c r="DID832" s="8" t="s">
        <v>300</v>
      </c>
      <c r="DLS832" s="8" t="s">
        <v>954</v>
      </c>
      <c r="DNO832" s="8" t="s">
        <v>954</v>
      </c>
      <c r="DNR832" s="8" t="s">
        <v>954</v>
      </c>
      <c r="DOI832" s="8" t="s">
        <v>300</v>
      </c>
      <c r="DTE832" s="8" t="s">
        <v>4509</v>
      </c>
      <c r="EAO832" s="8" t="s">
        <v>6354</v>
      </c>
      <c r="ECW832" s="8" t="s">
        <v>4927</v>
      </c>
      <c r="ECX832" s="8" t="s">
        <v>4927</v>
      </c>
      <c r="EJU832" s="8" t="s">
        <v>4509</v>
      </c>
      <c r="ELQ832" s="8" t="s">
        <v>4083</v>
      </c>
      <c r="ENM832" s="8" t="s">
        <v>3756</v>
      </c>
      <c r="ERE832" s="8" t="s">
        <v>3317</v>
      </c>
    </row>
    <row r="833" spans="1:1016 1293:2023 2069:2986 3083:3895 4135:4327 7660:7691">
      <c r="A833" s="8" t="s">
        <v>1300</v>
      </c>
      <c r="B833" s="10" t="s">
        <v>11024</v>
      </c>
      <c r="C833" s="8">
        <v>117.5</v>
      </c>
      <c r="D833" s="15">
        <v>40.39</v>
      </c>
      <c r="FJ833" s="8" t="s">
        <v>11024</v>
      </c>
      <c r="AYW833" s="8" t="s">
        <v>3320</v>
      </c>
      <c r="BAS833" s="8" t="s">
        <v>3320</v>
      </c>
      <c r="BDQ833" s="8" t="s">
        <v>301</v>
      </c>
      <c r="BEO833" s="8" t="s">
        <v>301</v>
      </c>
      <c r="BFM833" s="8" t="s">
        <v>955</v>
      </c>
      <c r="CKD833" s="8" t="s">
        <v>11041</v>
      </c>
      <c r="CLZ833" s="8" t="s">
        <v>10252</v>
      </c>
      <c r="CPO833" s="8" t="s">
        <v>955</v>
      </c>
      <c r="DIA833" s="8" t="s">
        <v>301</v>
      </c>
      <c r="DNO833" s="8" t="s">
        <v>301</v>
      </c>
      <c r="DTE833" s="8" t="s">
        <v>4510</v>
      </c>
      <c r="EAO833" s="8" t="s">
        <v>6355</v>
      </c>
      <c r="EED833" s="8" t="s">
        <v>4928</v>
      </c>
      <c r="EEE833" s="8" t="s">
        <v>4928</v>
      </c>
      <c r="EJS833" s="8" t="s">
        <v>955</v>
      </c>
      <c r="EJU833" s="8" t="s">
        <v>4510</v>
      </c>
      <c r="ELO833" s="8" t="s">
        <v>955</v>
      </c>
      <c r="ELQ833" s="8" t="s">
        <v>4084</v>
      </c>
      <c r="ENM833" s="8" t="s">
        <v>3757</v>
      </c>
      <c r="ERE833" s="8" t="s">
        <v>3318</v>
      </c>
    </row>
    <row r="834" spans="1:1016 1293:2023 2069:2986 3083:3895 4135:4327 7660:7691">
      <c r="A834" s="8" t="s">
        <v>1300</v>
      </c>
      <c r="B834" s="10" t="s">
        <v>11023</v>
      </c>
      <c r="C834" s="8">
        <v>158.88999999999999</v>
      </c>
      <c r="D834" s="15">
        <v>40.39</v>
      </c>
      <c r="GY834" s="8" t="s">
        <v>11023</v>
      </c>
      <c r="AZQ834" s="8" t="s">
        <v>3321</v>
      </c>
      <c r="BBM834" s="8" t="s">
        <v>3321</v>
      </c>
      <c r="BPQ834" s="8" t="s">
        <v>302</v>
      </c>
      <c r="BQO834" s="8" t="s">
        <v>302</v>
      </c>
      <c r="BRM834" s="8" t="s">
        <v>956</v>
      </c>
      <c r="BWP834" s="8" t="s">
        <v>1323</v>
      </c>
      <c r="BYL834" s="8" t="s">
        <v>1323</v>
      </c>
      <c r="CLT834" s="8" t="s">
        <v>11042</v>
      </c>
      <c r="CNP834" s="8" t="s">
        <v>10253</v>
      </c>
      <c r="EFK834" s="8" t="s">
        <v>4929</v>
      </c>
      <c r="EFL834" s="8" t="s">
        <v>4929</v>
      </c>
      <c r="EGA834" s="8" t="s">
        <v>302</v>
      </c>
      <c r="EHW834" s="8" t="s">
        <v>956</v>
      </c>
      <c r="ELK834" s="8" t="s">
        <v>4511</v>
      </c>
      <c r="ELO834" s="8" t="s">
        <v>302</v>
      </c>
      <c r="ENK834" s="8" t="s">
        <v>956</v>
      </c>
      <c r="EPG834" s="8" t="s">
        <v>956</v>
      </c>
      <c r="ESU834" s="8" t="s">
        <v>6356</v>
      </c>
      <c r="FCA834" s="8" t="s">
        <v>4511</v>
      </c>
      <c r="FDW834" s="8" t="s">
        <v>4085</v>
      </c>
      <c r="FFS834" s="8" t="s">
        <v>3758</v>
      </c>
      <c r="FJK834" s="8" t="s">
        <v>3319</v>
      </c>
    </row>
    <row r="835" spans="1:1016 1293:2023 2069:2986 3083:3895 4135:4327 7660:7691">
      <c r="A835" s="8" t="s">
        <v>1300</v>
      </c>
      <c r="B835" s="10" t="s">
        <v>14067</v>
      </c>
      <c r="C835" s="8">
        <v>200.28</v>
      </c>
      <c r="D835" s="15">
        <v>40.39</v>
      </c>
      <c r="IO835" s="8" t="s">
        <v>14067</v>
      </c>
      <c r="BAV835" s="8" t="s">
        <v>3322</v>
      </c>
      <c r="BCR835" s="8" t="s">
        <v>3322</v>
      </c>
      <c r="BRM835" s="8" t="s">
        <v>303</v>
      </c>
      <c r="BSK835" s="8" t="s">
        <v>303</v>
      </c>
      <c r="BTI835" s="8" t="s">
        <v>1269</v>
      </c>
      <c r="CLU835" s="8" t="s">
        <v>273</v>
      </c>
      <c r="CNP835" s="8" t="s">
        <v>11043</v>
      </c>
      <c r="CNQ835" s="8" t="s">
        <v>273</v>
      </c>
      <c r="CPL835" s="8" t="s">
        <v>10254</v>
      </c>
      <c r="EGS835" s="8" t="s">
        <v>4930</v>
      </c>
      <c r="EGT835" s="8" t="s">
        <v>4930</v>
      </c>
      <c r="EJS835" s="8" t="s">
        <v>303</v>
      </c>
      <c r="EPG835" s="8" t="s">
        <v>303</v>
      </c>
      <c r="KHP835" s="8" t="s">
        <v>303</v>
      </c>
      <c r="KIU835" s="8" t="s">
        <v>1269</v>
      </c>
    </row>
    <row r="836" spans="1:1016 1293:2023 2069:2986 3083:3895 4135:4327 7660:7691">
      <c r="A836" s="8" t="s">
        <v>1300</v>
      </c>
      <c r="B836" s="10" t="s">
        <v>11025</v>
      </c>
      <c r="C836" s="8">
        <v>241.68</v>
      </c>
      <c r="D836" s="15">
        <v>40.39</v>
      </c>
      <c r="KD836" s="8" t="s">
        <v>11025</v>
      </c>
      <c r="AYZ836" s="8" t="s">
        <v>284</v>
      </c>
      <c r="BCT836" s="8" t="s">
        <v>3323</v>
      </c>
      <c r="BEP836" s="8" t="s">
        <v>3323</v>
      </c>
      <c r="CPL836" s="8" t="s">
        <v>11044</v>
      </c>
      <c r="CRH836" s="8" t="s">
        <v>10255</v>
      </c>
      <c r="EFX836" s="8" t="s">
        <v>4931</v>
      </c>
      <c r="EFY836" s="8" t="s">
        <v>4931</v>
      </c>
    </row>
    <row r="837" spans="1:1016 1293:2023 2069:2986 3083:3895 4135:4327 7660:7691">
      <c r="A837" s="8" t="s">
        <v>1300</v>
      </c>
      <c r="B837" s="10" t="s">
        <v>11026</v>
      </c>
      <c r="C837" s="8">
        <v>283.07</v>
      </c>
      <c r="D837" s="15">
        <v>29.41</v>
      </c>
      <c r="LH837" s="8" t="s">
        <v>11026</v>
      </c>
      <c r="BEN837" s="8" t="s">
        <v>3324</v>
      </c>
      <c r="BGJ837" s="8" t="s">
        <v>3324</v>
      </c>
      <c r="BIF837" s="8" t="s">
        <v>285</v>
      </c>
      <c r="CRH837" s="8" t="s">
        <v>11045</v>
      </c>
      <c r="CTD837" s="8" t="s">
        <v>10256</v>
      </c>
      <c r="EHZ837" s="8" t="s">
        <v>4932</v>
      </c>
      <c r="EIA837" s="8" t="s">
        <v>4932</v>
      </c>
    </row>
    <row r="838" spans="1:1016 1293:2023 2069:2986 3083:3895 4135:4327 7660:7691">
      <c r="A838" s="8" t="s">
        <v>1300</v>
      </c>
      <c r="B838" s="10" t="s">
        <v>14068</v>
      </c>
      <c r="C838" s="8">
        <v>321.74</v>
      </c>
      <c r="D838" s="15">
        <v>20.2</v>
      </c>
      <c r="ML838" s="8" t="s">
        <v>14068</v>
      </c>
      <c r="AZL838" s="17" t="s">
        <v>2494</v>
      </c>
      <c r="BER838" s="8" t="s">
        <v>3325</v>
      </c>
      <c r="BGN838" s="8" t="s">
        <v>3325</v>
      </c>
      <c r="BLX838" s="8" t="s">
        <v>286</v>
      </c>
      <c r="CTD838" s="8" t="s">
        <v>11046</v>
      </c>
      <c r="CUZ838" s="8" t="s">
        <v>10257</v>
      </c>
    </row>
    <row r="839" spans="1:1016 1293:2023 2069:2986 3083:3895 4135:4327 7660:7691">
      <c r="A839" s="8" t="s">
        <v>1300</v>
      </c>
      <c r="B839" s="10" t="s">
        <v>14069</v>
      </c>
      <c r="C839" s="8">
        <v>342.94</v>
      </c>
      <c r="D839" s="15">
        <v>30.29</v>
      </c>
      <c r="NQ839" s="8" t="s">
        <v>14069</v>
      </c>
      <c r="AYW839" s="8" t="s">
        <v>3320</v>
      </c>
      <c r="BAL839" s="8" t="s">
        <v>2495</v>
      </c>
      <c r="BGJ839" s="8" t="s">
        <v>3326</v>
      </c>
      <c r="BIF839" s="8" t="s">
        <v>3326</v>
      </c>
      <c r="BRL839" s="8" t="s">
        <v>287</v>
      </c>
      <c r="DPP839" s="8" t="s">
        <v>11047</v>
      </c>
      <c r="DRL839" s="8" t="s">
        <v>10258</v>
      </c>
    </row>
    <row r="840" spans="1:1016 1293:2023 2069:2986 3083:3895 4135:4327 7660:7691">
      <c r="A840" s="8" t="s">
        <v>1300</v>
      </c>
      <c r="B840" s="10" t="s">
        <v>11027</v>
      </c>
      <c r="C840" s="8">
        <v>374.57</v>
      </c>
      <c r="D840" s="15">
        <v>29.41</v>
      </c>
      <c r="OV840" s="8" t="s">
        <v>11027</v>
      </c>
      <c r="AYZ840" s="8" t="s">
        <v>3321</v>
      </c>
      <c r="AZN840" s="8" t="s">
        <v>2801</v>
      </c>
      <c r="BBJ840" s="8" t="s">
        <v>2496</v>
      </c>
      <c r="BIF840" s="8" t="s">
        <v>3327</v>
      </c>
      <c r="BKB840" s="8" t="s">
        <v>3327</v>
      </c>
      <c r="BRL840" s="8" t="s">
        <v>288</v>
      </c>
      <c r="DRD840" s="8" t="s">
        <v>11048</v>
      </c>
      <c r="DSZ840" s="8" t="s">
        <v>10259</v>
      </c>
    </row>
    <row r="841" spans="1:1016 1293:2023 2069:2986 3083:3895 4135:4327 7660:7691">
      <c r="A841" s="8" t="s">
        <v>1300</v>
      </c>
      <c r="B841" s="10" t="s">
        <v>11028</v>
      </c>
      <c r="C841" s="8">
        <v>632.78</v>
      </c>
      <c r="D841" s="15">
        <v>39.22</v>
      </c>
      <c r="ZD841" s="8" t="s">
        <v>11028</v>
      </c>
      <c r="BAM841" s="8" t="s">
        <v>2802</v>
      </c>
      <c r="BAV841" s="8" t="s">
        <v>3322</v>
      </c>
      <c r="BCI841" s="8" t="s">
        <v>2497</v>
      </c>
      <c r="BPP841" s="8" t="s">
        <v>3328</v>
      </c>
      <c r="BRL841" s="8" t="s">
        <v>3328</v>
      </c>
      <c r="BTV841" s="8" t="s">
        <v>289</v>
      </c>
      <c r="ECF841" s="8" t="s">
        <v>11049</v>
      </c>
      <c r="EEB841" s="8" t="s">
        <v>10260</v>
      </c>
    </row>
    <row r="842" spans="1:1016 1293:2023 2069:2986 3083:3895 4135:4327 7660:7691">
      <c r="A842" s="8" t="s">
        <v>1300</v>
      </c>
      <c r="B842" s="10" t="s">
        <v>11029</v>
      </c>
      <c r="C842" s="8">
        <v>632.78</v>
      </c>
      <c r="D842" s="15">
        <v>39.22</v>
      </c>
      <c r="ZD842" s="8" t="s">
        <v>11029</v>
      </c>
      <c r="AZB842" s="8" t="s">
        <v>3878</v>
      </c>
      <c r="BBK842" s="8" t="s">
        <v>2803</v>
      </c>
      <c r="BCT842" s="8" t="s">
        <v>3323</v>
      </c>
      <c r="BDG842" s="8" t="s">
        <v>2498</v>
      </c>
      <c r="BPP842" s="8" t="s">
        <v>3329</v>
      </c>
      <c r="BRL842" s="8" t="s">
        <v>3329</v>
      </c>
      <c r="BVD842" s="8" t="s">
        <v>290</v>
      </c>
      <c r="EEB842" s="8" t="s">
        <v>11050</v>
      </c>
      <c r="EFX842" s="8" t="s">
        <v>10261</v>
      </c>
    </row>
    <row r="843" spans="1:1016 1293:2023 2069:2986 3083:3895 4135:4327 7660:7691">
      <c r="A843" s="8" t="s">
        <v>1300</v>
      </c>
      <c r="B843" s="10" t="s">
        <v>14070</v>
      </c>
      <c r="C843" s="8">
        <v>871.61</v>
      </c>
      <c r="D843" s="15">
        <v>40.39</v>
      </c>
      <c r="AIJ843" s="8" t="s">
        <v>14070</v>
      </c>
      <c r="AYZ843" s="8" t="s">
        <v>4231</v>
      </c>
      <c r="AZQ843" s="8" t="s">
        <v>4533</v>
      </c>
      <c r="BAV843" s="8" t="s">
        <v>3759</v>
      </c>
      <c r="BDG843" s="8" t="s">
        <v>2804</v>
      </c>
      <c r="BEN843" s="8" t="s">
        <v>3324</v>
      </c>
      <c r="BFC843" s="8" t="s">
        <v>2499</v>
      </c>
      <c r="BPP843" s="8" t="s">
        <v>3330</v>
      </c>
      <c r="BRL843" s="8" t="s">
        <v>3330</v>
      </c>
      <c r="CGF843" s="8" t="s">
        <v>291</v>
      </c>
    </row>
    <row r="844" spans="1:1016 1293:2023 2069:2986 3083:3895 4135:4327 7660:7691">
      <c r="A844" s="8" t="s">
        <v>1300</v>
      </c>
      <c r="B844" s="10" t="s">
        <v>11030</v>
      </c>
      <c r="C844" s="8">
        <v>995.24</v>
      </c>
      <c r="D844" s="15">
        <v>1.96</v>
      </c>
      <c r="ALQ844" s="8" t="s">
        <v>11030</v>
      </c>
      <c r="AYZ844" s="8" t="s">
        <v>286</v>
      </c>
      <c r="AZD844" s="8" t="s">
        <v>4086</v>
      </c>
      <c r="BAZ844" s="8" t="s">
        <v>3760</v>
      </c>
      <c r="BBJ844" s="8" t="s">
        <v>4534</v>
      </c>
      <c r="BDT844" s="8" t="s">
        <v>2805</v>
      </c>
      <c r="BER844" s="8" t="s">
        <v>3325</v>
      </c>
      <c r="BFP844" s="8" t="s">
        <v>2500</v>
      </c>
      <c r="BRL844" s="8" t="s">
        <v>3331</v>
      </c>
      <c r="BTH844" s="8" t="s">
        <v>3331</v>
      </c>
      <c r="CIE844" s="8" t="s">
        <v>292</v>
      </c>
    </row>
    <row r="845" spans="1:1016 1293:2023 2069:2986 3083:3895 4135:4327 7660:7691">
      <c r="A845" s="8" t="s">
        <v>1300</v>
      </c>
      <c r="B845" s="10" t="s">
        <v>11031</v>
      </c>
      <c r="C845" s="8">
        <v>998.2</v>
      </c>
      <c r="D845" s="15">
        <v>9.8000000000000007</v>
      </c>
      <c r="AMB845" s="8" t="s">
        <v>11031</v>
      </c>
      <c r="AYZ845" s="8" t="s">
        <v>4512</v>
      </c>
      <c r="AZP845" s="8" t="s">
        <v>5591</v>
      </c>
      <c r="BAV845" s="8" t="s">
        <v>4232</v>
      </c>
      <c r="BBK845" s="8" t="s">
        <v>4911</v>
      </c>
      <c r="BBL845" s="8" t="s">
        <v>4911</v>
      </c>
      <c r="BBM845" s="8" t="s">
        <v>4911</v>
      </c>
      <c r="BCR845" s="8" t="s">
        <v>3497</v>
      </c>
      <c r="BDC845" s="8" t="s">
        <v>4535</v>
      </c>
      <c r="BGJ845" s="8" t="s">
        <v>3326</v>
      </c>
      <c r="BIF845" s="8" t="s">
        <v>2806</v>
      </c>
      <c r="BKB845" s="8" t="s">
        <v>2501</v>
      </c>
      <c r="BTH845" s="8" t="s">
        <v>3332</v>
      </c>
      <c r="BVD845" s="8" t="s">
        <v>3332</v>
      </c>
      <c r="COK845" s="8" t="s">
        <v>293</v>
      </c>
    </row>
    <row r="846" spans="1:1016 1293:2023 2069:2986 3083:3895 4135:4327 7660:7691">
      <c r="A846" s="8" t="s">
        <v>1300</v>
      </c>
      <c r="B846" s="10" t="s">
        <v>11032</v>
      </c>
      <c r="C846" s="8">
        <v>1275.3900000000001</v>
      </c>
      <c r="D846" s="15">
        <v>9.8000000000000007</v>
      </c>
      <c r="AWS846" s="8" t="s">
        <v>11032</v>
      </c>
      <c r="AYZ846" s="8" t="s">
        <v>287</v>
      </c>
      <c r="BAV846" s="8" t="s">
        <v>4513</v>
      </c>
      <c r="BBD846" s="8" t="s">
        <v>5592</v>
      </c>
      <c r="BCR846" s="8" t="s">
        <v>4087</v>
      </c>
      <c r="BCY846" s="8" t="s">
        <v>4912</v>
      </c>
      <c r="BCZ846" s="8" t="s">
        <v>4912</v>
      </c>
      <c r="BDA846" s="8" t="s">
        <v>4912</v>
      </c>
      <c r="BEI846" s="8" t="s">
        <v>4653</v>
      </c>
      <c r="BEN846" s="8" t="s">
        <v>3498</v>
      </c>
      <c r="BIF846" s="8" t="s">
        <v>3327</v>
      </c>
      <c r="BNT846" s="8" t="s">
        <v>2807</v>
      </c>
      <c r="BPP846" s="8" t="s">
        <v>2502</v>
      </c>
      <c r="BSZ846" s="8" t="s">
        <v>3333</v>
      </c>
      <c r="BUV846" s="8" t="s">
        <v>3333</v>
      </c>
      <c r="CPR846" s="8" t="s">
        <v>294</v>
      </c>
    </row>
    <row r="847" spans="1:1016 1293:2023 2069:2986 3083:3895 4135:4327 7660:7691">
      <c r="A847" s="8" t="s">
        <v>1300</v>
      </c>
      <c r="B847" s="10" t="s">
        <v>11033</v>
      </c>
      <c r="C847" s="8">
        <v>1286.2</v>
      </c>
      <c r="D847" s="15">
        <v>9.8000000000000007</v>
      </c>
      <c r="AXD847" s="8" t="s">
        <v>11033</v>
      </c>
      <c r="AYZ847" s="8" t="s">
        <v>6357</v>
      </c>
      <c r="BCR847" s="8" t="s">
        <v>5379</v>
      </c>
      <c r="BEM847" s="8" t="s">
        <v>4913</v>
      </c>
      <c r="BEN847" s="8" t="s">
        <v>4913</v>
      </c>
      <c r="BEO847" s="8" t="s">
        <v>4913</v>
      </c>
      <c r="BEV847" s="8" t="s">
        <v>4654</v>
      </c>
      <c r="BGJ847" s="8" t="s">
        <v>288</v>
      </c>
      <c r="BIF847" s="8" t="s">
        <v>4514</v>
      </c>
      <c r="BKB847" s="8" t="s">
        <v>4088</v>
      </c>
      <c r="BLX847" s="8" t="s">
        <v>3761</v>
      </c>
      <c r="BPP847" s="8" t="s">
        <v>3328</v>
      </c>
      <c r="BTH847" s="8" t="s">
        <v>2955</v>
      </c>
      <c r="BVD847" s="8" t="s">
        <v>2503</v>
      </c>
      <c r="BWY847" s="8" t="s">
        <v>3334</v>
      </c>
      <c r="BYU847" s="8" t="s">
        <v>3334</v>
      </c>
      <c r="CUD847" s="8" t="s">
        <v>295</v>
      </c>
    </row>
    <row r="848" spans="1:1016 1293:2023 2069:2986 3083:3895 4135:4327 7660:7691">
      <c r="A848" s="8" t="s">
        <v>1300</v>
      </c>
      <c r="B848" s="10" t="s">
        <v>11034</v>
      </c>
      <c r="C848" s="8">
        <v>1304.78</v>
      </c>
      <c r="D848" s="15">
        <v>39.22</v>
      </c>
      <c r="AYZ848" s="8" t="s">
        <v>11034</v>
      </c>
      <c r="BCR848" s="8" t="s">
        <v>289</v>
      </c>
      <c r="BEF848" s="8" t="s">
        <v>5593</v>
      </c>
      <c r="BEG848" s="8" t="s">
        <v>5593</v>
      </c>
      <c r="BEN848" s="8" t="s">
        <v>289</v>
      </c>
      <c r="BGB848" s="8" t="s">
        <v>4914</v>
      </c>
      <c r="BGD848" s="8" t="s">
        <v>4914</v>
      </c>
      <c r="BGJ848" s="8" t="s">
        <v>289</v>
      </c>
      <c r="BGO848" s="8" t="s">
        <v>4537</v>
      </c>
      <c r="BIF848" s="8" t="s">
        <v>4515</v>
      </c>
      <c r="BKB848" s="8" t="s">
        <v>4233</v>
      </c>
      <c r="BLX848" s="8" t="s">
        <v>3762</v>
      </c>
      <c r="BPP848" s="8" t="s">
        <v>3329</v>
      </c>
      <c r="BVC848" s="8" t="s">
        <v>2808</v>
      </c>
      <c r="BWY848" s="8" t="s">
        <v>2504</v>
      </c>
      <c r="CAO848" s="8" t="s">
        <v>3335</v>
      </c>
      <c r="CCK848" s="8" t="s">
        <v>3335</v>
      </c>
      <c r="DJV848" s="8" t="s">
        <v>296</v>
      </c>
    </row>
    <row r="849" spans="1:4 1351:2046 2050:3053 3083:4088 4136:4184">
      <c r="A849" s="8" t="s">
        <v>1300</v>
      </c>
      <c r="B849" s="10" t="s">
        <v>14071</v>
      </c>
      <c r="C849" s="8">
        <v>1357.67</v>
      </c>
      <c r="D849" s="15">
        <v>34.33</v>
      </c>
      <c r="AYZ849" s="8" t="s">
        <v>6358</v>
      </c>
      <c r="AZN849" s="8" t="s">
        <v>2001</v>
      </c>
      <c r="BAV849" s="8" t="s">
        <v>14071</v>
      </c>
      <c r="BBJ849" s="8" t="s">
        <v>1569</v>
      </c>
      <c r="BFB849" s="8" t="s">
        <v>290</v>
      </c>
      <c r="BFT849" s="8" t="s">
        <v>5594</v>
      </c>
      <c r="BFU849" s="8" t="s">
        <v>5594</v>
      </c>
      <c r="BGX849" s="8" t="s">
        <v>290</v>
      </c>
      <c r="BHP849" s="8" t="s">
        <v>4915</v>
      </c>
      <c r="BHQ849" s="8" t="s">
        <v>4915</v>
      </c>
      <c r="BHR849" s="8" t="s">
        <v>4915</v>
      </c>
      <c r="BIF849" s="8" t="s">
        <v>4516</v>
      </c>
      <c r="BIH849" s="8" t="s">
        <v>4538</v>
      </c>
      <c r="BIT849" s="8" t="s">
        <v>290</v>
      </c>
      <c r="BKB849" s="8" t="s">
        <v>4089</v>
      </c>
      <c r="BKP849" s="8" t="s">
        <v>290</v>
      </c>
      <c r="BLX849" s="8" t="s">
        <v>3763</v>
      </c>
      <c r="BPP849" s="8" t="s">
        <v>3330</v>
      </c>
      <c r="CAR849" s="8" t="s">
        <v>2809</v>
      </c>
      <c r="CCN849" s="8" t="s">
        <v>3336</v>
      </c>
      <c r="CEJ849" s="8" t="s">
        <v>3336</v>
      </c>
      <c r="DLC849" s="8" t="s">
        <v>297</v>
      </c>
    </row>
    <row r="850" spans="1:4 1351:2046 2050:3053 3083:4088 4136:4184">
      <c r="A850" s="8" t="s">
        <v>1300</v>
      </c>
      <c r="B850" s="10" t="s">
        <v>11036</v>
      </c>
      <c r="C850" s="8">
        <v>1448.78</v>
      </c>
      <c r="D850" s="15">
        <v>39.22</v>
      </c>
      <c r="BAV850" s="8" t="s">
        <v>6359</v>
      </c>
      <c r="BCR850" s="8" t="s">
        <v>1570</v>
      </c>
      <c r="BEN850" s="8" t="s">
        <v>11036</v>
      </c>
      <c r="BGJ850" s="8" t="s">
        <v>291</v>
      </c>
      <c r="BHI850" s="8" t="s">
        <v>5595</v>
      </c>
      <c r="BIF850" s="8" t="s">
        <v>291</v>
      </c>
      <c r="BJD850" s="8" t="s">
        <v>4916</v>
      </c>
      <c r="BJE850" s="8" t="s">
        <v>4916</v>
      </c>
      <c r="BJF850" s="8" t="s">
        <v>4916</v>
      </c>
      <c r="BKA850" s="8" t="s">
        <v>4539</v>
      </c>
      <c r="BKB850" s="8" t="s">
        <v>4517</v>
      </c>
      <c r="BLX850" s="8" t="s">
        <v>4234</v>
      </c>
      <c r="BNT850" s="8" t="s">
        <v>3499</v>
      </c>
      <c r="BRL850" s="8" t="s">
        <v>3331</v>
      </c>
      <c r="CCN850" s="8" t="s">
        <v>3337</v>
      </c>
      <c r="CEJ850" s="8" t="s">
        <v>3337</v>
      </c>
      <c r="CIB850" s="8" t="s">
        <v>2956</v>
      </c>
      <c r="CJX850" s="8" t="s">
        <v>2505</v>
      </c>
      <c r="DMK850" s="8" t="s">
        <v>298</v>
      </c>
    </row>
    <row r="851" spans="1:4 1351:2046 2050:3053 3083:4088 4136:4184">
      <c r="A851" s="8" t="s">
        <v>1300</v>
      </c>
      <c r="B851" s="10" t="s">
        <v>11037</v>
      </c>
      <c r="C851" s="8">
        <v>1496.78</v>
      </c>
      <c r="D851" s="15">
        <v>39.22</v>
      </c>
      <c r="BCR851" s="8" t="s">
        <v>6360</v>
      </c>
      <c r="BGJ851" s="8" t="s">
        <v>11037</v>
      </c>
      <c r="BHW851" s="8" t="s">
        <v>5596</v>
      </c>
      <c r="BHX851" s="8" t="s">
        <v>5596</v>
      </c>
      <c r="BJR851" s="8" t="s">
        <v>4917</v>
      </c>
      <c r="BJT851" s="8" t="s">
        <v>4917</v>
      </c>
      <c r="BLT851" s="8" t="s">
        <v>4540</v>
      </c>
      <c r="BLX851" s="8" t="s">
        <v>4518</v>
      </c>
      <c r="BNT851" s="8" t="s">
        <v>4090</v>
      </c>
      <c r="BPP851" s="8" t="s">
        <v>3500</v>
      </c>
      <c r="BRL851" s="8" t="s">
        <v>292</v>
      </c>
      <c r="BTH851" s="8" t="s">
        <v>3332</v>
      </c>
      <c r="BVD851" s="8" t="s">
        <v>292</v>
      </c>
      <c r="BWZ851" s="8" t="s">
        <v>292</v>
      </c>
      <c r="CGC851" s="8" t="s">
        <v>3338</v>
      </c>
      <c r="CHY851" s="8" t="s">
        <v>3338</v>
      </c>
      <c r="CKI851" s="8" t="s">
        <v>2810</v>
      </c>
      <c r="CME851" s="8" t="s">
        <v>2506</v>
      </c>
      <c r="DNR851" s="8" t="s">
        <v>299</v>
      </c>
    </row>
    <row r="852" spans="1:4 1351:2046 2050:3053 3083:4088 4136:4184">
      <c r="A852" s="8" t="s">
        <v>1300</v>
      </c>
      <c r="B852" s="10" t="s">
        <v>11038</v>
      </c>
      <c r="C852" s="8">
        <v>1723.96</v>
      </c>
      <c r="D852" s="15">
        <v>4.04</v>
      </c>
      <c r="BCJ852" s="8" t="s">
        <v>6361</v>
      </c>
      <c r="BLP852" s="8" t="s">
        <v>4519</v>
      </c>
      <c r="BNL852" s="8" t="s">
        <v>4091</v>
      </c>
      <c r="BNM852" s="8" t="s">
        <v>4541</v>
      </c>
      <c r="BNT852" s="8" t="s">
        <v>11038</v>
      </c>
      <c r="BNW852" s="8" t="s">
        <v>2002</v>
      </c>
      <c r="BPH852" s="8" t="s">
        <v>3764</v>
      </c>
      <c r="BPS852" s="8" t="s">
        <v>1571</v>
      </c>
      <c r="BRJ852" s="8" t="s">
        <v>5597</v>
      </c>
      <c r="BSZ852" s="8" t="s">
        <v>3333</v>
      </c>
      <c r="BTE852" s="8" t="s">
        <v>4918</v>
      </c>
      <c r="BTF852" s="8" t="s">
        <v>4918</v>
      </c>
      <c r="BTG852" s="8" t="s">
        <v>4918</v>
      </c>
      <c r="BTK852" s="8" t="s">
        <v>293</v>
      </c>
      <c r="BVG852" s="8" t="s">
        <v>293</v>
      </c>
      <c r="BXC852" s="8" t="s">
        <v>293</v>
      </c>
      <c r="BYY852" s="8" t="s">
        <v>293</v>
      </c>
      <c r="CIB852" s="8" t="s">
        <v>3339</v>
      </c>
      <c r="CJX852" s="8" t="s">
        <v>3339</v>
      </c>
      <c r="CLT852" s="8" t="s">
        <v>2811</v>
      </c>
      <c r="CNP852" s="8" t="s">
        <v>2507</v>
      </c>
      <c r="DNO852" s="8" t="s">
        <v>300</v>
      </c>
    </row>
    <row r="853" spans="1:4 1351:2046 2050:3053 3083:4088 4136:4184">
      <c r="A853" s="8" t="s">
        <v>1300</v>
      </c>
      <c r="B853" s="10" t="s">
        <v>11039</v>
      </c>
      <c r="C853" s="8">
        <v>1770.12</v>
      </c>
      <c r="D853" s="15">
        <v>5.88</v>
      </c>
      <c r="AYY853" s="8" t="s">
        <v>4520</v>
      </c>
      <c r="BGI853" s="8" t="s">
        <v>6362</v>
      </c>
      <c r="BNZ853" s="8" t="s">
        <v>4542</v>
      </c>
      <c r="BPO853" s="8" t="s">
        <v>4520</v>
      </c>
      <c r="BPP853" s="8" t="s">
        <v>11039</v>
      </c>
      <c r="BRK853" s="8" t="s">
        <v>4092</v>
      </c>
      <c r="BSQ853" s="8" t="s">
        <v>5598</v>
      </c>
      <c r="BTG853" s="8" t="s">
        <v>3765</v>
      </c>
      <c r="BUC853" s="8" t="s">
        <v>2003</v>
      </c>
      <c r="BUL853" s="8" t="s">
        <v>4919</v>
      </c>
      <c r="BUM853" s="8" t="s">
        <v>4919</v>
      </c>
      <c r="BUN853" s="8" t="s">
        <v>4919</v>
      </c>
      <c r="BVY853" s="8" t="s">
        <v>1572</v>
      </c>
      <c r="BWY853" s="8" t="s">
        <v>3334</v>
      </c>
      <c r="BZQ853" s="8" t="s">
        <v>294</v>
      </c>
      <c r="CBM853" s="8" t="s">
        <v>294</v>
      </c>
      <c r="CDI853" s="8" t="s">
        <v>294</v>
      </c>
      <c r="CFE853" s="8" t="s">
        <v>294</v>
      </c>
      <c r="CJX853" s="8" t="s">
        <v>3340</v>
      </c>
      <c r="CLT853" s="8" t="s">
        <v>3340</v>
      </c>
      <c r="CLY853" s="8" t="s">
        <v>2812</v>
      </c>
      <c r="CNU853" s="8" t="s">
        <v>2508</v>
      </c>
      <c r="ELO853" s="8" t="s">
        <v>301</v>
      </c>
    </row>
    <row r="854" spans="1:4 1351:2046 2050:3053 3083:4088 4136:4184">
      <c r="A854" s="8" t="s">
        <v>1300</v>
      </c>
      <c r="B854" s="10" t="s">
        <v>11040</v>
      </c>
      <c r="C854" s="8">
        <v>1790.67</v>
      </c>
      <c r="D854" s="15">
        <v>39.22</v>
      </c>
      <c r="BCO854" s="8" t="s">
        <v>4521</v>
      </c>
      <c r="BJY854" s="8" t="s">
        <v>6363</v>
      </c>
      <c r="BOL854" s="8" t="s">
        <v>4543</v>
      </c>
      <c r="BRR854" s="8" t="s">
        <v>11040</v>
      </c>
      <c r="BTE854" s="8" t="s">
        <v>4521</v>
      </c>
      <c r="BTX854" s="8" t="s">
        <v>4920</v>
      </c>
      <c r="BTY854" s="8" t="s">
        <v>5599</v>
      </c>
      <c r="BVA854" s="8" t="s">
        <v>4093</v>
      </c>
      <c r="BVJ854" s="8" t="s">
        <v>2004</v>
      </c>
      <c r="BVT854" s="8" t="s">
        <v>4920</v>
      </c>
      <c r="BVU854" s="8" t="s">
        <v>4920</v>
      </c>
      <c r="BVV854" s="8" t="s">
        <v>4920</v>
      </c>
      <c r="BWW854" s="8" t="s">
        <v>3766</v>
      </c>
      <c r="BXF854" s="8" t="s">
        <v>1573</v>
      </c>
      <c r="CAO854" s="8" t="s">
        <v>3335</v>
      </c>
      <c r="CAX854" s="8" t="s">
        <v>295</v>
      </c>
      <c r="CCT854" s="8" t="s">
        <v>295</v>
      </c>
      <c r="CEP854" s="8" t="s">
        <v>295</v>
      </c>
      <c r="CGL854" s="8" t="s">
        <v>295</v>
      </c>
      <c r="CLS854" s="8" t="s">
        <v>3341</v>
      </c>
      <c r="CMF854" s="8" t="s">
        <v>2813</v>
      </c>
      <c r="CNO854" s="8" t="s">
        <v>3341</v>
      </c>
      <c r="COB854" s="8" t="s">
        <v>2509</v>
      </c>
      <c r="EPG854" s="8" t="s">
        <v>302</v>
      </c>
    </row>
    <row r="855" spans="1:4 1351:2046 2050:3053 3083:4088 4136:4184">
      <c r="A855" s="8" t="s">
        <v>1300</v>
      </c>
      <c r="B855" s="10" t="s">
        <v>11041</v>
      </c>
      <c r="C855" s="8">
        <v>2126.67</v>
      </c>
      <c r="D855" s="15">
        <v>39.22</v>
      </c>
      <c r="BEN855" s="8" t="s">
        <v>4522</v>
      </c>
      <c r="BLX855" s="8" t="s">
        <v>6364</v>
      </c>
      <c r="BQE855" s="8" t="s">
        <v>4544</v>
      </c>
      <c r="BVD855" s="8" t="s">
        <v>4522</v>
      </c>
      <c r="BVF855" s="8" t="s">
        <v>5600</v>
      </c>
      <c r="BWZ855" s="8" t="s">
        <v>4094</v>
      </c>
      <c r="BXA855" s="8" t="s">
        <v>4921</v>
      </c>
      <c r="BXB855" s="8" t="s">
        <v>4921</v>
      </c>
      <c r="BXC855" s="8" t="s">
        <v>4921</v>
      </c>
      <c r="BYV855" s="8" t="s">
        <v>3767</v>
      </c>
      <c r="BZV855" s="8" t="s">
        <v>2005</v>
      </c>
      <c r="CBR855" s="8" t="s">
        <v>1574</v>
      </c>
      <c r="CCN855" s="8" t="s">
        <v>3336</v>
      </c>
      <c r="CEP855" s="8" t="s">
        <v>11041</v>
      </c>
      <c r="CFJ855" s="8" t="s">
        <v>296</v>
      </c>
      <c r="CHF855" s="8" t="s">
        <v>296</v>
      </c>
      <c r="CJB855" s="8" t="s">
        <v>296</v>
      </c>
      <c r="CKX855" s="8" t="s">
        <v>296</v>
      </c>
      <c r="CYR855" s="8" t="s">
        <v>2814</v>
      </c>
      <c r="DAN855" s="8" t="s">
        <v>2510</v>
      </c>
      <c r="DPH855" s="8" t="s">
        <v>3342</v>
      </c>
      <c r="DRD855" s="8" t="s">
        <v>3342</v>
      </c>
    </row>
    <row r="856" spans="1:4 1351:2046 2050:3053 3083:4088 4136:4184">
      <c r="A856" s="8" t="s">
        <v>1300</v>
      </c>
      <c r="B856" s="10" t="s">
        <v>11042</v>
      </c>
      <c r="C856" s="8">
        <v>2168.7800000000002</v>
      </c>
      <c r="D856" s="15">
        <v>39.22</v>
      </c>
      <c r="BEN856" s="8" t="s">
        <v>4523</v>
      </c>
      <c r="BLX856" s="8" t="s">
        <v>6365</v>
      </c>
      <c r="BRY856" s="8" t="s">
        <v>4545</v>
      </c>
      <c r="BVD856" s="8" t="s">
        <v>4523</v>
      </c>
      <c r="BWM856" s="8" t="s">
        <v>5601</v>
      </c>
      <c r="BWZ856" s="8" t="s">
        <v>4095</v>
      </c>
      <c r="BYH856" s="8" t="s">
        <v>4922</v>
      </c>
      <c r="BYI856" s="8" t="s">
        <v>4922</v>
      </c>
      <c r="BYJ856" s="8" t="s">
        <v>4922</v>
      </c>
      <c r="BYV856" s="8" t="s">
        <v>3768</v>
      </c>
      <c r="CCN856" s="8" t="s">
        <v>3337</v>
      </c>
      <c r="CGF856" s="8" t="s">
        <v>11042</v>
      </c>
      <c r="CLT856" s="8" t="s">
        <v>2006</v>
      </c>
      <c r="CNP856" s="8" t="s">
        <v>1575</v>
      </c>
      <c r="CRH856" s="8" t="s">
        <v>1324</v>
      </c>
      <c r="CTD856" s="8" t="s">
        <v>1324</v>
      </c>
      <c r="CUZ856" s="8" t="s">
        <v>1324</v>
      </c>
      <c r="CWV856" s="8" t="s">
        <v>1324</v>
      </c>
      <c r="DHW856" s="8" t="s">
        <v>2815</v>
      </c>
      <c r="DJS856" s="8" t="s">
        <v>2511</v>
      </c>
      <c r="FAF856" s="8" t="s">
        <v>3343</v>
      </c>
      <c r="FCB856" s="8" t="s">
        <v>3343</v>
      </c>
    </row>
    <row r="857" spans="1:4 1351:2046 2050:3053 3083:4088 4136:4184">
      <c r="A857" s="8" t="s">
        <v>1300</v>
      </c>
      <c r="B857" s="10" t="s">
        <v>11043</v>
      </c>
      <c r="C857" s="8">
        <v>2216.7800000000002</v>
      </c>
      <c r="D857" s="15">
        <v>39.22</v>
      </c>
      <c r="BGE857" s="8" t="s">
        <v>4524</v>
      </c>
      <c r="BNO857" s="8" t="s">
        <v>6366</v>
      </c>
      <c r="BSL857" s="8" t="s">
        <v>4546</v>
      </c>
      <c r="BWU857" s="8" t="s">
        <v>4524</v>
      </c>
      <c r="BXT857" s="8" t="s">
        <v>4923</v>
      </c>
      <c r="BXU857" s="8" t="s">
        <v>5602</v>
      </c>
      <c r="BYQ857" s="8" t="s">
        <v>4096</v>
      </c>
      <c r="BZP857" s="8" t="s">
        <v>4923</v>
      </c>
      <c r="BZQ857" s="8" t="s">
        <v>4923</v>
      </c>
      <c r="BZR857" s="8" t="s">
        <v>4923</v>
      </c>
      <c r="CAM857" s="8" t="s">
        <v>3769</v>
      </c>
      <c r="CEE857" s="8" t="s">
        <v>3477</v>
      </c>
      <c r="CIB857" s="8" t="s">
        <v>11043</v>
      </c>
      <c r="CPN857" s="8" t="s">
        <v>2007</v>
      </c>
      <c r="CRJ857" s="8" t="s">
        <v>1576</v>
      </c>
      <c r="CVB857" s="8" t="s">
        <v>297</v>
      </c>
      <c r="CWX857" s="8" t="s">
        <v>297</v>
      </c>
      <c r="CYT857" s="8" t="s">
        <v>297</v>
      </c>
      <c r="DAP857" s="8" t="s">
        <v>297</v>
      </c>
      <c r="DIA857" s="8" t="s">
        <v>2816</v>
      </c>
      <c r="DJW857" s="8" t="s">
        <v>2512</v>
      </c>
      <c r="FCB857" s="8" t="s">
        <v>3344</v>
      </c>
      <c r="FDX857" s="8" t="s">
        <v>3344</v>
      </c>
    </row>
    <row r="858" spans="1:4 1351:2046 2050:3053 3083:4088 4136:4184">
      <c r="A858" s="8" t="s">
        <v>1300</v>
      </c>
      <c r="B858" s="10" t="s">
        <v>11044</v>
      </c>
      <c r="C858" s="8">
        <v>2264.7800000000002</v>
      </c>
      <c r="D858" s="15">
        <v>39.22</v>
      </c>
      <c r="BIC858" s="8" t="s">
        <v>4525</v>
      </c>
      <c r="BPM858" s="8" t="s">
        <v>6367</v>
      </c>
      <c r="BUF858" s="8" t="s">
        <v>4547</v>
      </c>
      <c r="BYS858" s="8" t="s">
        <v>4525</v>
      </c>
      <c r="BZB858" s="8" t="s">
        <v>5603</v>
      </c>
      <c r="CAO858" s="8" t="s">
        <v>4097</v>
      </c>
      <c r="CAW858" s="8" t="s">
        <v>4924</v>
      </c>
      <c r="CAX858" s="8" t="s">
        <v>4924</v>
      </c>
      <c r="CAY858" s="8" t="s">
        <v>4924</v>
      </c>
      <c r="CCK858" s="8" t="s">
        <v>3770</v>
      </c>
      <c r="CGC858" s="8" t="s">
        <v>3338</v>
      </c>
      <c r="CJX858" s="8" t="s">
        <v>11044</v>
      </c>
      <c r="CQU858" s="8" t="s">
        <v>2008</v>
      </c>
      <c r="CSQ858" s="8" t="s">
        <v>1577</v>
      </c>
      <c r="CWI858" s="8" t="s">
        <v>298</v>
      </c>
      <c r="CYE858" s="8" t="s">
        <v>298</v>
      </c>
      <c r="DAA858" s="8" t="s">
        <v>298</v>
      </c>
      <c r="DBW858" s="8" t="s">
        <v>298</v>
      </c>
      <c r="ETG858" s="8" t="s">
        <v>2817</v>
      </c>
      <c r="EVC858" s="8" t="s">
        <v>2513</v>
      </c>
    </row>
    <row r="859" spans="1:4 1351:2046 2050:3053 3083:4088 4136:4184">
      <c r="A859" s="8" t="s">
        <v>1300</v>
      </c>
      <c r="B859" s="10" t="s">
        <v>11045</v>
      </c>
      <c r="C859" s="8">
        <v>2312.7800000000002</v>
      </c>
      <c r="D859" s="15">
        <v>39.22</v>
      </c>
      <c r="BKB859" s="8" t="s">
        <v>6133</v>
      </c>
      <c r="BRL859" s="8" t="s">
        <v>6368</v>
      </c>
      <c r="BVY859" s="8" t="s">
        <v>4548</v>
      </c>
      <c r="CAR859" s="8" t="s">
        <v>4526</v>
      </c>
      <c r="CCN859" s="8" t="s">
        <v>4235</v>
      </c>
      <c r="CEJ859" s="8" t="s">
        <v>5380</v>
      </c>
      <c r="CGE859" s="8" t="s">
        <v>4925</v>
      </c>
      <c r="CGF859" s="8" t="s">
        <v>4925</v>
      </c>
      <c r="CGG859" s="8" t="s">
        <v>4925</v>
      </c>
      <c r="CIB859" s="8" t="s">
        <v>3339</v>
      </c>
      <c r="CLT859" s="8" t="s">
        <v>11045</v>
      </c>
      <c r="CSC859" s="8" t="s">
        <v>2009</v>
      </c>
      <c r="CTY859" s="8" t="s">
        <v>1578</v>
      </c>
      <c r="CXQ859" s="8" t="s">
        <v>299</v>
      </c>
      <c r="CZM859" s="8" t="s">
        <v>299</v>
      </c>
      <c r="DBI859" s="8" t="s">
        <v>299</v>
      </c>
      <c r="DDE859" s="8" t="s">
        <v>299</v>
      </c>
      <c r="EUQ859" s="8" t="s">
        <v>2818</v>
      </c>
      <c r="EWM859" s="8" t="s">
        <v>2514</v>
      </c>
    </row>
    <row r="860" spans="1:4 1351:2046 2050:3053 3083:4088 4136:4184">
      <c r="A860" s="8" t="s">
        <v>1300</v>
      </c>
      <c r="B860" s="10" t="s">
        <v>11046</v>
      </c>
      <c r="C860" s="8">
        <v>2360.7800000000002</v>
      </c>
      <c r="D860" s="15">
        <v>39.22</v>
      </c>
      <c r="BLX860" s="8" t="s">
        <v>6134</v>
      </c>
      <c r="BTH860" s="8" t="s">
        <v>6369</v>
      </c>
      <c r="BXG860" s="8" t="s">
        <v>4549</v>
      </c>
      <c r="CCN860" s="8" t="s">
        <v>4527</v>
      </c>
      <c r="CEJ860" s="8" t="s">
        <v>4236</v>
      </c>
      <c r="CGF860" s="8" t="s">
        <v>3771</v>
      </c>
      <c r="CJX860" s="8" t="s">
        <v>3340</v>
      </c>
      <c r="CNP860" s="8" t="s">
        <v>11046</v>
      </c>
      <c r="CTJ860" s="8" t="s">
        <v>2010</v>
      </c>
      <c r="CVF860" s="8" t="s">
        <v>1579</v>
      </c>
      <c r="CYX860" s="8" t="s">
        <v>300</v>
      </c>
      <c r="DAT860" s="8" t="s">
        <v>300</v>
      </c>
      <c r="DCP860" s="8" t="s">
        <v>300</v>
      </c>
      <c r="DEL860" s="8" t="s">
        <v>300</v>
      </c>
      <c r="DGB860" s="8" t="s">
        <v>5604</v>
      </c>
      <c r="DGC860" s="8" t="s">
        <v>5604</v>
      </c>
      <c r="DHW860" s="8" t="s">
        <v>4926</v>
      </c>
      <c r="DHX860" s="8" t="s">
        <v>4926</v>
      </c>
      <c r="DHY860" s="8" t="s">
        <v>4926</v>
      </c>
      <c r="EUW860" s="8" t="s">
        <v>2819</v>
      </c>
      <c r="EWS860" s="8" t="s">
        <v>2515</v>
      </c>
    </row>
    <row r="861" spans="1:4 1351:2046 2050:3053 3083:4088 4136:4184">
      <c r="A861" s="8" t="s">
        <v>1300</v>
      </c>
      <c r="B861" s="10" t="s">
        <v>11047</v>
      </c>
      <c r="C861" s="8">
        <v>2979.86</v>
      </c>
      <c r="D861" s="15">
        <v>3.92</v>
      </c>
      <c r="BNS861" s="8" t="s">
        <v>4528</v>
      </c>
      <c r="BVC861" s="8" t="s">
        <v>6370</v>
      </c>
      <c r="BXS861" s="8" t="s">
        <v>4550</v>
      </c>
      <c r="CEI861" s="8" t="s">
        <v>4528</v>
      </c>
      <c r="CGE861" s="8" t="s">
        <v>4098</v>
      </c>
      <c r="CIA861" s="8" t="s">
        <v>3772</v>
      </c>
      <c r="CLS861" s="8" t="s">
        <v>3341</v>
      </c>
      <c r="CTG861" s="8" t="s">
        <v>2011</v>
      </c>
      <c r="CVC861" s="8" t="s">
        <v>1580</v>
      </c>
      <c r="CYU861" s="8" t="s">
        <v>301</v>
      </c>
      <c r="DAQ861" s="8" t="s">
        <v>301</v>
      </c>
      <c r="DCM861" s="8" t="s">
        <v>301</v>
      </c>
      <c r="DEI861" s="8" t="s">
        <v>301</v>
      </c>
      <c r="DKB861" s="8" t="s">
        <v>11047</v>
      </c>
      <c r="DZD861" s="8" t="s">
        <v>4927</v>
      </c>
      <c r="DZE861" s="8" t="s">
        <v>5605</v>
      </c>
      <c r="EAZ861" s="8" t="s">
        <v>4927</v>
      </c>
      <c r="EBA861" s="8" t="s">
        <v>4927</v>
      </c>
      <c r="EBB861" s="8" t="s">
        <v>4927</v>
      </c>
      <c r="EUW861" s="8" t="s">
        <v>2820</v>
      </c>
      <c r="EWS861" s="8" t="s">
        <v>2516</v>
      </c>
    </row>
    <row r="862" spans="1:4 1351:2046 2050:3053 3083:4088 4136:4184">
      <c r="A862" s="8" t="s">
        <v>1300</v>
      </c>
      <c r="B862" s="10" t="s">
        <v>11048</v>
      </c>
      <c r="C862" s="8">
        <v>2984.78</v>
      </c>
      <c r="D862" s="15">
        <v>39.22</v>
      </c>
      <c r="AYZ862" s="8" t="s">
        <v>4935</v>
      </c>
      <c r="AZA862" s="8" t="s">
        <v>4935</v>
      </c>
      <c r="BZL862" s="8" t="s">
        <v>4551</v>
      </c>
      <c r="CRH862" s="8" t="s">
        <v>6135</v>
      </c>
      <c r="CYR862" s="8" t="s">
        <v>6371</v>
      </c>
      <c r="DAN862" s="8" t="s">
        <v>1581</v>
      </c>
      <c r="DEF862" s="8" t="s">
        <v>1325</v>
      </c>
      <c r="DGB862" s="8" t="s">
        <v>1325</v>
      </c>
      <c r="DHX862" s="8" t="s">
        <v>4529</v>
      </c>
      <c r="DJT862" s="8" t="s">
        <v>4237</v>
      </c>
      <c r="DLP862" s="8" t="s">
        <v>11048</v>
      </c>
      <c r="DPH862" s="8" t="s">
        <v>3342</v>
      </c>
      <c r="EAL862" s="8" t="s">
        <v>5606</v>
      </c>
      <c r="ECG862" s="8" t="s">
        <v>4928</v>
      </c>
      <c r="ECH862" s="8" t="s">
        <v>4928</v>
      </c>
      <c r="ECI862" s="8" t="s">
        <v>4928</v>
      </c>
    </row>
    <row r="863" spans="1:4 1351:2046 2050:3053 3083:4088 4136:4184">
      <c r="A863" s="8" t="s">
        <v>1300</v>
      </c>
      <c r="B863" s="10" t="s">
        <v>14072</v>
      </c>
      <c r="C863" s="8">
        <v>3152.53</v>
      </c>
      <c r="D863" s="15">
        <v>10.1</v>
      </c>
      <c r="BDT863" s="8" t="s">
        <v>5322</v>
      </c>
      <c r="BDU863" s="8" t="s">
        <v>5322</v>
      </c>
      <c r="CBE863" s="8" t="s">
        <v>4552</v>
      </c>
      <c r="DEF863" s="8" t="s">
        <v>4530</v>
      </c>
      <c r="DLP863" s="8" t="s">
        <v>6372</v>
      </c>
      <c r="DQY863" s="8" t="s">
        <v>14072</v>
      </c>
      <c r="DRG863" s="8" t="s">
        <v>2012</v>
      </c>
      <c r="DTC863" s="8" t="s">
        <v>1582</v>
      </c>
      <c r="DUV863" s="8" t="s">
        <v>4530</v>
      </c>
      <c r="DWR863" s="8" t="s">
        <v>4099</v>
      </c>
      <c r="DWU863" s="8" t="s">
        <v>302</v>
      </c>
      <c r="DYN863" s="8" t="s">
        <v>3773</v>
      </c>
      <c r="DYQ863" s="8" t="s">
        <v>302</v>
      </c>
      <c r="EAM863" s="8" t="s">
        <v>302</v>
      </c>
      <c r="EBS863" s="8" t="s">
        <v>5607</v>
      </c>
      <c r="ECF863" s="8" t="s">
        <v>3478</v>
      </c>
      <c r="ECI863" s="8" t="s">
        <v>302</v>
      </c>
      <c r="EDN863" s="8" t="s">
        <v>4929</v>
      </c>
      <c r="EDO863" s="8" t="s">
        <v>4929</v>
      </c>
      <c r="EDP863" s="8" t="s">
        <v>4929</v>
      </c>
    </row>
    <row r="864" spans="1:4 1351:2046 2050:3053 3083:4088 4136:4184">
      <c r="A864" s="8" t="s">
        <v>1300</v>
      </c>
      <c r="B864" s="10" t="s">
        <v>14073</v>
      </c>
      <c r="C864" s="8">
        <v>3163.96</v>
      </c>
      <c r="D864" s="15">
        <v>4.04</v>
      </c>
      <c r="BEN864" s="8" t="s">
        <v>4936</v>
      </c>
      <c r="BEO864" s="8" t="s">
        <v>4936</v>
      </c>
      <c r="CCX864" s="8" t="s">
        <v>4553</v>
      </c>
      <c r="DRD864" s="8" t="s">
        <v>14073</v>
      </c>
      <c r="DUY864" s="8" t="s">
        <v>2013</v>
      </c>
      <c r="DWU864" s="8" t="s">
        <v>1583</v>
      </c>
      <c r="EAM864" s="8" t="s">
        <v>303</v>
      </c>
      <c r="ECF864" s="8" t="s">
        <v>4531</v>
      </c>
      <c r="ECI864" s="8" t="s">
        <v>303</v>
      </c>
      <c r="ECZ864" s="8" t="s">
        <v>4930</v>
      </c>
      <c r="EDA864" s="8" t="s">
        <v>5608</v>
      </c>
      <c r="EEE864" s="8" t="s">
        <v>303</v>
      </c>
      <c r="EEV864" s="8" t="s">
        <v>4930</v>
      </c>
      <c r="EEW864" s="8" t="s">
        <v>4930</v>
      </c>
      <c r="EEX864" s="8" t="s">
        <v>4930</v>
      </c>
      <c r="EGA864" s="8" t="s">
        <v>303</v>
      </c>
      <c r="EJP864" s="8" t="s">
        <v>6373</v>
      </c>
      <c r="ESV864" s="8" t="s">
        <v>4531</v>
      </c>
      <c r="EUR864" s="8" t="s">
        <v>4100</v>
      </c>
      <c r="EWN864" s="8" t="s">
        <v>3774</v>
      </c>
      <c r="FAF864" s="8" t="s">
        <v>3343</v>
      </c>
    </row>
    <row r="865" spans="1:327 1352:2025 2072:3032 3320:4040 4136:4136">
      <c r="A865" s="8" t="s">
        <v>1300</v>
      </c>
      <c r="B865" s="10" t="s">
        <v>11049</v>
      </c>
      <c r="C865" s="8">
        <v>3272.78</v>
      </c>
      <c r="D865" s="15">
        <v>39.22</v>
      </c>
      <c r="AYZ865" s="8" t="s">
        <v>4892</v>
      </c>
      <c r="AZA865" s="8" t="s">
        <v>4892</v>
      </c>
      <c r="BFO865" s="8" t="s">
        <v>4937</v>
      </c>
      <c r="BFP865" s="8" t="s">
        <v>4937</v>
      </c>
      <c r="BGB865" s="8" t="s">
        <v>305</v>
      </c>
      <c r="CER865" s="8" t="s">
        <v>4554</v>
      </c>
      <c r="DWR865" s="8" t="s">
        <v>11049</v>
      </c>
      <c r="ECF865" s="8" t="s">
        <v>5609</v>
      </c>
      <c r="ECG865" s="8" t="s">
        <v>5609</v>
      </c>
      <c r="EEA865" s="8" t="s">
        <v>4931</v>
      </c>
      <c r="EEB865" s="8" t="s">
        <v>6136</v>
      </c>
      <c r="EEC865" s="8" t="s">
        <v>4931</v>
      </c>
      <c r="ELL865" s="8" t="s">
        <v>6374</v>
      </c>
      <c r="EUR865" s="8" t="s">
        <v>4532</v>
      </c>
      <c r="EWN865" s="8" t="s">
        <v>4238</v>
      </c>
      <c r="EYJ865" s="8" t="s">
        <v>3775</v>
      </c>
      <c r="FCB865" s="8" t="s">
        <v>3344</v>
      </c>
    </row>
    <row r="866" spans="1:327 1352:2025 2072:3032 3320:4040 4136:4136">
      <c r="A866" s="8" t="s">
        <v>1300</v>
      </c>
      <c r="B866" s="10" t="s">
        <v>11050</v>
      </c>
      <c r="C866" s="8">
        <v>3320.78</v>
      </c>
      <c r="D866" s="15">
        <v>39.22</v>
      </c>
      <c r="AYZ866" s="8" t="s">
        <v>4893</v>
      </c>
      <c r="AZA866" s="8" t="s">
        <v>4893</v>
      </c>
      <c r="BEN866" s="8" t="s">
        <v>306</v>
      </c>
      <c r="BGJ866" s="8" t="s">
        <v>4938</v>
      </c>
      <c r="BGK866" s="8" t="s">
        <v>4938</v>
      </c>
      <c r="CGK866" s="8" t="s">
        <v>4555</v>
      </c>
      <c r="DYN866" s="8" t="s">
        <v>11050</v>
      </c>
      <c r="EEH866" s="8" t="s">
        <v>5610</v>
      </c>
      <c r="EGC866" s="8" t="s">
        <v>4932</v>
      </c>
      <c r="EGD866" s="8" t="s">
        <v>4932</v>
      </c>
      <c r="EGE866" s="8" t="s">
        <v>4932</v>
      </c>
    </row>
    <row r="867" spans="1:327 1352:2025 2072:3032 3320:4040 4136:4136">
      <c r="A867" s="8" t="s">
        <v>1301</v>
      </c>
      <c r="B867" s="10" t="s">
        <v>11051</v>
      </c>
      <c r="C867" s="8">
        <v>-606.24</v>
      </c>
      <c r="D867" s="15">
        <v>34.33</v>
      </c>
      <c r="H867" s="8" t="s">
        <v>11051</v>
      </c>
      <c r="AYZ867" s="8" t="s">
        <v>4894</v>
      </c>
      <c r="AZA867" s="8" t="s">
        <v>4894</v>
      </c>
      <c r="BAV867" s="8" t="s">
        <v>4894</v>
      </c>
      <c r="BAW867" s="8" t="s">
        <v>4894</v>
      </c>
      <c r="BKB867" s="8" t="s">
        <v>307</v>
      </c>
      <c r="BLX867" s="8" t="s">
        <v>5323</v>
      </c>
      <c r="BLY867" s="8" t="s">
        <v>5323</v>
      </c>
      <c r="CID867" s="8" t="s">
        <v>4556</v>
      </c>
    </row>
    <row r="868" spans="1:327 1352:2025 2072:3032 3320:4040 4136:4136">
      <c r="A868" s="8" t="s">
        <v>1301</v>
      </c>
      <c r="B868" s="10" t="s">
        <v>11052</v>
      </c>
      <c r="C868" s="8">
        <v>-392.17</v>
      </c>
      <c r="D868" s="15">
        <v>7.07</v>
      </c>
      <c r="H868" s="8" t="s">
        <v>11052</v>
      </c>
      <c r="BAY868" s="8" t="s">
        <v>4895</v>
      </c>
      <c r="BCU868" s="8" t="s">
        <v>4895</v>
      </c>
      <c r="BCV868" s="8" t="s">
        <v>4895</v>
      </c>
      <c r="BKB868" s="8" t="s">
        <v>308</v>
      </c>
      <c r="BRK868" s="8" t="s">
        <v>5324</v>
      </c>
      <c r="BRL868" s="8" t="s">
        <v>5324</v>
      </c>
      <c r="CJW868" s="8" t="s">
        <v>4557</v>
      </c>
    </row>
    <row r="869" spans="1:327 1352:2025 2072:3032 3320:4040 4136:4136">
      <c r="A869" s="8" t="s">
        <v>1301</v>
      </c>
      <c r="B869" s="10" t="s">
        <v>11053</v>
      </c>
      <c r="C869" s="8">
        <v>-384.1</v>
      </c>
      <c r="D869" s="15">
        <v>19.61</v>
      </c>
      <c r="H869" s="8" t="s">
        <v>11053</v>
      </c>
      <c r="BAV869" s="8" t="s">
        <v>2957</v>
      </c>
      <c r="BCR869" s="8" t="s">
        <v>2517</v>
      </c>
      <c r="BHE869" s="8" t="s">
        <v>4896</v>
      </c>
      <c r="BJA869" s="8" t="s">
        <v>4896</v>
      </c>
      <c r="BJB869" s="8" t="s">
        <v>4896</v>
      </c>
      <c r="BPV869" s="8" t="s">
        <v>309</v>
      </c>
      <c r="BSF869" s="8" t="s">
        <v>4939</v>
      </c>
      <c r="CLQ869" s="8" t="s">
        <v>4558</v>
      </c>
    </row>
    <row r="870" spans="1:327 1352:2025 2072:3032 3320:4040 4136:4136">
      <c r="A870" s="8" t="s">
        <v>1301</v>
      </c>
      <c r="B870" s="10" t="s">
        <v>14074</v>
      </c>
      <c r="C870" s="8">
        <v>-197.61</v>
      </c>
      <c r="D870" s="15">
        <v>21.57</v>
      </c>
      <c r="H870" s="8" t="s">
        <v>14074</v>
      </c>
      <c r="BIF870" s="8" t="s">
        <v>2958</v>
      </c>
      <c r="BIL870" s="8" t="s">
        <v>4897</v>
      </c>
      <c r="BIM870" s="8" t="s">
        <v>4897</v>
      </c>
      <c r="BKB870" s="8" t="s">
        <v>2518</v>
      </c>
      <c r="BKH870" s="8" t="s">
        <v>4897</v>
      </c>
      <c r="BKI870" s="8" t="s">
        <v>4897</v>
      </c>
      <c r="BSR870" s="8" t="s">
        <v>310</v>
      </c>
      <c r="CCV870" s="8" t="s">
        <v>4940</v>
      </c>
      <c r="CCW870" s="8" t="s">
        <v>4940</v>
      </c>
      <c r="CNJ870" s="8" t="s">
        <v>4559</v>
      </c>
    </row>
    <row r="871" spans="1:327 1352:2025 2072:3032 3320:4040 4136:4136">
      <c r="A871" s="8" t="s">
        <v>1301</v>
      </c>
      <c r="B871" s="10" t="s">
        <v>14075</v>
      </c>
      <c r="C871" s="8">
        <v>-92.25</v>
      </c>
      <c r="D871" s="15">
        <v>40.39</v>
      </c>
      <c r="H871" s="8" t="s">
        <v>14075</v>
      </c>
      <c r="BIJ871" s="8" t="s">
        <v>2821</v>
      </c>
      <c r="BKF871" s="8" t="s">
        <v>2519</v>
      </c>
      <c r="BYV871" s="8" t="s">
        <v>4898</v>
      </c>
      <c r="BYW871" s="8" t="s">
        <v>4898</v>
      </c>
      <c r="CAR871" s="8" t="s">
        <v>4898</v>
      </c>
      <c r="CAS871" s="8" t="s">
        <v>4898</v>
      </c>
      <c r="CCQ871" s="8" t="s">
        <v>311</v>
      </c>
      <c r="CGF871" s="8" t="s">
        <v>5325</v>
      </c>
      <c r="CGG871" s="8" t="s">
        <v>5325</v>
      </c>
      <c r="CPC871" s="8" t="s">
        <v>4560</v>
      </c>
    </row>
    <row r="872" spans="1:327 1352:2025 2072:3032 3320:4040 4136:4136">
      <c r="A872" s="8" t="s">
        <v>1301</v>
      </c>
      <c r="B872" s="10" t="s">
        <v>11056</v>
      </c>
      <c r="C872" s="8">
        <v>1</v>
      </c>
      <c r="D872" s="15">
        <v>30.29</v>
      </c>
      <c r="AM872" s="8" t="s">
        <v>11056</v>
      </c>
      <c r="BKB872" s="8" t="s">
        <v>2959</v>
      </c>
      <c r="BLX872" s="8" t="s">
        <v>2520</v>
      </c>
      <c r="CCP872" s="8" t="s">
        <v>4899</v>
      </c>
      <c r="CCQ872" s="8" t="s">
        <v>4899</v>
      </c>
      <c r="CEL872" s="8" t="s">
        <v>4899</v>
      </c>
      <c r="CEM872" s="8" t="s">
        <v>4899</v>
      </c>
      <c r="CGS872" s="8" t="s">
        <v>312</v>
      </c>
      <c r="CQV872" s="8" t="s">
        <v>4561</v>
      </c>
    </row>
    <row r="873" spans="1:327 1352:2025 2072:3032 3320:4040 4136:4136">
      <c r="A873" s="8" t="s">
        <v>1301</v>
      </c>
      <c r="B873" s="10" t="s">
        <v>11054</v>
      </c>
      <c r="C873" s="8">
        <v>32.29</v>
      </c>
      <c r="D873" s="15">
        <v>36.35</v>
      </c>
      <c r="BY873" s="8" t="s">
        <v>11054</v>
      </c>
      <c r="BLX873" s="8" t="s">
        <v>2822</v>
      </c>
      <c r="BNT873" s="8" t="s">
        <v>2521</v>
      </c>
      <c r="CDW873" s="8" t="s">
        <v>4900</v>
      </c>
      <c r="CDX873" s="8" t="s">
        <v>4900</v>
      </c>
      <c r="CFS873" s="8" t="s">
        <v>4900</v>
      </c>
      <c r="CFT873" s="8" t="s">
        <v>4900</v>
      </c>
      <c r="CHZ873" s="8" t="s">
        <v>313</v>
      </c>
      <c r="CSO873" s="8" t="s">
        <v>4562</v>
      </c>
    </row>
    <row r="874" spans="1:327 1352:2025 2072:3032 3320:4040 4136:4136">
      <c r="A874" s="8" t="s">
        <v>1301</v>
      </c>
      <c r="B874" s="10" t="s">
        <v>11057</v>
      </c>
      <c r="C874" s="8">
        <v>170.02</v>
      </c>
      <c r="D874" s="15">
        <v>20.2</v>
      </c>
      <c r="GP874" s="8" t="s">
        <v>11057</v>
      </c>
      <c r="BTH874" s="8" t="s">
        <v>2960</v>
      </c>
      <c r="BVD874" s="8" t="s">
        <v>2522</v>
      </c>
      <c r="CFE874" s="8" t="s">
        <v>4901</v>
      </c>
      <c r="CHA874" s="8" t="s">
        <v>4901</v>
      </c>
      <c r="CHB874" s="8" t="s">
        <v>4901</v>
      </c>
      <c r="CJG874" s="8" t="s">
        <v>314</v>
      </c>
      <c r="CVE874" s="8" t="s">
        <v>4563</v>
      </c>
    </row>
    <row r="875" spans="1:327 1352:2025 2072:3032 3320:4040 4136:4136">
      <c r="A875" s="8" t="s">
        <v>1301</v>
      </c>
      <c r="B875" s="10" t="s">
        <v>11058</v>
      </c>
      <c r="C875" s="8">
        <v>191.21</v>
      </c>
      <c r="D875" s="15">
        <v>20.2</v>
      </c>
      <c r="HK875" s="8" t="s">
        <v>11058</v>
      </c>
      <c r="BUP875" s="8" t="s">
        <v>2823</v>
      </c>
      <c r="BWL875" s="8" t="s">
        <v>2523</v>
      </c>
      <c r="CGL875" s="8" t="s">
        <v>4902</v>
      </c>
      <c r="CGM875" s="8" t="s">
        <v>4902</v>
      </c>
      <c r="CIH875" s="8" t="s">
        <v>4902</v>
      </c>
      <c r="CII875" s="8" t="s">
        <v>4902</v>
      </c>
      <c r="CKO875" s="8" t="s">
        <v>315</v>
      </c>
      <c r="DAN875" s="8" t="s">
        <v>4564</v>
      </c>
    </row>
    <row r="876" spans="1:327 1352:2025 2072:3032 3320:4040 4136:4136">
      <c r="A876" s="8" t="s">
        <v>1301</v>
      </c>
      <c r="B876" s="10" t="s">
        <v>14076</v>
      </c>
      <c r="C876" s="8">
        <v>244.63</v>
      </c>
      <c r="D876" s="15">
        <v>20.2</v>
      </c>
      <c r="JM876" s="8" t="s">
        <v>14076</v>
      </c>
      <c r="BAI876" s="8" t="s">
        <v>274</v>
      </c>
      <c r="BEF876" s="8" t="s">
        <v>957</v>
      </c>
      <c r="BGB876" s="8" t="s">
        <v>957</v>
      </c>
      <c r="BVD876" s="8" t="s">
        <v>2961</v>
      </c>
      <c r="BWZ876" s="8" t="s">
        <v>2524</v>
      </c>
      <c r="CGI876" s="8" t="s">
        <v>4903</v>
      </c>
      <c r="CIE876" s="8" t="s">
        <v>4903</v>
      </c>
      <c r="CIF876" s="8" t="s">
        <v>4903</v>
      </c>
      <c r="CLV876" s="8" t="s">
        <v>316</v>
      </c>
      <c r="DCJ876" s="8" t="s">
        <v>4565</v>
      </c>
    </row>
    <row r="877" spans="1:327 1352:2025 2072:3032 3320:4040 4136:4136">
      <c r="A877" s="8" t="s">
        <v>1301</v>
      </c>
      <c r="B877" s="10" t="s">
        <v>11059</v>
      </c>
      <c r="C877" s="8">
        <v>274.74</v>
      </c>
      <c r="D877" s="15">
        <v>18.18</v>
      </c>
      <c r="KO877" s="8" t="s">
        <v>11059</v>
      </c>
      <c r="BAA877" s="8" t="s">
        <v>275</v>
      </c>
      <c r="BAN877" s="8" t="s">
        <v>306</v>
      </c>
      <c r="BBW877" s="8" t="s">
        <v>275</v>
      </c>
      <c r="BCR877" s="8" t="s">
        <v>958</v>
      </c>
      <c r="BEN877" s="8" t="s">
        <v>958</v>
      </c>
      <c r="BGB877" s="8" t="s">
        <v>306</v>
      </c>
      <c r="BHX877" s="8" t="s">
        <v>958</v>
      </c>
      <c r="BIF877" s="8" t="s">
        <v>306</v>
      </c>
      <c r="BWZ877" s="8" t="s">
        <v>2824</v>
      </c>
      <c r="BYV877" s="8" t="s">
        <v>2525</v>
      </c>
      <c r="CLT877" s="8" t="s">
        <v>4904</v>
      </c>
      <c r="CLU877" s="8" t="s">
        <v>4904</v>
      </c>
      <c r="CNC877" s="8" t="s">
        <v>317</v>
      </c>
      <c r="CNP877" s="8" t="s">
        <v>4904</v>
      </c>
      <c r="CNQ877" s="8" t="s">
        <v>4904</v>
      </c>
      <c r="DEF877" s="8" t="s">
        <v>4566</v>
      </c>
    </row>
    <row r="878" spans="1:327 1352:2025 2072:3032 3320:4040 4136:4136">
      <c r="A878" s="8" t="s">
        <v>1301</v>
      </c>
      <c r="B878" s="10" t="s">
        <v>11068</v>
      </c>
      <c r="C878" s="8">
        <v>288.02</v>
      </c>
      <c r="D878" s="15">
        <v>10.1</v>
      </c>
      <c r="KT878" s="8" t="s">
        <v>11068</v>
      </c>
      <c r="AYZ878" s="8" t="s">
        <v>307</v>
      </c>
      <c r="BBO878" s="8" t="s">
        <v>278</v>
      </c>
      <c r="BDK878" s="8" t="s">
        <v>278</v>
      </c>
      <c r="BEN878" s="8" t="s">
        <v>307</v>
      </c>
      <c r="BIF878" s="8" t="s">
        <v>959</v>
      </c>
      <c r="BKB878" s="8" t="s">
        <v>959</v>
      </c>
      <c r="BWR878" s="8" t="s">
        <v>2825</v>
      </c>
      <c r="BYN878" s="8" t="s">
        <v>2526</v>
      </c>
      <c r="COK878" s="8" t="s">
        <v>318</v>
      </c>
      <c r="DEI878" s="8" t="s">
        <v>4905</v>
      </c>
      <c r="DGB878" s="8" t="s">
        <v>4567</v>
      </c>
      <c r="DGE878" s="8" t="s">
        <v>4905</v>
      </c>
      <c r="DGF878" s="8" t="s">
        <v>4905</v>
      </c>
    </row>
    <row r="879" spans="1:327 1352:2025 2072:3032 3320:4040 4136:4136">
      <c r="A879" s="8" t="s">
        <v>1301</v>
      </c>
      <c r="B879" s="10" t="s">
        <v>14077</v>
      </c>
      <c r="C879" s="8">
        <v>293.92</v>
      </c>
      <c r="D879" s="15">
        <v>4.04</v>
      </c>
      <c r="KT879" s="8" t="s">
        <v>14077</v>
      </c>
      <c r="BDD879" s="8" t="s">
        <v>279</v>
      </c>
      <c r="BEN879" s="8" t="s">
        <v>308</v>
      </c>
      <c r="BEZ879" s="8" t="s">
        <v>279</v>
      </c>
      <c r="BIF879" s="8" t="s">
        <v>960</v>
      </c>
      <c r="BKB879" s="8" t="s">
        <v>960</v>
      </c>
      <c r="BKV879" s="8" t="s">
        <v>308</v>
      </c>
      <c r="CHW879" s="8" t="s">
        <v>2826</v>
      </c>
      <c r="CJS879" s="8" t="s">
        <v>2527</v>
      </c>
      <c r="CPR879" s="8" t="s">
        <v>319</v>
      </c>
      <c r="DIA879" s="8" t="s">
        <v>4906</v>
      </c>
      <c r="DJT879" s="8" t="s">
        <v>4568</v>
      </c>
      <c r="DJW879" s="8" t="s">
        <v>4906</v>
      </c>
      <c r="DJX879" s="8" t="s">
        <v>4906</v>
      </c>
    </row>
    <row r="880" spans="1:327 1352:2025 2072:3032 3320:4040 4136:4136">
      <c r="A880" s="8" t="s">
        <v>1301</v>
      </c>
      <c r="B880" s="10" t="s">
        <v>11060</v>
      </c>
      <c r="C880" s="8">
        <v>298.95999999999998</v>
      </c>
      <c r="D880" s="15">
        <v>20.2</v>
      </c>
      <c r="LO880" s="8" t="s">
        <v>11060</v>
      </c>
      <c r="BDZ880" s="8" t="s">
        <v>309</v>
      </c>
      <c r="BEN880" s="8" t="s">
        <v>309</v>
      </c>
      <c r="BIF880" s="8" t="s">
        <v>280</v>
      </c>
      <c r="BKB880" s="8" t="s">
        <v>280</v>
      </c>
      <c r="BNZ880" s="8" t="s">
        <v>961</v>
      </c>
      <c r="BPV880" s="8" t="s">
        <v>961</v>
      </c>
      <c r="CJU880" s="8" t="s">
        <v>2827</v>
      </c>
      <c r="CLQ880" s="8" t="s">
        <v>2528</v>
      </c>
      <c r="CTD880" s="8" t="s">
        <v>320</v>
      </c>
      <c r="DLP880" s="8" t="s">
        <v>4655</v>
      </c>
      <c r="ERC880" s="8" t="s">
        <v>4907</v>
      </c>
      <c r="ESY880" s="8" t="s">
        <v>4907</v>
      </c>
      <c r="ESZ880" s="8" t="s">
        <v>4907</v>
      </c>
    </row>
    <row r="881" spans="1:995 1352:2027 2075:3053 3080:4088 4136:4280">
      <c r="A881" s="8" t="s">
        <v>1301</v>
      </c>
      <c r="B881" s="10" t="s">
        <v>11061</v>
      </c>
      <c r="C881" s="8">
        <v>320.14999999999998</v>
      </c>
      <c r="D881" s="15">
        <v>20.2</v>
      </c>
      <c r="MJ881" s="8" t="s">
        <v>11061</v>
      </c>
      <c r="AYZ881" s="8" t="s">
        <v>3345</v>
      </c>
      <c r="BGF881" s="8" t="s">
        <v>11072</v>
      </c>
      <c r="BIB881" s="8" t="s">
        <v>10262</v>
      </c>
      <c r="BKH881" s="8" t="s">
        <v>310</v>
      </c>
      <c r="BNZ881" s="8" t="s">
        <v>962</v>
      </c>
      <c r="BOZ881" s="8" t="s">
        <v>310</v>
      </c>
      <c r="BPP881" s="8" t="s">
        <v>281</v>
      </c>
      <c r="BPV881" s="8" t="s">
        <v>310</v>
      </c>
      <c r="BQV881" s="8" t="s">
        <v>962</v>
      </c>
      <c r="BRL881" s="8" t="s">
        <v>281</v>
      </c>
      <c r="BSR881" s="8" t="s">
        <v>962</v>
      </c>
      <c r="CNP881" s="8" t="s">
        <v>2962</v>
      </c>
      <c r="CPL881" s="8" t="s">
        <v>2529</v>
      </c>
      <c r="DFZ881" s="8" t="s">
        <v>321</v>
      </c>
      <c r="DRD881" s="8" t="s">
        <v>4656</v>
      </c>
    </row>
    <row r="882" spans="1:995 1352:2027 2075:3053 3080:4088 4136:4280">
      <c r="A882" s="8" t="s">
        <v>1301</v>
      </c>
      <c r="B882" s="10" t="s">
        <v>11062</v>
      </c>
      <c r="C882" s="8">
        <v>341.35</v>
      </c>
      <c r="D882" s="15">
        <v>4.04</v>
      </c>
      <c r="MO882" s="8" t="s">
        <v>11062</v>
      </c>
      <c r="BAE882" s="8" t="s">
        <v>3346</v>
      </c>
      <c r="BHG882" s="8" t="s">
        <v>311</v>
      </c>
      <c r="BHP882" s="8" t="s">
        <v>963</v>
      </c>
      <c r="BHU882" s="8" t="s">
        <v>11073</v>
      </c>
      <c r="BJQ882" s="8" t="s">
        <v>10263</v>
      </c>
      <c r="BND882" s="8" t="s">
        <v>311</v>
      </c>
      <c r="BSR882" s="8" t="s">
        <v>311</v>
      </c>
      <c r="CAU882" s="8" t="s">
        <v>963</v>
      </c>
      <c r="CCQ882" s="8" t="s">
        <v>963</v>
      </c>
      <c r="CIP882" s="8" t="s">
        <v>283</v>
      </c>
      <c r="CKL882" s="8" t="s">
        <v>283</v>
      </c>
      <c r="DHG882" s="8" t="s">
        <v>322</v>
      </c>
      <c r="DSZ882" s="8" t="s">
        <v>2963</v>
      </c>
      <c r="DUS882" s="8" t="s">
        <v>4569</v>
      </c>
      <c r="DUV882" s="8" t="s">
        <v>2530</v>
      </c>
    </row>
    <row r="883" spans="1:995 1352:2027 2075:3053 3080:4088 4136:4280">
      <c r="A883" s="8" t="s">
        <v>1301</v>
      </c>
      <c r="B883" s="10" t="s">
        <v>11063</v>
      </c>
      <c r="C883" s="8">
        <v>346.39</v>
      </c>
      <c r="D883" s="15">
        <v>16.16</v>
      </c>
      <c r="NG883" s="8" t="s">
        <v>11063</v>
      </c>
      <c r="BAB883" s="17" t="s">
        <v>3347</v>
      </c>
      <c r="BBX883" s="8" t="s">
        <v>3347</v>
      </c>
      <c r="BIL883" s="8" t="s">
        <v>11074</v>
      </c>
      <c r="BKH883" s="8" t="s">
        <v>10264</v>
      </c>
      <c r="BXC883" s="8" t="s">
        <v>312</v>
      </c>
      <c r="BYO883" s="8" t="s">
        <v>312</v>
      </c>
      <c r="BYY883" s="8" t="s">
        <v>964</v>
      </c>
      <c r="CCQ883" s="8" t="s">
        <v>312</v>
      </c>
      <c r="CEW883" s="8" t="s">
        <v>964</v>
      </c>
      <c r="CGS883" s="8" t="s">
        <v>964</v>
      </c>
      <c r="DIO883" s="8" t="s">
        <v>323</v>
      </c>
      <c r="ECI883" s="8" t="s">
        <v>4657</v>
      </c>
      <c r="FDX883" s="8" t="s">
        <v>2828</v>
      </c>
      <c r="FFT883" s="8" t="s">
        <v>2531</v>
      </c>
    </row>
    <row r="884" spans="1:995 1352:2027 2075:3053 3080:4088 4136:4280">
      <c r="A884" s="8" t="s">
        <v>1301</v>
      </c>
      <c r="B884" s="10" t="s">
        <v>11064</v>
      </c>
      <c r="C884" s="8">
        <v>363.55</v>
      </c>
      <c r="D884" s="15">
        <v>10.1</v>
      </c>
      <c r="NR884" s="8" t="s">
        <v>11064</v>
      </c>
      <c r="BBU884" s="8" t="s">
        <v>3348</v>
      </c>
      <c r="BDQ884" s="8" t="s">
        <v>3348</v>
      </c>
      <c r="CBE884" s="8" t="s">
        <v>313</v>
      </c>
      <c r="CEH884" s="8" t="s">
        <v>313</v>
      </c>
      <c r="CEW884" s="8" t="s">
        <v>965</v>
      </c>
      <c r="CGD884" s="8" t="s">
        <v>965</v>
      </c>
      <c r="CGS884" s="8" t="s">
        <v>313</v>
      </c>
      <c r="CHZ884" s="8" t="s">
        <v>965</v>
      </c>
      <c r="CIB884" s="8" t="s">
        <v>11075</v>
      </c>
      <c r="CJX884" s="8" t="s">
        <v>10265</v>
      </c>
      <c r="DJV884" s="8" t="s">
        <v>324</v>
      </c>
      <c r="EEB884" s="8" t="s">
        <v>4570</v>
      </c>
      <c r="FFT884" s="8" t="s">
        <v>2964</v>
      </c>
      <c r="FHP884" s="8" t="s">
        <v>2532</v>
      </c>
    </row>
    <row r="885" spans="1:995 1352:2027 2075:3053 3080:4088 4136:4280">
      <c r="A885" s="8" t="s">
        <v>1301</v>
      </c>
      <c r="B885" s="10" t="s">
        <v>11065</v>
      </c>
      <c r="C885" s="8">
        <v>374.64</v>
      </c>
      <c r="D885" s="15">
        <v>40.39</v>
      </c>
      <c r="PG885" s="8" t="s">
        <v>11065</v>
      </c>
      <c r="BDN885" s="8" t="s">
        <v>3349</v>
      </c>
      <c r="BFJ885" s="8" t="s">
        <v>3349</v>
      </c>
      <c r="CCL885" s="8" t="s">
        <v>314</v>
      </c>
      <c r="CHK885" s="8" t="s">
        <v>966</v>
      </c>
      <c r="CHZ885" s="8" t="s">
        <v>966</v>
      </c>
      <c r="CJG885" s="8" t="s">
        <v>966</v>
      </c>
      <c r="DLC885" s="8" t="s">
        <v>325</v>
      </c>
      <c r="DSZ885" s="8" t="s">
        <v>11076</v>
      </c>
      <c r="DUV885" s="8" t="s">
        <v>10266</v>
      </c>
      <c r="EFX885" s="8" t="s">
        <v>4571</v>
      </c>
    </row>
    <row r="886" spans="1:995 1352:2027 2075:3053 3080:4088 4136:4280">
      <c r="A886" s="8" t="s">
        <v>1301</v>
      </c>
      <c r="B886" s="10" t="s">
        <v>11067</v>
      </c>
      <c r="C886" s="8">
        <v>646.20000000000005</v>
      </c>
      <c r="D886" s="15">
        <v>40.39</v>
      </c>
      <c r="ZS886" s="8" t="s">
        <v>11067</v>
      </c>
      <c r="BFH886" s="8" t="s">
        <v>3350</v>
      </c>
      <c r="BHD886" s="8" t="s">
        <v>3350</v>
      </c>
      <c r="CDS886" s="8" t="s">
        <v>315</v>
      </c>
      <c r="CGW886" s="8" t="s">
        <v>315</v>
      </c>
      <c r="CHK886" s="8" t="s">
        <v>967</v>
      </c>
      <c r="CIS886" s="8" t="s">
        <v>967</v>
      </c>
      <c r="CJG886" s="8" t="s">
        <v>315</v>
      </c>
      <c r="CKO886" s="8" t="s">
        <v>967</v>
      </c>
      <c r="DMK886" s="8" t="s">
        <v>326</v>
      </c>
      <c r="DWR886" s="8" t="s">
        <v>11077</v>
      </c>
      <c r="DYN886" s="8" t="s">
        <v>10267</v>
      </c>
      <c r="EHW886" s="8" t="s">
        <v>4658</v>
      </c>
    </row>
    <row r="887" spans="1:995 1352:2027 2075:3053 3080:4088 4136:4280">
      <c r="A887" s="8" t="s">
        <v>1301</v>
      </c>
      <c r="B887" s="10" t="s">
        <v>11001</v>
      </c>
      <c r="C887" s="8">
        <v>661.9</v>
      </c>
      <c r="D887" s="15">
        <v>10.1</v>
      </c>
      <c r="ZD887" s="8" t="s">
        <v>11001</v>
      </c>
      <c r="BHA887" s="8" t="s">
        <v>3351</v>
      </c>
      <c r="BIW887" s="8" t="s">
        <v>3351</v>
      </c>
      <c r="CFA887" s="8" t="s">
        <v>316</v>
      </c>
      <c r="CID887" s="8" t="s">
        <v>316</v>
      </c>
      <c r="CIS887" s="8" t="s">
        <v>968</v>
      </c>
      <c r="CJZ887" s="8" t="s">
        <v>968</v>
      </c>
      <c r="CKO887" s="8" t="s">
        <v>316</v>
      </c>
      <c r="CLV887" s="8" t="s">
        <v>968</v>
      </c>
      <c r="DNR887" s="8" t="s">
        <v>327</v>
      </c>
      <c r="ECF887" s="8" t="s">
        <v>11078</v>
      </c>
      <c r="EEB887" s="8" t="s">
        <v>10268</v>
      </c>
      <c r="EJP887" s="8" t="s">
        <v>4572</v>
      </c>
    </row>
    <row r="888" spans="1:995 1352:2027 2075:3053 3080:4088 4136:4280">
      <c r="A888" s="8" t="s">
        <v>1301</v>
      </c>
      <c r="B888" s="10" t="s">
        <v>11069</v>
      </c>
      <c r="C888" s="8">
        <v>787.57</v>
      </c>
      <c r="D888" s="15">
        <v>39.22</v>
      </c>
      <c r="AFC888" s="8" t="s">
        <v>11069</v>
      </c>
      <c r="BIT888" s="8" t="s">
        <v>3352</v>
      </c>
      <c r="BKP888" s="8" t="s">
        <v>3352</v>
      </c>
      <c r="CGH888" s="8" t="s">
        <v>317</v>
      </c>
      <c r="CLG888" s="8" t="s">
        <v>969</v>
      </c>
      <c r="CLV888" s="8" t="s">
        <v>969</v>
      </c>
      <c r="CNC888" s="8" t="s">
        <v>969</v>
      </c>
      <c r="DSZ888" s="8" t="s">
        <v>328</v>
      </c>
      <c r="ELL888" s="8" t="s">
        <v>4573</v>
      </c>
      <c r="FAF888" s="8" t="s">
        <v>11079</v>
      </c>
      <c r="FCB888" s="8" t="s">
        <v>10269</v>
      </c>
    </row>
    <row r="889" spans="1:995 1352:2027 2075:3053 3080:4088 4136:4280">
      <c r="A889" s="8" t="s">
        <v>1301</v>
      </c>
      <c r="B889" s="10" t="s">
        <v>11070</v>
      </c>
      <c r="C889" s="8">
        <v>829.25</v>
      </c>
      <c r="D889" s="15">
        <v>9.8000000000000007</v>
      </c>
      <c r="AFO889" s="8" t="s">
        <v>11070</v>
      </c>
      <c r="BAB889" s="17" t="s">
        <v>3347</v>
      </c>
      <c r="BKM889" s="8" t="s">
        <v>3353</v>
      </c>
      <c r="BMI889" s="8" t="s">
        <v>3353</v>
      </c>
      <c r="CHO889" s="8" t="s">
        <v>318</v>
      </c>
      <c r="CKS889" s="8" t="s">
        <v>318</v>
      </c>
      <c r="CLG889" s="8" t="s">
        <v>970</v>
      </c>
      <c r="CMO889" s="8" t="s">
        <v>970</v>
      </c>
      <c r="CNC889" s="8" t="s">
        <v>318</v>
      </c>
      <c r="COK889" s="8" t="s">
        <v>970</v>
      </c>
      <c r="ENH889" s="8" t="s">
        <v>4574</v>
      </c>
      <c r="EUR889" s="8" t="s">
        <v>329</v>
      </c>
    </row>
    <row r="890" spans="1:995 1352:2027 2075:3053 3080:4088 4136:4280">
      <c r="A890" s="8" t="s">
        <v>1301</v>
      </c>
      <c r="B890" s="10" t="s">
        <v>11071</v>
      </c>
      <c r="C890" s="8">
        <v>951.04</v>
      </c>
      <c r="D890" s="15">
        <v>36.35</v>
      </c>
      <c r="ALG890" s="8" t="s">
        <v>11071</v>
      </c>
      <c r="BBU890" s="8" t="s">
        <v>3348</v>
      </c>
      <c r="BMF890" s="8" t="s">
        <v>3354</v>
      </c>
      <c r="BOB890" s="8" t="s">
        <v>3354</v>
      </c>
      <c r="CIW890" s="8" t="s">
        <v>319</v>
      </c>
      <c r="CLZ890" s="8" t="s">
        <v>319</v>
      </c>
      <c r="CMO890" s="8" t="s">
        <v>971</v>
      </c>
      <c r="CNV890" s="8" t="s">
        <v>971</v>
      </c>
      <c r="COK890" s="8" t="s">
        <v>319</v>
      </c>
      <c r="CPR890" s="8" t="s">
        <v>971</v>
      </c>
      <c r="EPD890" s="8" t="s">
        <v>4575</v>
      </c>
    </row>
    <row r="891" spans="1:995 1352:2027 2075:3053 3080:4088 4136:4280">
      <c r="A891" s="8" t="s">
        <v>1301</v>
      </c>
      <c r="B891" s="10" t="s">
        <v>14078</v>
      </c>
      <c r="C891" s="8">
        <v>1302.8</v>
      </c>
      <c r="D891" s="15">
        <v>41.2</v>
      </c>
      <c r="AYZ891" s="8" t="s">
        <v>14078</v>
      </c>
      <c r="AZV891" s="8" t="s">
        <v>3879</v>
      </c>
      <c r="BDN891" s="8" t="s">
        <v>3349</v>
      </c>
      <c r="BNY891" s="8" t="s">
        <v>3355</v>
      </c>
      <c r="BPU891" s="8" t="s">
        <v>3355</v>
      </c>
      <c r="CKD891" s="8" t="s">
        <v>320</v>
      </c>
      <c r="CLZ891" s="8" t="s">
        <v>972</v>
      </c>
      <c r="CMS891" s="8" t="s">
        <v>320</v>
      </c>
      <c r="CPR891" s="8" t="s">
        <v>320</v>
      </c>
      <c r="CRH891" s="8" t="s">
        <v>972</v>
      </c>
      <c r="CTD891" s="8" t="s">
        <v>972</v>
      </c>
      <c r="ESV891" s="8" t="s">
        <v>4576</v>
      </c>
    </row>
    <row r="892" spans="1:995 1352:2027 2075:3053 3080:4088 4136:4280">
      <c r="A892" s="8" t="s">
        <v>1301</v>
      </c>
      <c r="B892" s="10" t="s">
        <v>11072</v>
      </c>
      <c r="C892" s="8">
        <v>1352.14</v>
      </c>
      <c r="D892" s="15">
        <v>36.35</v>
      </c>
      <c r="AZT892" s="8" t="s">
        <v>4101</v>
      </c>
      <c r="BAR892" s="19" t="s">
        <v>11072</v>
      </c>
      <c r="BBP892" s="8" t="s">
        <v>3776</v>
      </c>
      <c r="BFH892" s="8" t="s">
        <v>3350</v>
      </c>
      <c r="BPR892" s="8" t="s">
        <v>3356</v>
      </c>
      <c r="BRN892" s="8" t="s">
        <v>3356</v>
      </c>
      <c r="CFD892" s="8" t="s">
        <v>321</v>
      </c>
      <c r="CGF892" s="8" t="s">
        <v>973</v>
      </c>
      <c r="CNP892" s="8" t="s">
        <v>321</v>
      </c>
      <c r="CTD892" s="8" t="s">
        <v>321</v>
      </c>
      <c r="DED892" s="8" t="s">
        <v>973</v>
      </c>
      <c r="DFZ892" s="8" t="s">
        <v>973</v>
      </c>
      <c r="EUR892" s="8" t="s">
        <v>4577</v>
      </c>
    </row>
    <row r="893" spans="1:995 1352:2027 2075:3053 3080:4088 4136:4280">
      <c r="A893" s="8" t="s">
        <v>1301</v>
      </c>
      <c r="B893" s="10" t="s">
        <v>11073</v>
      </c>
      <c r="C893" s="8">
        <v>1389.49</v>
      </c>
      <c r="D893" s="15">
        <v>39.22</v>
      </c>
      <c r="AZQ893" s="8" t="s">
        <v>4533</v>
      </c>
      <c r="AZW893" s="8" t="s">
        <v>322</v>
      </c>
      <c r="BAU893" s="8" t="s">
        <v>322</v>
      </c>
      <c r="BBM893" s="8" t="s">
        <v>4102</v>
      </c>
      <c r="BBS893" s="8" t="s">
        <v>974</v>
      </c>
      <c r="BCG893" s="8" t="s">
        <v>11073</v>
      </c>
      <c r="BDI893" s="8" t="s">
        <v>3777</v>
      </c>
      <c r="BHA893" s="8" t="s">
        <v>3351</v>
      </c>
      <c r="BRK893" s="8" t="s">
        <v>3357</v>
      </c>
      <c r="BTG893" s="8" t="s">
        <v>3357</v>
      </c>
      <c r="DAL893" s="8" t="s">
        <v>322</v>
      </c>
      <c r="DFK893" s="8" t="s">
        <v>974</v>
      </c>
      <c r="DFZ893" s="8" t="s">
        <v>974</v>
      </c>
      <c r="DHG893" s="8" t="s">
        <v>974</v>
      </c>
      <c r="EYJ893" s="8" t="s">
        <v>4578</v>
      </c>
    </row>
    <row r="894" spans="1:995 1352:2027 2075:3053 3080:4088 4136:4280">
      <c r="A894" s="8" t="s">
        <v>1301</v>
      </c>
      <c r="B894" s="10" t="s">
        <v>11074</v>
      </c>
      <c r="C894" s="8">
        <v>1428.71</v>
      </c>
      <c r="D894" s="15">
        <v>17.649999999999999</v>
      </c>
      <c r="BAN894" s="8" t="s">
        <v>323</v>
      </c>
      <c r="BBJ894" s="8" t="s">
        <v>4534</v>
      </c>
      <c r="BBL894" s="8" t="s">
        <v>323</v>
      </c>
      <c r="BCJ894" s="8" t="s">
        <v>975</v>
      </c>
      <c r="BCX894" s="8" t="s">
        <v>11074</v>
      </c>
      <c r="BDF894" s="8" t="s">
        <v>4103</v>
      </c>
      <c r="BFB894" s="8" t="s">
        <v>3778</v>
      </c>
      <c r="BIT894" s="8" t="s">
        <v>3352</v>
      </c>
      <c r="BTD894" s="8" t="s">
        <v>3358</v>
      </c>
      <c r="BUZ894" s="8" t="s">
        <v>3358</v>
      </c>
      <c r="DBS894" s="8" t="s">
        <v>323</v>
      </c>
      <c r="DEW894" s="8" t="s">
        <v>323</v>
      </c>
      <c r="DFK894" s="8" t="s">
        <v>975</v>
      </c>
      <c r="DGS894" s="8" t="s">
        <v>975</v>
      </c>
      <c r="DHG894" s="8" t="s">
        <v>323</v>
      </c>
      <c r="DIO894" s="8" t="s">
        <v>975</v>
      </c>
      <c r="FAF894" s="8" t="s">
        <v>4579</v>
      </c>
    </row>
    <row r="895" spans="1:995 1352:2027 2075:3053 3080:4088 4136:4280">
      <c r="A895" s="8" t="s">
        <v>1301</v>
      </c>
      <c r="B895" s="10" t="s">
        <v>11075</v>
      </c>
      <c r="C895" s="8">
        <v>2092.39</v>
      </c>
      <c r="D895" s="15">
        <v>19.61</v>
      </c>
      <c r="AYZ895" s="8" t="s">
        <v>5326</v>
      </c>
      <c r="AZA895" s="8" t="s">
        <v>5326</v>
      </c>
      <c r="BAA895" s="8" t="s">
        <v>5611</v>
      </c>
      <c r="BAB895" s="17" t="s">
        <v>5611</v>
      </c>
      <c r="BBD895" s="8" t="s">
        <v>324</v>
      </c>
      <c r="BBW895" s="8" t="s">
        <v>5322</v>
      </c>
      <c r="BBX895" s="8" t="s">
        <v>5322</v>
      </c>
      <c r="BBY895" s="8" t="s">
        <v>5322</v>
      </c>
      <c r="BCB895" s="8" t="s">
        <v>324</v>
      </c>
      <c r="BCZ895" s="8" t="s">
        <v>976</v>
      </c>
      <c r="BDC895" s="8" t="s">
        <v>4535</v>
      </c>
      <c r="BEY895" s="8" t="s">
        <v>4104</v>
      </c>
      <c r="BGU895" s="8" t="s">
        <v>3779</v>
      </c>
      <c r="BKM895" s="8" t="s">
        <v>3353</v>
      </c>
      <c r="BUW895" s="8" t="s">
        <v>3359</v>
      </c>
      <c r="BWS895" s="8" t="s">
        <v>3359</v>
      </c>
      <c r="CCN895" s="8" t="s">
        <v>11075</v>
      </c>
      <c r="DDA895" s="8" t="s">
        <v>324</v>
      </c>
      <c r="DGD895" s="8" t="s">
        <v>324</v>
      </c>
      <c r="DGS895" s="8" t="s">
        <v>976</v>
      </c>
      <c r="DHZ895" s="8" t="s">
        <v>976</v>
      </c>
      <c r="DIO895" s="8" t="s">
        <v>324</v>
      </c>
      <c r="DJV895" s="8" t="s">
        <v>976</v>
      </c>
      <c r="FFT895" s="8" t="s">
        <v>4659</v>
      </c>
    </row>
    <row r="896" spans="1:995 1352:2027 2075:3053 3080:4088 4136:4280">
      <c r="A896" s="8" t="s">
        <v>1301</v>
      </c>
      <c r="B896" s="10" t="s">
        <v>11076</v>
      </c>
      <c r="C896" s="8">
        <v>3032.78</v>
      </c>
      <c r="D896" s="15">
        <v>39.22</v>
      </c>
      <c r="BAV896" s="8" t="s">
        <v>5612</v>
      </c>
      <c r="BAW896" s="8" t="s">
        <v>5612</v>
      </c>
      <c r="BBU896" s="8" t="s">
        <v>325</v>
      </c>
      <c r="BCQ896" s="8" t="s">
        <v>4936</v>
      </c>
      <c r="BCR896" s="8" t="s">
        <v>4936</v>
      </c>
      <c r="BCS896" s="8" t="s">
        <v>4936</v>
      </c>
      <c r="BDQ896" s="8" t="s">
        <v>977</v>
      </c>
      <c r="BEV896" s="8" t="s">
        <v>4536</v>
      </c>
      <c r="BGR896" s="8" t="s">
        <v>4105</v>
      </c>
      <c r="BIN896" s="8" t="s">
        <v>3780</v>
      </c>
      <c r="BMF896" s="8" t="s">
        <v>3354</v>
      </c>
      <c r="BVJ896" s="8" t="s">
        <v>3360</v>
      </c>
      <c r="BXF896" s="8" t="s">
        <v>3360</v>
      </c>
      <c r="DEH896" s="8" t="s">
        <v>325</v>
      </c>
      <c r="DJG896" s="8" t="s">
        <v>977</v>
      </c>
      <c r="DJV896" s="8" t="s">
        <v>977</v>
      </c>
      <c r="DLC896" s="8" t="s">
        <v>977</v>
      </c>
      <c r="DNL896" s="8" t="s">
        <v>11076</v>
      </c>
      <c r="FHP896" s="8" t="s">
        <v>4660</v>
      </c>
    </row>
    <row r="897" spans="1:429 1349:2045 2050:3053 3080:3944 4136:4441 8651:8665">
      <c r="A897" s="8" t="s">
        <v>1301</v>
      </c>
      <c r="B897" s="10" t="s">
        <v>11077</v>
      </c>
      <c r="C897" s="8">
        <v>3150.35</v>
      </c>
      <c r="D897" s="15">
        <v>17.649999999999999</v>
      </c>
      <c r="AYW897" s="8" t="s">
        <v>4946</v>
      </c>
      <c r="BBW897" s="8" t="s">
        <v>5613</v>
      </c>
      <c r="BBX897" s="8" t="s">
        <v>5613</v>
      </c>
      <c r="BCL897" s="8" t="s">
        <v>326</v>
      </c>
      <c r="BDJ897" s="8" t="s">
        <v>326</v>
      </c>
      <c r="BDR897" s="8" t="s">
        <v>4937</v>
      </c>
      <c r="BDT897" s="8" t="s">
        <v>4937</v>
      </c>
      <c r="BEH897" s="8" t="s">
        <v>978</v>
      </c>
      <c r="BGO897" s="8" t="s">
        <v>4537</v>
      </c>
      <c r="BIK897" s="8" t="s">
        <v>4106</v>
      </c>
      <c r="BKG897" s="8" t="s">
        <v>3781</v>
      </c>
      <c r="BNY897" s="8" t="s">
        <v>3355</v>
      </c>
      <c r="BVV897" s="8" t="s">
        <v>3361</v>
      </c>
      <c r="BXR897" s="8" t="s">
        <v>3361</v>
      </c>
      <c r="DFO897" s="8" t="s">
        <v>326</v>
      </c>
      <c r="DIS897" s="8" t="s">
        <v>326</v>
      </c>
      <c r="DJG897" s="8" t="s">
        <v>978</v>
      </c>
      <c r="DKO897" s="8" t="s">
        <v>978</v>
      </c>
      <c r="DLC897" s="8" t="s">
        <v>326</v>
      </c>
      <c r="DMK897" s="8" t="s">
        <v>978</v>
      </c>
      <c r="DRD897" s="8" t="s">
        <v>11077</v>
      </c>
    </row>
    <row r="898" spans="1:429 1349:2045 2050:3053 3080:3944 4136:4441 8651:8665">
      <c r="A898" s="8" t="s">
        <v>1301</v>
      </c>
      <c r="B898" s="10" t="s">
        <v>14079</v>
      </c>
      <c r="C898" s="8">
        <v>3299.88</v>
      </c>
      <c r="D898" s="15">
        <v>12.12</v>
      </c>
      <c r="AZB898" s="8" t="s">
        <v>6375</v>
      </c>
      <c r="BAK898" s="8" t="s">
        <v>4947</v>
      </c>
      <c r="BAL898" s="8" t="s">
        <v>4947</v>
      </c>
      <c r="BCR898" s="8" t="s">
        <v>5614</v>
      </c>
      <c r="BCS898" s="8" t="s">
        <v>5614</v>
      </c>
      <c r="BDB898" s="8" t="s">
        <v>327</v>
      </c>
      <c r="BDZ898" s="8" t="s">
        <v>327</v>
      </c>
      <c r="BEM898" s="8" t="s">
        <v>4938</v>
      </c>
      <c r="BEN898" s="8" t="s">
        <v>4938</v>
      </c>
      <c r="BEO898" s="8" t="s">
        <v>4938</v>
      </c>
      <c r="BEX898" s="8" t="s">
        <v>979</v>
      </c>
      <c r="BIH898" s="8" t="s">
        <v>4538</v>
      </c>
      <c r="BKD898" s="8" t="s">
        <v>4107</v>
      </c>
      <c r="BLZ898" s="8" t="s">
        <v>3782</v>
      </c>
      <c r="BPR898" s="8" t="s">
        <v>3356</v>
      </c>
      <c r="BXO898" s="8" t="s">
        <v>3362</v>
      </c>
      <c r="BZK898" s="8" t="s">
        <v>3362</v>
      </c>
      <c r="DGW898" s="8" t="s">
        <v>327</v>
      </c>
      <c r="DJZ898" s="8" t="s">
        <v>327</v>
      </c>
      <c r="DKO898" s="8" t="s">
        <v>979</v>
      </c>
      <c r="DLV898" s="8" t="s">
        <v>979</v>
      </c>
      <c r="DMK898" s="8" t="s">
        <v>327</v>
      </c>
      <c r="DNR898" s="8" t="s">
        <v>979</v>
      </c>
      <c r="DWR898" s="8" t="s">
        <v>14079</v>
      </c>
    </row>
    <row r="899" spans="1:429 1349:2045 2050:3053 3080:3944 4136:4441 8651:8665">
      <c r="A899" s="8" t="s">
        <v>1301</v>
      </c>
      <c r="B899" s="10" t="s">
        <v>11079</v>
      </c>
      <c r="C899" s="8">
        <v>3929.94</v>
      </c>
      <c r="D899" s="15">
        <v>6.06</v>
      </c>
      <c r="BAU899" s="8" t="s">
        <v>6376</v>
      </c>
      <c r="BBF899" s="8" t="s">
        <v>4948</v>
      </c>
      <c r="BBG899" s="8" t="s">
        <v>4948</v>
      </c>
      <c r="BDS899" s="8" t="s">
        <v>328</v>
      </c>
      <c r="BEQ899" s="8" t="s">
        <v>328</v>
      </c>
      <c r="BFO899" s="8" t="s">
        <v>980</v>
      </c>
      <c r="BIF899" s="8" t="s">
        <v>5615</v>
      </c>
      <c r="BKA899" s="8" t="s">
        <v>5323</v>
      </c>
      <c r="BKB899" s="8" t="s">
        <v>5323</v>
      </c>
      <c r="BKC899" s="8" t="s">
        <v>5323</v>
      </c>
      <c r="BLW899" s="8" t="s">
        <v>4108</v>
      </c>
      <c r="BNS899" s="8" t="s">
        <v>3783</v>
      </c>
      <c r="BRK899" s="8" t="s">
        <v>3357</v>
      </c>
      <c r="BZI899" s="8" t="s">
        <v>3363</v>
      </c>
      <c r="CBE899" s="8" t="s">
        <v>3363</v>
      </c>
      <c r="DHX899" s="8" t="s">
        <v>328</v>
      </c>
      <c r="DID899" s="8" t="s">
        <v>328</v>
      </c>
      <c r="DNR899" s="8" t="s">
        <v>328</v>
      </c>
      <c r="DRD899" s="8" t="s">
        <v>980</v>
      </c>
      <c r="DSZ899" s="8" t="s">
        <v>980</v>
      </c>
      <c r="EUR899" s="8" t="s">
        <v>11079</v>
      </c>
    </row>
    <row r="900" spans="1:429 1349:2045 2050:3053 3080:3944 4136:4441 8651:8665">
      <c r="A900" s="8" t="s">
        <v>1301</v>
      </c>
      <c r="B900" s="10" t="s">
        <v>14080</v>
      </c>
      <c r="C900" s="8">
        <v>4123.96</v>
      </c>
      <c r="D900" s="15">
        <v>4.04</v>
      </c>
      <c r="BCN900" s="8" t="s">
        <v>6377</v>
      </c>
      <c r="BCT900" s="8" t="s">
        <v>4949</v>
      </c>
      <c r="BCU900" s="8" t="s">
        <v>4949</v>
      </c>
      <c r="BGJ900" s="8" t="s">
        <v>329</v>
      </c>
      <c r="BHH900" s="8" t="s">
        <v>329</v>
      </c>
      <c r="BIF900" s="8" t="s">
        <v>981</v>
      </c>
      <c r="BLT900" s="8" t="s">
        <v>4540</v>
      </c>
      <c r="BNP900" s="8" t="s">
        <v>4109</v>
      </c>
      <c r="BNS900" s="8" t="s">
        <v>5616</v>
      </c>
      <c r="BPL900" s="8" t="s">
        <v>3784</v>
      </c>
      <c r="BPN900" s="8" t="s">
        <v>5324</v>
      </c>
      <c r="BPO900" s="8" t="s">
        <v>5324</v>
      </c>
      <c r="BPP900" s="8" t="s">
        <v>5324</v>
      </c>
      <c r="BTD900" s="8" t="s">
        <v>3358</v>
      </c>
      <c r="BZV900" s="8" t="s">
        <v>3364</v>
      </c>
      <c r="CBR900" s="8" t="s">
        <v>3364</v>
      </c>
      <c r="CRH900" s="8" t="s">
        <v>981</v>
      </c>
      <c r="CSK900" s="8" t="s">
        <v>329</v>
      </c>
      <c r="DNL900" s="8" t="s">
        <v>329</v>
      </c>
      <c r="DSZ900" s="8" t="s">
        <v>329</v>
      </c>
      <c r="ESV900" s="8" t="s">
        <v>981</v>
      </c>
      <c r="EUR900" s="8" t="s">
        <v>981</v>
      </c>
      <c r="FCB900" s="8" t="s">
        <v>14080</v>
      </c>
    </row>
    <row r="901" spans="1:429 1349:2045 2050:3053 3080:3944 4136:4441 8651:8665">
      <c r="A901" s="8" t="s">
        <v>1301</v>
      </c>
      <c r="B901" s="10" t="s">
        <v>14081</v>
      </c>
      <c r="C901" s="8">
        <v>4292.74</v>
      </c>
      <c r="D901" s="15">
        <v>39.22</v>
      </c>
      <c r="BCX901" s="8" t="s">
        <v>4950</v>
      </c>
      <c r="BCY901" s="8" t="s">
        <v>4950</v>
      </c>
      <c r="BEG901" s="8" t="s">
        <v>6378</v>
      </c>
      <c r="BNM901" s="8" t="s">
        <v>4541</v>
      </c>
      <c r="BON901" s="8" t="s">
        <v>5617</v>
      </c>
      <c r="BPI901" s="8" t="s">
        <v>4110</v>
      </c>
      <c r="BQI901" s="8" t="s">
        <v>4939</v>
      </c>
      <c r="BQJ901" s="8" t="s">
        <v>4939</v>
      </c>
      <c r="BRE901" s="8" t="s">
        <v>3785</v>
      </c>
      <c r="BUF901" s="8" t="s">
        <v>330</v>
      </c>
      <c r="BUW901" s="8" t="s">
        <v>3359</v>
      </c>
      <c r="BVD901" s="8" t="s">
        <v>330</v>
      </c>
      <c r="BWB901" s="8" t="s">
        <v>982</v>
      </c>
      <c r="CBP901" s="8" t="s">
        <v>3365</v>
      </c>
      <c r="CDL901" s="8" t="s">
        <v>3365</v>
      </c>
      <c r="EBS901" s="8" t="s">
        <v>330</v>
      </c>
      <c r="ECF901" s="8" t="s">
        <v>982</v>
      </c>
      <c r="EPD901" s="8" t="s">
        <v>330</v>
      </c>
      <c r="EUR901" s="8" t="s">
        <v>330</v>
      </c>
      <c r="FJX901" s="8" t="s">
        <v>14081</v>
      </c>
      <c r="FLY901" s="8" t="s">
        <v>982</v>
      </c>
      <c r="FNU901" s="8" t="s">
        <v>982</v>
      </c>
    </row>
    <row r="902" spans="1:429 1349:2045 2050:3053 3080:3944 4136:4441 8651:8665">
      <c r="A902" s="8" t="s">
        <v>1301</v>
      </c>
      <c r="B902" s="10" t="s">
        <v>14082</v>
      </c>
      <c r="C902" s="8">
        <v>4300.53</v>
      </c>
      <c r="D902" s="15">
        <v>39.22</v>
      </c>
      <c r="BEM902" s="8" t="s">
        <v>4951</v>
      </c>
      <c r="BEN902" s="8" t="s">
        <v>4951</v>
      </c>
      <c r="BET902" s="8" t="s">
        <v>6379</v>
      </c>
      <c r="BNZ902" s="8" t="s">
        <v>4542</v>
      </c>
      <c r="BPV902" s="8" t="s">
        <v>4239</v>
      </c>
      <c r="BRR902" s="8" t="s">
        <v>3786</v>
      </c>
      <c r="BVJ902" s="8" t="s">
        <v>3360</v>
      </c>
      <c r="BZE902" s="8" t="s">
        <v>5618</v>
      </c>
      <c r="CAY902" s="8" t="s">
        <v>4940</v>
      </c>
      <c r="CBA902" s="8" t="s">
        <v>4940</v>
      </c>
      <c r="CDI902" s="8" t="s">
        <v>3366</v>
      </c>
      <c r="CDT902" s="8" t="s">
        <v>696</v>
      </c>
      <c r="CER902" s="8" t="s">
        <v>696</v>
      </c>
      <c r="CFE902" s="8" t="s">
        <v>3366</v>
      </c>
      <c r="CFP902" s="8" t="s">
        <v>1270</v>
      </c>
      <c r="FIG902" s="8" t="s">
        <v>696</v>
      </c>
      <c r="FKF902" s="8" t="s">
        <v>14082</v>
      </c>
      <c r="FNU902" s="8" t="s">
        <v>696</v>
      </c>
      <c r="LTS902" s="8" t="s">
        <v>696</v>
      </c>
      <c r="LUG902" s="8" t="s">
        <v>1270</v>
      </c>
    </row>
    <row r="903" spans="1:429 1349:2045 2050:3053 3080:3944 4136:4441 8651:8665">
      <c r="A903" s="8" t="s">
        <v>1301</v>
      </c>
      <c r="B903" s="10" t="s">
        <v>14083</v>
      </c>
      <c r="C903" s="8">
        <v>4347.9399999999996</v>
      </c>
      <c r="D903" s="15">
        <v>39.22</v>
      </c>
      <c r="BFF903" s="8" t="s">
        <v>6380</v>
      </c>
      <c r="BGB903" s="8" t="s">
        <v>305</v>
      </c>
      <c r="BJW903" s="8" t="s">
        <v>4952</v>
      </c>
      <c r="BJX903" s="8" t="s">
        <v>4952</v>
      </c>
      <c r="BOL903" s="8" t="s">
        <v>4543</v>
      </c>
      <c r="BQH903" s="8" t="s">
        <v>4111</v>
      </c>
      <c r="BSD903" s="8" t="s">
        <v>3787</v>
      </c>
      <c r="BVV903" s="8" t="s">
        <v>3361</v>
      </c>
      <c r="CCN903" s="8" t="s">
        <v>5619</v>
      </c>
      <c r="CEI903" s="8" t="s">
        <v>5325</v>
      </c>
      <c r="CEJ903" s="8" t="s">
        <v>5325</v>
      </c>
      <c r="CEK903" s="8" t="s">
        <v>5325</v>
      </c>
      <c r="CEQ903" s="8" t="s">
        <v>3367</v>
      </c>
      <c r="CGM903" s="8" t="s">
        <v>3367</v>
      </c>
      <c r="FMA903" s="8" t="s">
        <v>14083</v>
      </c>
    </row>
    <row r="904" spans="1:429 1349:2045 2050:3053 3080:3944 4136:4441 8651:8665">
      <c r="A904" s="8" t="s">
        <v>1302</v>
      </c>
      <c r="B904" s="10" t="s">
        <v>14084</v>
      </c>
      <c r="C904" s="8">
        <v>-10.17</v>
      </c>
      <c r="D904" s="15">
        <v>34.03</v>
      </c>
      <c r="AF904" s="8" t="s">
        <v>14084</v>
      </c>
      <c r="AZO904" s="8" t="s">
        <v>4544</v>
      </c>
      <c r="BEN904" s="8" t="s">
        <v>306</v>
      </c>
      <c r="BGY904" s="8" t="s">
        <v>6381</v>
      </c>
      <c r="BKB904" s="8" t="s">
        <v>4953</v>
      </c>
      <c r="BKC904" s="8" t="s">
        <v>4953</v>
      </c>
      <c r="BQE904" s="8" t="s">
        <v>4544</v>
      </c>
      <c r="BSA904" s="8" t="s">
        <v>4112</v>
      </c>
      <c r="BTW904" s="8" t="s">
        <v>3788</v>
      </c>
      <c r="BXO904" s="8" t="s">
        <v>3362</v>
      </c>
      <c r="CFC904" s="8" t="s">
        <v>3368</v>
      </c>
      <c r="CGY904" s="8" t="s">
        <v>3368</v>
      </c>
    </row>
    <row r="905" spans="1:429 1349:2045 2050:3053 3080:3944 4136:4441 8651:8665">
      <c r="A905" s="8" t="s">
        <v>1302</v>
      </c>
      <c r="B905" s="10" t="s">
        <v>14085</v>
      </c>
      <c r="C905" s="8">
        <v>60.17</v>
      </c>
      <c r="D905" s="15">
        <v>35.83</v>
      </c>
      <c r="CZ905" s="8" t="s">
        <v>14085</v>
      </c>
      <c r="BBI905" s="8" t="s">
        <v>6137</v>
      </c>
      <c r="BIS905" s="8" t="s">
        <v>6382</v>
      </c>
      <c r="BKB905" s="8" t="s">
        <v>307</v>
      </c>
      <c r="BLX905" s="8" t="s">
        <v>4954</v>
      </c>
      <c r="BLY905" s="8" t="s">
        <v>4954</v>
      </c>
      <c r="BRY905" s="8" t="s">
        <v>4545</v>
      </c>
      <c r="BTU905" s="8" t="s">
        <v>4240</v>
      </c>
      <c r="BVQ905" s="8" t="s">
        <v>3789</v>
      </c>
      <c r="BZI905" s="8" t="s">
        <v>3363</v>
      </c>
      <c r="CGV905" s="8" t="s">
        <v>3369</v>
      </c>
      <c r="CIR905" s="8" t="s">
        <v>3369</v>
      </c>
    </row>
    <row r="906" spans="1:429 1349:2045 2050:3053 3080:3944 4136:4441 8651:8665">
      <c r="A906" s="8" t="s">
        <v>1302</v>
      </c>
      <c r="B906" s="10" t="s">
        <v>14086</v>
      </c>
      <c r="C906" s="8">
        <v>73.02</v>
      </c>
      <c r="D906" s="15">
        <v>35.83</v>
      </c>
      <c r="DM906" s="8" t="s">
        <v>14086</v>
      </c>
      <c r="BBV906" s="8" t="s">
        <v>4546</v>
      </c>
      <c r="BJF906" s="8" t="s">
        <v>6383</v>
      </c>
      <c r="BKB906" s="8" t="s">
        <v>308</v>
      </c>
      <c r="BLX906" s="8" t="s">
        <v>4955</v>
      </c>
      <c r="BLY906" s="8" t="s">
        <v>4955</v>
      </c>
      <c r="BSL906" s="8" t="s">
        <v>4546</v>
      </c>
      <c r="BUH906" s="8" t="s">
        <v>4113</v>
      </c>
      <c r="BWD906" s="8" t="s">
        <v>3790</v>
      </c>
      <c r="BZV906" s="8" t="s">
        <v>3364</v>
      </c>
      <c r="CIO906" s="8" t="s">
        <v>3370</v>
      </c>
      <c r="CKK906" s="8" t="s">
        <v>3370</v>
      </c>
    </row>
    <row r="907" spans="1:429 1349:2045 2050:3053 3080:3944 4136:4441 8651:8665">
      <c r="A907" s="8" t="s">
        <v>1302</v>
      </c>
      <c r="B907" s="10" t="s">
        <v>11080</v>
      </c>
      <c r="C907" s="8">
        <v>109.85</v>
      </c>
      <c r="D907" s="15">
        <v>30.52</v>
      </c>
      <c r="ER907" s="19" t="s">
        <v>11080</v>
      </c>
      <c r="AYZ907" s="8" t="s">
        <v>308</v>
      </c>
      <c r="BAV907" s="8" t="s">
        <v>308</v>
      </c>
      <c r="BDP907" s="8" t="s">
        <v>6138</v>
      </c>
      <c r="BIA907" s="8" t="s">
        <v>11087</v>
      </c>
      <c r="BJW907" s="8" t="s">
        <v>10270</v>
      </c>
      <c r="BKZ907" s="8" t="s">
        <v>6384</v>
      </c>
      <c r="BPV907" s="8" t="s">
        <v>309</v>
      </c>
      <c r="BUF907" s="8" t="s">
        <v>4547</v>
      </c>
      <c r="BWB907" s="8" t="s">
        <v>4241</v>
      </c>
      <c r="BXC907" s="8" t="s">
        <v>4956</v>
      </c>
      <c r="BXD907" s="8" t="s">
        <v>4956</v>
      </c>
      <c r="BXX907" s="8" t="s">
        <v>3791</v>
      </c>
      <c r="CBP907" s="8" t="s">
        <v>3365</v>
      </c>
      <c r="CKH907" s="8" t="s">
        <v>3371</v>
      </c>
      <c r="CMD907" s="8" t="s">
        <v>3371</v>
      </c>
    </row>
    <row r="908" spans="1:429 1349:2045 2050:3053 3080:3944 4136:4441 8651:8665">
      <c r="A908" s="8" t="s">
        <v>1302</v>
      </c>
      <c r="B908" s="10" t="s">
        <v>14087</v>
      </c>
      <c r="C908" s="8">
        <v>124.39</v>
      </c>
      <c r="D908" s="15">
        <v>17.91</v>
      </c>
      <c r="ET908" s="8" t="s">
        <v>14087</v>
      </c>
      <c r="AYZ908" s="8" t="s">
        <v>304</v>
      </c>
      <c r="BAV908" s="8" t="s">
        <v>304</v>
      </c>
      <c r="BFI908" s="8" t="s">
        <v>6139</v>
      </c>
      <c r="BJK908" s="8" t="s">
        <v>11088</v>
      </c>
      <c r="BLG908" s="8" t="s">
        <v>10271</v>
      </c>
      <c r="BMS908" s="8" t="s">
        <v>6385</v>
      </c>
      <c r="BSR908" s="8" t="s">
        <v>310</v>
      </c>
      <c r="BVY908" s="8" t="s">
        <v>4548</v>
      </c>
      <c r="BXU908" s="8" t="s">
        <v>4242</v>
      </c>
      <c r="BZQ908" s="8" t="s">
        <v>3792</v>
      </c>
      <c r="CAR908" s="8" t="s">
        <v>5327</v>
      </c>
      <c r="CAS908" s="8" t="s">
        <v>5327</v>
      </c>
      <c r="CDI908" s="8" t="s">
        <v>3366</v>
      </c>
      <c r="CMB908" s="8" t="s">
        <v>3372</v>
      </c>
      <c r="CNX908" s="8" t="s">
        <v>3372</v>
      </c>
    </row>
    <row r="909" spans="1:429 1349:2045 2050:3053 3080:3944 4136:4441 8651:8665">
      <c r="A909" s="8" t="s">
        <v>1302</v>
      </c>
      <c r="B909" s="10" t="s">
        <v>14088</v>
      </c>
      <c r="C909" s="8">
        <v>163.63999999999999</v>
      </c>
      <c r="D909" s="15">
        <v>17.91</v>
      </c>
      <c r="GH909" s="8" t="s">
        <v>14088</v>
      </c>
      <c r="BBB909" s="8" t="s">
        <v>310</v>
      </c>
      <c r="BCX909" s="8" t="s">
        <v>310</v>
      </c>
      <c r="BET909" s="8" t="s">
        <v>310</v>
      </c>
      <c r="BGP909" s="8" t="s">
        <v>310</v>
      </c>
      <c r="BGQ909" s="8" t="s">
        <v>4549</v>
      </c>
      <c r="BKN909" s="8" t="s">
        <v>11089</v>
      </c>
      <c r="BMJ909" s="8" t="s">
        <v>10272</v>
      </c>
      <c r="BOA909" s="8" t="s">
        <v>6386</v>
      </c>
      <c r="BXG909" s="8" t="s">
        <v>4549</v>
      </c>
      <c r="BZC909" s="8" t="s">
        <v>4114</v>
      </c>
      <c r="CAY909" s="8" t="s">
        <v>3793</v>
      </c>
      <c r="CCQ909" s="8" t="s">
        <v>311</v>
      </c>
      <c r="CEM909" s="8" t="s">
        <v>4957</v>
      </c>
      <c r="CEN909" s="8" t="s">
        <v>4957</v>
      </c>
      <c r="CEQ909" s="8" t="s">
        <v>3367</v>
      </c>
      <c r="CNU909" s="8" t="s">
        <v>3373</v>
      </c>
      <c r="CPQ909" s="8" t="s">
        <v>3373</v>
      </c>
    </row>
    <row r="910" spans="1:429 1349:2045 2050:3053 3080:3944 4136:4441 8651:8665">
      <c r="A910" s="8" t="s">
        <v>1302</v>
      </c>
      <c r="B910" s="10" t="s">
        <v>14089</v>
      </c>
      <c r="C910" s="8">
        <v>250.26</v>
      </c>
      <c r="D910" s="15">
        <v>35.83</v>
      </c>
      <c r="KH910" s="8" t="s">
        <v>14089</v>
      </c>
      <c r="BAF910" s="8" t="s">
        <v>1584</v>
      </c>
      <c r="BDX910" s="8" t="s">
        <v>311</v>
      </c>
      <c r="BFT910" s="8" t="s">
        <v>311</v>
      </c>
      <c r="BHC910" s="8" t="s">
        <v>4550</v>
      </c>
      <c r="BHP910" s="8" t="s">
        <v>311</v>
      </c>
      <c r="BJL910" s="8" t="s">
        <v>311</v>
      </c>
      <c r="BLR910" s="8" t="s">
        <v>11090</v>
      </c>
      <c r="BNN910" s="8" t="s">
        <v>10273</v>
      </c>
      <c r="BOM910" s="8" t="s">
        <v>6387</v>
      </c>
      <c r="BXS910" s="8" t="s">
        <v>4550</v>
      </c>
      <c r="BZO910" s="8" t="s">
        <v>4115</v>
      </c>
      <c r="CBK910" s="8" t="s">
        <v>3794</v>
      </c>
      <c r="CFC910" s="8" t="s">
        <v>3368</v>
      </c>
      <c r="CGS910" s="8" t="s">
        <v>312</v>
      </c>
      <c r="CJX910" s="8" t="s">
        <v>4958</v>
      </c>
      <c r="CJY910" s="8" t="s">
        <v>4958</v>
      </c>
      <c r="CPN910" s="8" t="s">
        <v>3374</v>
      </c>
      <c r="CRJ910" s="8" t="s">
        <v>3374</v>
      </c>
    </row>
    <row r="911" spans="1:429 1349:2045 2050:3053 3080:3944 4136:4441 8651:8665">
      <c r="A911" s="8" t="s">
        <v>1302</v>
      </c>
      <c r="B911" s="10" t="s">
        <v>14090</v>
      </c>
      <c r="C911" s="8">
        <v>295.61</v>
      </c>
      <c r="D911" s="15">
        <v>35.83</v>
      </c>
      <c r="MA911" s="8" t="s">
        <v>14090</v>
      </c>
      <c r="BII911" s="8" t="s">
        <v>2014</v>
      </c>
      <c r="BIV911" s="8" t="s">
        <v>4551</v>
      </c>
      <c r="BKE911" s="8" t="s">
        <v>1585</v>
      </c>
      <c r="BMV911" s="8" t="s">
        <v>11091</v>
      </c>
      <c r="BNW911" s="8" t="s">
        <v>312</v>
      </c>
      <c r="BOR911" s="8" t="s">
        <v>10274</v>
      </c>
      <c r="BPS911" s="8" t="s">
        <v>312</v>
      </c>
      <c r="BQF911" s="8" t="s">
        <v>6388</v>
      </c>
      <c r="BRO911" s="8" t="s">
        <v>312</v>
      </c>
      <c r="BTK911" s="8" t="s">
        <v>312</v>
      </c>
      <c r="BZL911" s="8" t="s">
        <v>4551</v>
      </c>
      <c r="CBH911" s="8" t="s">
        <v>4116</v>
      </c>
      <c r="CDD911" s="8" t="s">
        <v>3795</v>
      </c>
      <c r="CGV911" s="8" t="s">
        <v>3369</v>
      </c>
      <c r="CHZ911" s="8" t="s">
        <v>313</v>
      </c>
      <c r="CRG911" s="8" t="s">
        <v>3375</v>
      </c>
      <c r="CTC911" s="8" t="s">
        <v>3375</v>
      </c>
      <c r="CTG911" s="8" t="s">
        <v>4959</v>
      </c>
      <c r="CTH911" s="8" t="s">
        <v>4959</v>
      </c>
    </row>
    <row r="912" spans="1:429 1349:2045 2050:3053 3080:3944 4136:4441 8651:8665">
      <c r="A912" s="8" t="s">
        <v>1302</v>
      </c>
      <c r="B912" s="10" t="s">
        <v>14091</v>
      </c>
      <c r="C912" s="8">
        <v>385.5</v>
      </c>
      <c r="D912" s="15">
        <v>35.83</v>
      </c>
      <c r="PM912" s="8" t="s">
        <v>14091</v>
      </c>
      <c r="BKO912" s="8" t="s">
        <v>4552</v>
      </c>
      <c r="BMK912" s="8" t="s">
        <v>2015</v>
      </c>
      <c r="BNY912" s="8" t="s">
        <v>11092</v>
      </c>
      <c r="BOG912" s="8" t="s">
        <v>1586</v>
      </c>
      <c r="BPU912" s="8" t="s">
        <v>10275</v>
      </c>
      <c r="BRY912" s="8" t="s">
        <v>6389</v>
      </c>
      <c r="BTU912" s="8" t="s">
        <v>313</v>
      </c>
      <c r="BVQ912" s="8" t="s">
        <v>313</v>
      </c>
      <c r="BXM912" s="8" t="s">
        <v>313</v>
      </c>
      <c r="CBE912" s="8" t="s">
        <v>4552</v>
      </c>
      <c r="CDA912" s="8" t="s">
        <v>4117</v>
      </c>
      <c r="CEW912" s="8" t="s">
        <v>3796</v>
      </c>
      <c r="CIO912" s="8" t="s">
        <v>3370</v>
      </c>
      <c r="CJG912" s="8" t="s">
        <v>314</v>
      </c>
      <c r="CTA912" s="8" t="s">
        <v>3376</v>
      </c>
      <c r="CUW912" s="8" t="s">
        <v>3376</v>
      </c>
      <c r="EEE912" s="8" t="s">
        <v>4960</v>
      </c>
      <c r="EEF912" s="8" t="s">
        <v>4960</v>
      </c>
    </row>
    <row r="913" spans="1:1016 1115:2045 2055:3053 3080:3992 4328:4329">
      <c r="A913" s="8" t="s">
        <v>1302</v>
      </c>
      <c r="B913" s="10" t="s">
        <v>14092</v>
      </c>
      <c r="C913" s="8">
        <v>398.67</v>
      </c>
      <c r="D913" s="15">
        <v>227.74</v>
      </c>
      <c r="XJ913" s="8" t="s">
        <v>14092</v>
      </c>
      <c r="BEN913" s="8" t="s">
        <v>332</v>
      </c>
      <c r="BMH913" s="8" t="s">
        <v>4553</v>
      </c>
      <c r="BNR913" s="8" t="s">
        <v>2016</v>
      </c>
      <c r="BPN913" s="8" t="s">
        <v>1587</v>
      </c>
      <c r="BPP913" s="8" t="s">
        <v>11093</v>
      </c>
      <c r="BRL913" s="8" t="s">
        <v>10276</v>
      </c>
      <c r="BTF913" s="8" t="s">
        <v>314</v>
      </c>
      <c r="BTR913" s="8" t="s">
        <v>6390</v>
      </c>
      <c r="BVB913" s="8" t="s">
        <v>314</v>
      </c>
      <c r="BWX913" s="8" t="s">
        <v>314</v>
      </c>
      <c r="BYT913" s="8" t="s">
        <v>314</v>
      </c>
      <c r="CCX913" s="8" t="s">
        <v>4553</v>
      </c>
      <c r="CET913" s="8" t="s">
        <v>4118</v>
      </c>
      <c r="CGP913" s="8" t="s">
        <v>3797</v>
      </c>
      <c r="CKH913" s="8" t="s">
        <v>3371</v>
      </c>
      <c r="CKO913" s="8" t="s">
        <v>315</v>
      </c>
      <c r="CUT913" s="8" t="s">
        <v>3377</v>
      </c>
      <c r="CWP913" s="8" t="s">
        <v>3377</v>
      </c>
      <c r="ELL913" s="8" t="s">
        <v>4961</v>
      </c>
      <c r="ELM913" s="8" t="s">
        <v>4961</v>
      </c>
    </row>
    <row r="914" spans="1:1016 1115:2045 2055:3053 3080:3992 4328:4329">
      <c r="A914" s="8" t="s">
        <v>1302</v>
      </c>
      <c r="B914" s="10" t="s">
        <v>11081</v>
      </c>
      <c r="C914" s="8">
        <v>698.11</v>
      </c>
      <c r="D914" s="15">
        <v>8.6999999999999993</v>
      </c>
      <c r="AAM914" s="8" t="s">
        <v>11081</v>
      </c>
      <c r="BKB914" s="8" t="s">
        <v>333</v>
      </c>
      <c r="BOB914" s="8" t="s">
        <v>4554</v>
      </c>
      <c r="BOY914" s="8" t="s">
        <v>2017</v>
      </c>
      <c r="BQU914" s="8" t="s">
        <v>1588</v>
      </c>
      <c r="BRL914" s="8" t="s">
        <v>11094</v>
      </c>
      <c r="BTH914" s="8" t="s">
        <v>10277</v>
      </c>
      <c r="BUM914" s="8" t="s">
        <v>315</v>
      </c>
      <c r="BVL914" s="8" t="s">
        <v>6391</v>
      </c>
      <c r="BWI914" s="8" t="s">
        <v>315</v>
      </c>
      <c r="BYE914" s="8" t="s">
        <v>315</v>
      </c>
      <c r="CAA914" s="8" t="s">
        <v>315</v>
      </c>
      <c r="CER914" s="8" t="s">
        <v>4554</v>
      </c>
      <c r="CGN914" s="8" t="s">
        <v>4119</v>
      </c>
      <c r="CIJ914" s="8" t="s">
        <v>3798</v>
      </c>
      <c r="CLV914" s="8" t="s">
        <v>316</v>
      </c>
      <c r="CMB914" s="8" t="s">
        <v>3372</v>
      </c>
      <c r="CWM914" s="8" t="s">
        <v>3378</v>
      </c>
      <c r="CYI914" s="8" t="s">
        <v>3378</v>
      </c>
      <c r="FJL914" s="8" t="s">
        <v>4962</v>
      </c>
      <c r="FJM914" s="8" t="s">
        <v>4962</v>
      </c>
    </row>
    <row r="915" spans="1:1016 1115:2045 2055:3053 3080:3992 4328:4329">
      <c r="A915" s="8" t="s">
        <v>1302</v>
      </c>
      <c r="B915" s="10" t="s">
        <v>11082</v>
      </c>
      <c r="C915" s="8">
        <v>707.8</v>
      </c>
      <c r="D915" s="15">
        <v>34.78</v>
      </c>
      <c r="ABW915" s="8" t="s">
        <v>11082</v>
      </c>
      <c r="BKB915" s="8" t="s">
        <v>334</v>
      </c>
      <c r="BPU915" s="8" t="s">
        <v>4555</v>
      </c>
      <c r="BQG915" s="8" t="s">
        <v>2018</v>
      </c>
      <c r="BRX915" s="8" t="s">
        <v>11095</v>
      </c>
      <c r="BSC915" s="8" t="s">
        <v>1589</v>
      </c>
      <c r="BTT915" s="8" t="s">
        <v>10278</v>
      </c>
      <c r="BVU915" s="8" t="s">
        <v>316</v>
      </c>
      <c r="BXE915" s="8" t="s">
        <v>6392</v>
      </c>
      <c r="BXQ915" s="8" t="s">
        <v>316</v>
      </c>
      <c r="BZM915" s="8" t="s">
        <v>316</v>
      </c>
      <c r="CBI915" s="8" t="s">
        <v>316</v>
      </c>
      <c r="CGK915" s="8" t="s">
        <v>4555</v>
      </c>
      <c r="CIG915" s="8" t="s">
        <v>4120</v>
      </c>
      <c r="CKC915" s="8" t="s">
        <v>3799</v>
      </c>
      <c r="CNC915" s="8" t="s">
        <v>317</v>
      </c>
      <c r="CNU915" s="8" t="s">
        <v>3373</v>
      </c>
      <c r="CYF915" s="8" t="s">
        <v>3379</v>
      </c>
      <c r="DAB915" s="8" t="s">
        <v>3379</v>
      </c>
    </row>
    <row r="916" spans="1:1016 1115:2045 2055:3053 3080:3992 4328:4329">
      <c r="A916" s="8" t="s">
        <v>1302</v>
      </c>
      <c r="B916" s="10" t="s">
        <v>11083</v>
      </c>
      <c r="C916" s="8">
        <v>743.59</v>
      </c>
      <c r="D916" s="15">
        <v>34.78</v>
      </c>
      <c r="ADF916" s="8" t="s">
        <v>11083</v>
      </c>
      <c r="BAO916" s="8" t="s">
        <v>2533</v>
      </c>
      <c r="BRL916" s="8" t="s">
        <v>335</v>
      </c>
      <c r="BRN916" s="8" t="s">
        <v>4556</v>
      </c>
      <c r="BTH916" s="8" t="s">
        <v>11096</v>
      </c>
      <c r="BTJ916" s="8" t="s">
        <v>1590</v>
      </c>
      <c r="BVD916" s="8" t="s">
        <v>10279</v>
      </c>
      <c r="BXB916" s="8" t="s">
        <v>317</v>
      </c>
      <c r="BYX916" s="8" t="s">
        <v>6393</v>
      </c>
      <c r="CAT916" s="8" t="s">
        <v>317</v>
      </c>
      <c r="CCP916" s="8" t="s">
        <v>317</v>
      </c>
      <c r="CID916" s="8" t="s">
        <v>4556</v>
      </c>
      <c r="CJZ916" s="8" t="s">
        <v>4121</v>
      </c>
      <c r="CLV916" s="8" t="s">
        <v>3800</v>
      </c>
      <c r="COK916" s="8" t="s">
        <v>318</v>
      </c>
      <c r="CPN916" s="8" t="s">
        <v>3374</v>
      </c>
      <c r="CZY916" s="8" t="s">
        <v>3380</v>
      </c>
      <c r="DBU916" s="8" t="s">
        <v>3380</v>
      </c>
    </row>
    <row r="917" spans="1:1016 1115:2045 2055:3053 3080:3992 4328:4329">
      <c r="A917" s="8" t="s">
        <v>1302</v>
      </c>
      <c r="B917" s="10" t="s">
        <v>11084</v>
      </c>
      <c r="C917" s="8">
        <v>779.37</v>
      </c>
      <c r="D917" s="15">
        <v>34.78</v>
      </c>
      <c r="AEP917" s="8" t="s">
        <v>11084</v>
      </c>
      <c r="BAL917" s="8" t="s">
        <v>2829</v>
      </c>
      <c r="BCH917" s="8" t="s">
        <v>2534</v>
      </c>
      <c r="BSU917" s="8" t="s">
        <v>2019</v>
      </c>
      <c r="BTG917" s="8" t="s">
        <v>4557</v>
      </c>
      <c r="BTT917" s="8" t="s">
        <v>11097</v>
      </c>
      <c r="BUQ917" s="8" t="s">
        <v>1591</v>
      </c>
      <c r="BVP917" s="8" t="s">
        <v>10280</v>
      </c>
      <c r="BYI917" s="8" t="s">
        <v>318</v>
      </c>
      <c r="CAE917" s="8" t="s">
        <v>318</v>
      </c>
      <c r="CAQ917" s="8" t="s">
        <v>6394</v>
      </c>
      <c r="CCA917" s="8" t="s">
        <v>318</v>
      </c>
      <c r="CDW917" s="8" t="s">
        <v>318</v>
      </c>
      <c r="CGF917" s="8" t="s">
        <v>336</v>
      </c>
      <c r="CJW917" s="8" t="s">
        <v>4557</v>
      </c>
      <c r="CLS917" s="8" t="s">
        <v>4122</v>
      </c>
      <c r="CNO917" s="8" t="s">
        <v>3801</v>
      </c>
      <c r="CPR917" s="8" t="s">
        <v>319</v>
      </c>
      <c r="CRG917" s="8" t="s">
        <v>3375</v>
      </c>
      <c r="DCO917" s="8" t="s">
        <v>3381</v>
      </c>
      <c r="DEK917" s="8" t="s">
        <v>3381</v>
      </c>
    </row>
    <row r="918" spans="1:1016 1115:2045 2055:3053 3080:3992 4328:4329">
      <c r="A918" s="8" t="s">
        <v>1302</v>
      </c>
      <c r="B918" s="10" t="s">
        <v>11085</v>
      </c>
      <c r="C918" s="8">
        <v>990.61</v>
      </c>
      <c r="D918" s="15">
        <v>17.39</v>
      </c>
      <c r="AMB918" s="8" t="s">
        <v>11085</v>
      </c>
      <c r="BCE918" s="8" t="s">
        <v>2830</v>
      </c>
      <c r="BEA918" s="8" t="s">
        <v>2535</v>
      </c>
      <c r="BUC918" s="8" t="s">
        <v>2020</v>
      </c>
      <c r="BVA918" s="8" t="s">
        <v>4558</v>
      </c>
      <c r="BVD918" s="8" t="s">
        <v>11098</v>
      </c>
      <c r="BVY918" s="8" t="s">
        <v>1592</v>
      </c>
      <c r="BWZ918" s="8" t="s">
        <v>10281</v>
      </c>
      <c r="BZQ918" s="8" t="s">
        <v>319</v>
      </c>
      <c r="CBM918" s="8" t="s">
        <v>319</v>
      </c>
      <c r="CCK918" s="8" t="s">
        <v>6395</v>
      </c>
      <c r="CDI918" s="8" t="s">
        <v>319</v>
      </c>
      <c r="CFE918" s="8" t="s">
        <v>319</v>
      </c>
      <c r="CLQ918" s="8" t="s">
        <v>4558</v>
      </c>
      <c r="CNM918" s="8" t="s">
        <v>4123</v>
      </c>
      <c r="CPI918" s="8" t="s">
        <v>3802</v>
      </c>
      <c r="CRH918" s="8" t="s">
        <v>337</v>
      </c>
      <c r="CTA918" s="8" t="s">
        <v>3376</v>
      </c>
      <c r="CTD918" s="8" t="s">
        <v>320</v>
      </c>
      <c r="DHX918" s="8" t="s">
        <v>3382</v>
      </c>
      <c r="DJT918" s="8" t="s">
        <v>3382</v>
      </c>
    </row>
    <row r="919" spans="1:1016 1115:2045 2055:3053 3080:3992 4328:4329">
      <c r="A919" s="8" t="s">
        <v>1302</v>
      </c>
      <c r="B919" s="10" t="s">
        <v>11086</v>
      </c>
      <c r="C919" s="8">
        <v>1072.1600000000001</v>
      </c>
      <c r="D919" s="15">
        <v>34.78</v>
      </c>
      <c r="APW919" s="8" t="s">
        <v>11086</v>
      </c>
      <c r="AYZ919" s="8" t="s">
        <v>286</v>
      </c>
      <c r="BAV919" s="8" t="s">
        <v>286</v>
      </c>
      <c r="BFR919" s="8" t="s">
        <v>2965</v>
      </c>
      <c r="BHN919" s="8" t="s">
        <v>2536</v>
      </c>
      <c r="BVJ919" s="8" t="s">
        <v>2021</v>
      </c>
      <c r="BWT919" s="8" t="s">
        <v>4559</v>
      </c>
      <c r="BXF919" s="8" t="s">
        <v>1593</v>
      </c>
      <c r="CAX919" s="8" t="s">
        <v>320</v>
      </c>
      <c r="CCT919" s="8" t="s">
        <v>320</v>
      </c>
      <c r="CED919" s="8" t="s">
        <v>6396</v>
      </c>
      <c r="CEP919" s="8" t="s">
        <v>320</v>
      </c>
      <c r="CFA919" s="8" t="s">
        <v>11099</v>
      </c>
      <c r="CGL919" s="8" t="s">
        <v>320</v>
      </c>
      <c r="CGW919" s="8" t="s">
        <v>10282</v>
      </c>
      <c r="CNJ919" s="8" t="s">
        <v>4559</v>
      </c>
      <c r="CPF919" s="8" t="s">
        <v>4124</v>
      </c>
      <c r="CRB919" s="8" t="s">
        <v>3803</v>
      </c>
      <c r="CUT919" s="8" t="s">
        <v>3377</v>
      </c>
      <c r="DFZ919" s="8" t="s">
        <v>321</v>
      </c>
      <c r="DJT919" s="8" t="s">
        <v>3383</v>
      </c>
      <c r="DLP919" s="8" t="s">
        <v>3383</v>
      </c>
      <c r="DNU919" s="8" t="s">
        <v>338</v>
      </c>
    </row>
    <row r="920" spans="1:1016 1115:2045 2055:3053 3080:3992 4328:4329">
      <c r="A920" s="8" t="s">
        <v>1302</v>
      </c>
      <c r="B920" s="10" t="s">
        <v>11087</v>
      </c>
      <c r="C920" s="8">
        <v>1400.07</v>
      </c>
      <c r="D920" s="15">
        <v>34.78</v>
      </c>
      <c r="BCM920" s="8" t="s">
        <v>11087</v>
      </c>
      <c r="BCR920" s="8" t="s">
        <v>287</v>
      </c>
      <c r="BEN920" s="8" t="s">
        <v>287</v>
      </c>
      <c r="BHW920" s="8" t="s">
        <v>2831</v>
      </c>
      <c r="BJS920" s="8" t="s">
        <v>2537</v>
      </c>
      <c r="BYM920" s="8" t="s">
        <v>4560</v>
      </c>
      <c r="BYV920" s="8" t="s">
        <v>2022</v>
      </c>
      <c r="CAR920" s="8" t="s">
        <v>1594</v>
      </c>
      <c r="CEJ920" s="8" t="s">
        <v>321</v>
      </c>
      <c r="CFW920" s="8" t="s">
        <v>6397</v>
      </c>
      <c r="CGF920" s="8" t="s">
        <v>321</v>
      </c>
      <c r="CIB920" s="8" t="s">
        <v>11100</v>
      </c>
      <c r="CJX920" s="8" t="s">
        <v>10283</v>
      </c>
      <c r="CPC920" s="8" t="s">
        <v>4560</v>
      </c>
      <c r="CQY920" s="8" t="s">
        <v>4125</v>
      </c>
      <c r="CSU920" s="8" t="s">
        <v>3804</v>
      </c>
      <c r="CWM920" s="8" t="s">
        <v>3378</v>
      </c>
      <c r="DHG920" s="8" t="s">
        <v>322</v>
      </c>
      <c r="DLP920" s="8" t="s">
        <v>3384</v>
      </c>
      <c r="DNL920" s="8" t="s">
        <v>3384</v>
      </c>
    </row>
    <row r="921" spans="1:1016 1115:2045 2055:3053 3080:3992 4328:4329">
      <c r="A921" s="8" t="s">
        <v>1302</v>
      </c>
      <c r="B921" s="10" t="s">
        <v>11088</v>
      </c>
      <c r="C921" s="8">
        <v>1435.85</v>
      </c>
      <c r="D921" s="15">
        <v>34.78</v>
      </c>
      <c r="BDW921" s="8" t="s">
        <v>11088</v>
      </c>
      <c r="BIF921" s="8" t="s">
        <v>288</v>
      </c>
      <c r="BIO921" s="8" t="s">
        <v>2832</v>
      </c>
      <c r="BKB921" s="8" t="s">
        <v>288</v>
      </c>
      <c r="BKK921" s="8" t="s">
        <v>2538</v>
      </c>
      <c r="CAF921" s="8" t="s">
        <v>4561</v>
      </c>
      <c r="CHP921" s="8" t="s">
        <v>6398</v>
      </c>
      <c r="CJX921" s="8" t="s">
        <v>11101</v>
      </c>
      <c r="CLR921" s="8" t="s">
        <v>2023</v>
      </c>
      <c r="CLT921" s="8" t="s">
        <v>10284</v>
      </c>
      <c r="CNN921" s="8" t="s">
        <v>1595</v>
      </c>
      <c r="CQV921" s="8" t="s">
        <v>4561</v>
      </c>
      <c r="CRF921" s="8" t="s">
        <v>322</v>
      </c>
      <c r="CSR921" s="8" t="s">
        <v>4126</v>
      </c>
      <c r="CTB921" s="8" t="s">
        <v>322</v>
      </c>
      <c r="CUN921" s="8" t="s">
        <v>3805</v>
      </c>
      <c r="CUX921" s="8" t="s">
        <v>322</v>
      </c>
      <c r="CWT921" s="8" t="s">
        <v>322</v>
      </c>
      <c r="CYF921" s="8" t="s">
        <v>3379</v>
      </c>
      <c r="DIO921" s="8" t="s">
        <v>323</v>
      </c>
      <c r="DNL921" s="8" t="s">
        <v>3385</v>
      </c>
      <c r="DPH921" s="8" t="s">
        <v>3385</v>
      </c>
    </row>
    <row r="922" spans="1:1016 1115:2045 2055:3053 3080:3992 4328:4329">
      <c r="A922" s="8" t="s">
        <v>1302</v>
      </c>
      <c r="B922" s="10" t="s">
        <v>11089</v>
      </c>
      <c r="C922" s="8">
        <v>1465.48</v>
      </c>
      <c r="D922" s="15">
        <v>34.78</v>
      </c>
      <c r="BEZ922" s="8" t="s">
        <v>11089</v>
      </c>
      <c r="BIF922" s="8" t="s">
        <v>289</v>
      </c>
      <c r="BKB922" s="8" t="s">
        <v>289</v>
      </c>
      <c r="BKI922" s="8" t="s">
        <v>2833</v>
      </c>
      <c r="BME922" s="8" t="s">
        <v>2539</v>
      </c>
      <c r="CBY922" s="8" t="s">
        <v>4562</v>
      </c>
      <c r="CJI922" s="8" t="s">
        <v>6399</v>
      </c>
      <c r="CMY922" s="8" t="s">
        <v>2024</v>
      </c>
      <c r="COU922" s="8" t="s">
        <v>1596</v>
      </c>
      <c r="CSM922" s="8" t="s">
        <v>323</v>
      </c>
      <c r="CSO922" s="8" t="s">
        <v>4562</v>
      </c>
      <c r="CUI922" s="8" t="s">
        <v>323</v>
      </c>
      <c r="CUK922" s="8" t="s">
        <v>4127</v>
      </c>
      <c r="CWE922" s="8" t="s">
        <v>323</v>
      </c>
      <c r="CWG922" s="8" t="s">
        <v>3806</v>
      </c>
      <c r="CWY922" s="8" t="s">
        <v>11102</v>
      </c>
      <c r="CYA922" s="8" t="s">
        <v>323</v>
      </c>
      <c r="CYU922" s="8" t="s">
        <v>10285</v>
      </c>
      <c r="CZY922" s="8" t="s">
        <v>3380</v>
      </c>
      <c r="DJV922" s="8" t="s">
        <v>324</v>
      </c>
      <c r="DRD922" s="8" t="s">
        <v>3386</v>
      </c>
      <c r="DSZ922" s="8" t="s">
        <v>3386</v>
      </c>
    </row>
    <row r="923" spans="1:1016 1115:2045 2055:3053 3080:3992 4328:4329">
      <c r="A923" s="8" t="s">
        <v>1302</v>
      </c>
      <c r="B923" s="10" t="s">
        <v>11090</v>
      </c>
      <c r="C923" s="8">
        <v>1495.11</v>
      </c>
      <c r="D923" s="15">
        <v>34.78</v>
      </c>
      <c r="BGD923" s="8" t="s">
        <v>11090</v>
      </c>
      <c r="BKP923" s="8" t="s">
        <v>290</v>
      </c>
      <c r="BMB923" s="8" t="s">
        <v>2834</v>
      </c>
      <c r="BML923" s="8" t="s">
        <v>290</v>
      </c>
      <c r="BNX923" s="8" t="s">
        <v>2540</v>
      </c>
      <c r="CEO923" s="8" t="s">
        <v>4563</v>
      </c>
      <c r="CLY923" s="8" t="s">
        <v>6400</v>
      </c>
      <c r="COG923" s="8" t="s">
        <v>2025</v>
      </c>
      <c r="CQC923" s="8" t="s">
        <v>1597</v>
      </c>
      <c r="CTU923" s="8" t="s">
        <v>324</v>
      </c>
      <c r="CVE923" s="8" t="s">
        <v>4563</v>
      </c>
      <c r="CVQ923" s="8" t="s">
        <v>324</v>
      </c>
      <c r="CXA923" s="8" t="s">
        <v>4128</v>
      </c>
      <c r="CXM923" s="8" t="s">
        <v>324</v>
      </c>
      <c r="CYW923" s="8" t="s">
        <v>3807</v>
      </c>
      <c r="CZI923" s="8" t="s">
        <v>324</v>
      </c>
      <c r="DCO923" s="8" t="s">
        <v>3381</v>
      </c>
      <c r="DLC923" s="8" t="s">
        <v>325</v>
      </c>
      <c r="DPT923" s="8" t="s">
        <v>11103</v>
      </c>
      <c r="DRP923" s="8" t="s">
        <v>10286</v>
      </c>
      <c r="ECC923" s="8" t="s">
        <v>3387</v>
      </c>
      <c r="EDY923" s="8" t="s">
        <v>3387</v>
      </c>
    </row>
    <row r="924" spans="1:1016 1115:2045 2055:3053 3080:3992 4328:4329">
      <c r="A924" s="8" t="s">
        <v>1302</v>
      </c>
      <c r="B924" s="10" t="s">
        <v>11091</v>
      </c>
      <c r="C924" s="8">
        <v>1524.74</v>
      </c>
      <c r="D924" s="15">
        <v>34.78</v>
      </c>
      <c r="AZM924" s="8" t="s">
        <v>4908</v>
      </c>
      <c r="BBI924" s="8" t="s">
        <v>4908</v>
      </c>
      <c r="BBJ924" s="8" t="s">
        <v>4908</v>
      </c>
      <c r="BHH924" s="8" t="s">
        <v>11091</v>
      </c>
      <c r="BLX924" s="8" t="s">
        <v>291</v>
      </c>
      <c r="BNT924" s="8" t="s">
        <v>291</v>
      </c>
      <c r="BPO924" s="8" t="s">
        <v>2835</v>
      </c>
      <c r="BRK924" s="8" t="s">
        <v>2541</v>
      </c>
      <c r="CJX924" s="8" t="s">
        <v>4564</v>
      </c>
      <c r="CPN924" s="8" t="s">
        <v>2026</v>
      </c>
      <c r="CRH924" s="8" t="s">
        <v>6401</v>
      </c>
      <c r="CRJ924" s="8" t="s">
        <v>1598</v>
      </c>
      <c r="CVB924" s="8" t="s">
        <v>325</v>
      </c>
      <c r="CWX924" s="8" t="s">
        <v>325</v>
      </c>
      <c r="CYT924" s="8" t="s">
        <v>325</v>
      </c>
      <c r="DAN924" s="8" t="s">
        <v>4564</v>
      </c>
      <c r="DAP924" s="8" t="s">
        <v>325</v>
      </c>
      <c r="DCJ924" s="8" t="s">
        <v>4129</v>
      </c>
      <c r="DEF924" s="8" t="s">
        <v>3808</v>
      </c>
      <c r="DHX924" s="8" t="s">
        <v>3382</v>
      </c>
      <c r="DMK924" s="8" t="s">
        <v>326</v>
      </c>
      <c r="DQX924" s="8" t="s">
        <v>11104</v>
      </c>
      <c r="DST924" s="8" t="s">
        <v>10287</v>
      </c>
      <c r="ELL924" s="8" t="s">
        <v>3388</v>
      </c>
      <c r="ENH924" s="8" t="s">
        <v>3388</v>
      </c>
    </row>
    <row r="925" spans="1:1016 1115:2045 2055:3053 3080:3992 4328:4329">
      <c r="A925" s="8" t="s">
        <v>1302</v>
      </c>
      <c r="B925" s="10" t="s">
        <v>11092</v>
      </c>
      <c r="C925" s="8">
        <v>1554.37</v>
      </c>
      <c r="D925" s="15">
        <v>34.78</v>
      </c>
      <c r="BAT925" s="8" t="s">
        <v>4909</v>
      </c>
      <c r="BAU925" s="8" t="s">
        <v>4909</v>
      </c>
      <c r="BCP925" s="8" t="s">
        <v>4909</v>
      </c>
      <c r="BCQ925" s="8" t="s">
        <v>4909</v>
      </c>
      <c r="BIK925" s="8" t="s">
        <v>11092</v>
      </c>
      <c r="BRH925" s="8" t="s">
        <v>2836</v>
      </c>
      <c r="BTD925" s="8" t="s">
        <v>2542</v>
      </c>
      <c r="BWZ925" s="8" t="s">
        <v>292</v>
      </c>
      <c r="BYV925" s="8" t="s">
        <v>292</v>
      </c>
      <c r="CLT925" s="8" t="s">
        <v>4565</v>
      </c>
      <c r="CQU925" s="8" t="s">
        <v>2027</v>
      </c>
      <c r="CSQ925" s="8" t="s">
        <v>1599</v>
      </c>
      <c r="CTD925" s="8" t="s">
        <v>6402</v>
      </c>
      <c r="CWI925" s="8" t="s">
        <v>326</v>
      </c>
      <c r="CYE925" s="8" t="s">
        <v>326</v>
      </c>
      <c r="DAA925" s="8" t="s">
        <v>326</v>
      </c>
      <c r="DBW925" s="8" t="s">
        <v>326</v>
      </c>
      <c r="DCJ925" s="8" t="s">
        <v>4565</v>
      </c>
      <c r="DEF925" s="8" t="s">
        <v>4130</v>
      </c>
      <c r="DGB925" s="8" t="s">
        <v>3809</v>
      </c>
      <c r="DJT925" s="8" t="s">
        <v>3383</v>
      </c>
      <c r="DNR925" s="8" t="s">
        <v>327</v>
      </c>
      <c r="DRD925" s="8" t="s">
        <v>11105</v>
      </c>
      <c r="DSZ925" s="8" t="s">
        <v>10288</v>
      </c>
      <c r="ENH925" s="8" t="s">
        <v>3389</v>
      </c>
      <c r="EPD925" s="8" t="s">
        <v>3389</v>
      </c>
    </row>
    <row r="926" spans="1:1016 1115:2045 2055:3053 3080:3992 4328:4329">
      <c r="A926" s="8" t="s">
        <v>1302</v>
      </c>
      <c r="B926" s="10" t="s">
        <v>11093</v>
      </c>
      <c r="C926" s="8">
        <v>1597.22</v>
      </c>
      <c r="D926" s="15">
        <v>34.78</v>
      </c>
      <c r="BCA926" s="8" t="s">
        <v>4910</v>
      </c>
      <c r="BCB926" s="8" t="s">
        <v>4910</v>
      </c>
      <c r="BCR926" s="8" t="s">
        <v>983</v>
      </c>
      <c r="BDW926" s="8" t="s">
        <v>4910</v>
      </c>
      <c r="BDX926" s="8" t="s">
        <v>4910</v>
      </c>
      <c r="BEN926" s="8" t="s">
        <v>983</v>
      </c>
      <c r="BKB926" s="8" t="s">
        <v>11093</v>
      </c>
      <c r="BTA926" s="8" t="s">
        <v>2837</v>
      </c>
      <c r="BUW926" s="8" t="s">
        <v>2543</v>
      </c>
      <c r="BYY926" s="8" t="s">
        <v>293</v>
      </c>
      <c r="CAU926" s="8" t="s">
        <v>293</v>
      </c>
      <c r="CNP926" s="8" t="s">
        <v>4566</v>
      </c>
      <c r="CSC926" s="8" t="s">
        <v>2028</v>
      </c>
      <c r="CTY926" s="8" t="s">
        <v>1600</v>
      </c>
      <c r="CUZ926" s="8" t="s">
        <v>6403</v>
      </c>
      <c r="CXQ926" s="8" t="s">
        <v>327</v>
      </c>
      <c r="CZM926" s="8" t="s">
        <v>327</v>
      </c>
      <c r="DBI926" s="8" t="s">
        <v>327</v>
      </c>
      <c r="DDE926" s="8" t="s">
        <v>327</v>
      </c>
      <c r="DEF926" s="8" t="s">
        <v>4566</v>
      </c>
      <c r="DGB926" s="8" t="s">
        <v>4131</v>
      </c>
      <c r="DHX926" s="8" t="s">
        <v>3810</v>
      </c>
      <c r="DLP926" s="8" t="s">
        <v>3384</v>
      </c>
      <c r="DSZ926" s="8" t="s">
        <v>11106</v>
      </c>
      <c r="DUV926" s="8" t="s">
        <v>10289</v>
      </c>
      <c r="EQZ926" s="8" t="s">
        <v>3390</v>
      </c>
      <c r="ESV926" s="8" t="s">
        <v>3390</v>
      </c>
    </row>
    <row r="927" spans="1:1016 1115:2045 2055:3053 3080:3992 4328:4329">
      <c r="A927" s="8" t="s">
        <v>1302</v>
      </c>
      <c r="B927" s="10" t="s">
        <v>11094</v>
      </c>
      <c r="C927" s="8">
        <v>1645.22</v>
      </c>
      <c r="D927" s="15">
        <v>34.78</v>
      </c>
      <c r="AYZ927" s="8" t="s">
        <v>333</v>
      </c>
      <c r="BCR927" s="8" t="s">
        <v>4911</v>
      </c>
      <c r="BCS927" s="8" t="s">
        <v>4911</v>
      </c>
      <c r="BEN927" s="8" t="s">
        <v>4911</v>
      </c>
      <c r="BEO927" s="8" t="s">
        <v>4911</v>
      </c>
      <c r="BIF927" s="8" t="s">
        <v>984</v>
      </c>
      <c r="BKB927" s="8" t="s">
        <v>984</v>
      </c>
      <c r="BLX927" s="8" t="s">
        <v>11094</v>
      </c>
      <c r="BUR927" s="8" t="s">
        <v>2966</v>
      </c>
      <c r="BWN927" s="8" t="s">
        <v>2544</v>
      </c>
      <c r="CFE927" s="8" t="s">
        <v>294</v>
      </c>
      <c r="CHA927" s="8" t="s">
        <v>294</v>
      </c>
      <c r="CPL927" s="8" t="s">
        <v>4567</v>
      </c>
      <c r="CTJ927" s="8" t="s">
        <v>2029</v>
      </c>
      <c r="CVF927" s="8" t="s">
        <v>1601</v>
      </c>
      <c r="CWV927" s="8" t="s">
        <v>6404</v>
      </c>
      <c r="CYX927" s="8" t="s">
        <v>328</v>
      </c>
      <c r="DAT927" s="8" t="s">
        <v>328</v>
      </c>
      <c r="DCP927" s="8" t="s">
        <v>328</v>
      </c>
      <c r="DEL927" s="8" t="s">
        <v>328</v>
      </c>
      <c r="DGB927" s="8" t="s">
        <v>4567</v>
      </c>
      <c r="DHX927" s="8" t="s">
        <v>4132</v>
      </c>
      <c r="DJT927" s="8" t="s">
        <v>3811</v>
      </c>
      <c r="DNL927" s="8" t="s">
        <v>3385</v>
      </c>
      <c r="DTL927" s="8" t="s">
        <v>11107</v>
      </c>
      <c r="DVH927" s="8" t="s">
        <v>10290</v>
      </c>
      <c r="ESV927" s="8" t="s">
        <v>3391</v>
      </c>
      <c r="EUR927" s="8" t="s">
        <v>3391</v>
      </c>
    </row>
    <row r="928" spans="1:1016 1115:2045 2055:3053 3080:3992 4328:4329">
      <c r="A928" s="8" t="s">
        <v>1302</v>
      </c>
      <c r="B928" s="10" t="s">
        <v>11095</v>
      </c>
      <c r="C928" s="8">
        <v>1683.52</v>
      </c>
      <c r="D928" s="15">
        <v>8.6999999999999993</v>
      </c>
      <c r="BDI928" s="8" t="s">
        <v>4912</v>
      </c>
      <c r="BEN928" s="8" t="s">
        <v>334</v>
      </c>
      <c r="BFE928" s="8" t="s">
        <v>4912</v>
      </c>
      <c r="BFF928" s="8" t="s">
        <v>4912</v>
      </c>
      <c r="BIF928" s="8" t="s">
        <v>985</v>
      </c>
      <c r="BKB928" s="8" t="s">
        <v>985</v>
      </c>
      <c r="BLK928" s="8" t="s">
        <v>334</v>
      </c>
      <c r="BMJ928" s="8" t="s">
        <v>11095</v>
      </c>
      <c r="BVD928" s="8" t="s">
        <v>2838</v>
      </c>
      <c r="BWZ928" s="8" t="s">
        <v>2545</v>
      </c>
      <c r="CGL928" s="8" t="s">
        <v>295</v>
      </c>
      <c r="CIH928" s="8" t="s">
        <v>295</v>
      </c>
      <c r="CTD928" s="8" t="s">
        <v>4568</v>
      </c>
      <c r="CYR928" s="8" t="s">
        <v>2030</v>
      </c>
      <c r="DAN928" s="8" t="s">
        <v>6405</v>
      </c>
      <c r="DEF928" s="8" t="s">
        <v>329</v>
      </c>
      <c r="DGB928" s="8" t="s">
        <v>329</v>
      </c>
      <c r="DHX928" s="8" t="s">
        <v>329</v>
      </c>
      <c r="DJT928" s="8" t="s">
        <v>4568</v>
      </c>
      <c r="DLP928" s="8" t="s">
        <v>4133</v>
      </c>
      <c r="DNL928" s="8" t="s">
        <v>3812</v>
      </c>
      <c r="DRD928" s="8" t="s">
        <v>3386</v>
      </c>
      <c r="DUV928" s="8" t="s">
        <v>11108</v>
      </c>
      <c r="DWR928" s="8" t="s">
        <v>10291</v>
      </c>
      <c r="EUR928" s="8" t="s">
        <v>3392</v>
      </c>
      <c r="EWN928" s="8" t="s">
        <v>3392</v>
      </c>
    </row>
    <row r="929" spans="1:4 1352:2041 2055:3041 3080:4094 4105:4334 5977:6017">
      <c r="A929" s="8" t="s">
        <v>1302</v>
      </c>
      <c r="B929" s="10" t="s">
        <v>11096</v>
      </c>
      <c r="C929" s="8">
        <v>1693.22</v>
      </c>
      <c r="D929" s="15">
        <v>34.78</v>
      </c>
      <c r="BCR929" s="8" t="s">
        <v>986</v>
      </c>
      <c r="BEN929" s="8" t="s">
        <v>335</v>
      </c>
      <c r="BEP929" s="8" t="s">
        <v>4913</v>
      </c>
      <c r="BEQ929" s="8" t="s">
        <v>4913</v>
      </c>
      <c r="BGL929" s="8" t="s">
        <v>4913</v>
      </c>
      <c r="BGM929" s="8" t="s">
        <v>4913</v>
      </c>
      <c r="BKB929" s="8" t="s">
        <v>335</v>
      </c>
      <c r="BNT929" s="8" t="s">
        <v>11096</v>
      </c>
      <c r="BPP929" s="8" t="s">
        <v>986</v>
      </c>
      <c r="BRL929" s="8" t="s">
        <v>986</v>
      </c>
      <c r="BWX929" s="8" t="s">
        <v>2839</v>
      </c>
      <c r="BYT929" s="8" t="s">
        <v>2546</v>
      </c>
      <c r="CKX929" s="8" t="s">
        <v>296</v>
      </c>
      <c r="CMT929" s="8" t="s">
        <v>296</v>
      </c>
      <c r="DEC929" s="8" t="s">
        <v>4569</v>
      </c>
      <c r="DLM929" s="8" t="s">
        <v>6406</v>
      </c>
      <c r="DUS929" s="8" t="s">
        <v>4569</v>
      </c>
      <c r="DWO929" s="8" t="s">
        <v>4134</v>
      </c>
      <c r="DWR929" s="8" t="s">
        <v>11109</v>
      </c>
      <c r="DYK929" s="8" t="s">
        <v>3813</v>
      </c>
      <c r="DYN929" s="8" t="s">
        <v>10292</v>
      </c>
      <c r="EAJ929" s="8" t="s">
        <v>2031</v>
      </c>
      <c r="ECC929" s="8" t="s">
        <v>3387</v>
      </c>
      <c r="ECF929" s="8" t="s">
        <v>1602</v>
      </c>
      <c r="EFX929" s="8" t="s">
        <v>330</v>
      </c>
      <c r="EHT929" s="8" t="s">
        <v>330</v>
      </c>
      <c r="EJP929" s="8" t="s">
        <v>330</v>
      </c>
      <c r="ELL929" s="8" t="s">
        <v>330</v>
      </c>
      <c r="EWN929" s="8" t="s">
        <v>3393</v>
      </c>
      <c r="EYJ929" s="8" t="s">
        <v>3393</v>
      </c>
    </row>
    <row r="930" spans="1:4 1352:2041 2055:3041 3080:4094 4105:4334 5977:6017">
      <c r="A930" s="8" t="s">
        <v>1302</v>
      </c>
      <c r="B930" s="10" t="s">
        <v>11097</v>
      </c>
      <c r="C930" s="8">
        <v>1736.63</v>
      </c>
      <c r="D930" s="15">
        <v>3.58</v>
      </c>
      <c r="BBO930" s="8" t="s">
        <v>336</v>
      </c>
      <c r="BCR930" s="8" t="s">
        <v>987</v>
      </c>
      <c r="BFW930" s="8" t="s">
        <v>4914</v>
      </c>
      <c r="BFX930" s="8" t="s">
        <v>4914</v>
      </c>
      <c r="BHS930" s="8" t="s">
        <v>4914</v>
      </c>
      <c r="BHT930" s="8" t="s">
        <v>4914</v>
      </c>
      <c r="BLX930" s="8" t="s">
        <v>336</v>
      </c>
      <c r="BOF930" s="8" t="s">
        <v>11097</v>
      </c>
      <c r="BRL930" s="8" t="s">
        <v>336</v>
      </c>
      <c r="BWZ930" s="8" t="s">
        <v>2967</v>
      </c>
      <c r="BYV930" s="8" t="s">
        <v>2547</v>
      </c>
      <c r="CEJ930" s="8" t="s">
        <v>987</v>
      </c>
      <c r="CGF930" s="8" t="s">
        <v>987</v>
      </c>
      <c r="CWV930" s="8" t="s">
        <v>1324</v>
      </c>
      <c r="CYR930" s="8" t="s">
        <v>1324</v>
      </c>
      <c r="DNL930" s="8" t="s">
        <v>4570</v>
      </c>
      <c r="DUV930" s="8" t="s">
        <v>6407</v>
      </c>
      <c r="DYN930" s="8" t="s">
        <v>11110</v>
      </c>
      <c r="EAJ930" s="8" t="s">
        <v>10293</v>
      </c>
      <c r="EEB930" s="8" t="s">
        <v>4570</v>
      </c>
      <c r="EFX930" s="8" t="s">
        <v>4135</v>
      </c>
      <c r="EHT930" s="8" t="s">
        <v>3814</v>
      </c>
      <c r="ELL930" s="8" t="s">
        <v>3388</v>
      </c>
      <c r="ETM930" s="8" t="s">
        <v>2032</v>
      </c>
      <c r="EVI930" s="8" t="s">
        <v>1603</v>
      </c>
      <c r="EZA930" s="8" t="s">
        <v>696</v>
      </c>
      <c r="FAF930" s="8" t="s">
        <v>3394</v>
      </c>
      <c r="FAW930" s="8" t="s">
        <v>696</v>
      </c>
      <c r="FCB930" s="8" t="s">
        <v>3394</v>
      </c>
      <c r="FCS930" s="8" t="s">
        <v>696</v>
      </c>
      <c r="FEO930" s="8" t="s">
        <v>696</v>
      </c>
    </row>
    <row r="931" spans="1:4 1352:2041 2055:3041 3080:4094 4105:4334 5977:6017">
      <c r="A931" s="8" t="s">
        <v>1302</v>
      </c>
      <c r="B931" s="10" t="s">
        <v>11098</v>
      </c>
      <c r="C931" s="8">
        <v>1741.22</v>
      </c>
      <c r="D931" s="15">
        <v>34.78</v>
      </c>
      <c r="BHE931" s="8" t="s">
        <v>4915</v>
      </c>
      <c r="BJA931" s="8" t="s">
        <v>4915</v>
      </c>
      <c r="BJB931" s="8" t="s">
        <v>4915</v>
      </c>
      <c r="BPP931" s="8" t="s">
        <v>11098</v>
      </c>
      <c r="BVD931" s="8" t="s">
        <v>988</v>
      </c>
      <c r="BVR931" s="8" t="s">
        <v>337</v>
      </c>
      <c r="BXK931" s="8" t="s">
        <v>2840</v>
      </c>
      <c r="BZG931" s="8" t="s">
        <v>2548</v>
      </c>
      <c r="CAR931" s="8" t="s">
        <v>337</v>
      </c>
      <c r="CGF931" s="8" t="s">
        <v>337</v>
      </c>
      <c r="CPL931" s="8" t="s">
        <v>988</v>
      </c>
      <c r="CRH931" s="8" t="s">
        <v>988</v>
      </c>
      <c r="DAP931" s="8" t="s">
        <v>297</v>
      </c>
      <c r="DCL931" s="8" t="s">
        <v>297</v>
      </c>
      <c r="DPH931" s="8" t="s">
        <v>4571</v>
      </c>
      <c r="DWR931" s="8" t="s">
        <v>6408</v>
      </c>
      <c r="EAJ931" s="8" t="s">
        <v>11111</v>
      </c>
      <c r="ECF931" s="8" t="s">
        <v>10294</v>
      </c>
      <c r="EFX931" s="8" t="s">
        <v>4571</v>
      </c>
      <c r="EHT931" s="8" t="s">
        <v>4136</v>
      </c>
      <c r="EJP931" s="8" t="s">
        <v>3815</v>
      </c>
      <c r="ENH931" s="8" t="s">
        <v>3389</v>
      </c>
      <c r="EUT931" s="8" t="s">
        <v>2033</v>
      </c>
      <c r="EWP931" s="8" t="s">
        <v>1604</v>
      </c>
      <c r="FAH931" s="8" t="s">
        <v>1326</v>
      </c>
      <c r="FCB931" s="8" t="s">
        <v>3395</v>
      </c>
      <c r="FCD931" s="8" t="s">
        <v>1326</v>
      </c>
      <c r="FDX931" s="8" t="s">
        <v>3395</v>
      </c>
      <c r="FDZ931" s="8" t="s">
        <v>1326</v>
      </c>
      <c r="FFV931" s="8" t="s">
        <v>1326</v>
      </c>
    </row>
    <row r="932" spans="1:4 1352:2041 2055:3041 3080:4094 4105:4334 5977:6017">
      <c r="A932" s="8" t="s">
        <v>1302</v>
      </c>
      <c r="B932" s="10" t="s">
        <v>11099</v>
      </c>
      <c r="C932" s="8">
        <v>1998.61</v>
      </c>
      <c r="D932" s="15">
        <v>34.78</v>
      </c>
      <c r="BIL932" s="8" t="s">
        <v>4916</v>
      </c>
      <c r="BIM932" s="8" t="s">
        <v>4916</v>
      </c>
      <c r="BKH932" s="8" t="s">
        <v>4916</v>
      </c>
      <c r="BKI932" s="8" t="s">
        <v>4916</v>
      </c>
      <c r="BVD932" s="8" t="s">
        <v>989</v>
      </c>
      <c r="BVQ932" s="8" t="s">
        <v>338</v>
      </c>
      <c r="BYV932" s="8" t="s">
        <v>2968</v>
      </c>
      <c r="BZM932" s="8" t="s">
        <v>11099</v>
      </c>
      <c r="CAR932" s="8" t="s">
        <v>2549</v>
      </c>
      <c r="CLT932" s="8" t="s">
        <v>338</v>
      </c>
      <c r="CRH932" s="8" t="s">
        <v>338</v>
      </c>
      <c r="DBW932" s="8" t="s">
        <v>298</v>
      </c>
      <c r="DDS932" s="8" t="s">
        <v>298</v>
      </c>
      <c r="DLY932" s="8" t="s">
        <v>989</v>
      </c>
      <c r="DNU932" s="8" t="s">
        <v>989</v>
      </c>
      <c r="DSZ932" s="8" t="s">
        <v>4572</v>
      </c>
      <c r="EAJ932" s="8" t="s">
        <v>6409</v>
      </c>
      <c r="EFX932" s="8" t="s">
        <v>11112</v>
      </c>
      <c r="EHT932" s="8" t="s">
        <v>10295</v>
      </c>
      <c r="EJP932" s="8" t="s">
        <v>4572</v>
      </c>
      <c r="ELL932" s="8" t="s">
        <v>4137</v>
      </c>
      <c r="ENH932" s="8" t="s">
        <v>3816</v>
      </c>
      <c r="EQZ932" s="8" t="s">
        <v>3390</v>
      </c>
      <c r="EWA932" s="8" t="s">
        <v>2034</v>
      </c>
      <c r="EXW932" s="8" t="s">
        <v>1605</v>
      </c>
      <c r="FBO932" s="8" t="s">
        <v>1327</v>
      </c>
      <c r="FDK932" s="8" t="s">
        <v>1327</v>
      </c>
      <c r="FFG932" s="8" t="s">
        <v>1327</v>
      </c>
      <c r="FFT932" s="8" t="s">
        <v>3396</v>
      </c>
      <c r="FHC932" s="8" t="s">
        <v>1327</v>
      </c>
      <c r="FHP932" s="8" t="s">
        <v>3396</v>
      </c>
    </row>
    <row r="933" spans="1:4 1352:2041 2055:3041 3080:4094 4105:4334 5977:6017">
      <c r="A933" s="8" t="s">
        <v>1302</v>
      </c>
      <c r="B933" s="10" t="s">
        <v>11100</v>
      </c>
      <c r="C933" s="8">
        <v>2077.2199999999998</v>
      </c>
      <c r="D933" s="15">
        <v>34.78</v>
      </c>
      <c r="BDT933" s="8" t="s">
        <v>339</v>
      </c>
      <c r="BER933" s="8" t="s">
        <v>339</v>
      </c>
      <c r="BFP933" s="8" t="s">
        <v>1271</v>
      </c>
      <c r="BLX933" s="8" t="s">
        <v>4917</v>
      </c>
      <c r="BNT933" s="8" t="s">
        <v>4917</v>
      </c>
      <c r="BNU933" s="8" t="s">
        <v>4917</v>
      </c>
      <c r="BYV933" s="8" t="s">
        <v>2841</v>
      </c>
      <c r="CAR933" s="8" t="s">
        <v>2550</v>
      </c>
      <c r="CCN933" s="8" t="s">
        <v>11100</v>
      </c>
      <c r="DDE933" s="8" t="s">
        <v>299</v>
      </c>
      <c r="DFA933" s="8" t="s">
        <v>299</v>
      </c>
      <c r="DIG933" s="8" t="s">
        <v>339</v>
      </c>
      <c r="DNU933" s="8" t="s">
        <v>339</v>
      </c>
      <c r="DUV933" s="8" t="s">
        <v>4573</v>
      </c>
      <c r="ECF933" s="8" t="s">
        <v>6410</v>
      </c>
      <c r="EHT933" s="8" t="s">
        <v>11113</v>
      </c>
      <c r="EJP933" s="8" t="s">
        <v>10296</v>
      </c>
      <c r="ELL933" s="8" t="s">
        <v>4573</v>
      </c>
      <c r="ENH933" s="8" t="s">
        <v>4138</v>
      </c>
      <c r="EPD933" s="8" t="s">
        <v>3817</v>
      </c>
      <c r="ESV933" s="8" t="s">
        <v>3391</v>
      </c>
      <c r="EXI933" s="8" t="s">
        <v>2035</v>
      </c>
      <c r="EZE933" s="8" t="s">
        <v>1606</v>
      </c>
      <c r="FCW933" s="8" t="s">
        <v>1328</v>
      </c>
      <c r="FES933" s="8" t="s">
        <v>1328</v>
      </c>
      <c r="FGO933" s="8" t="s">
        <v>1328</v>
      </c>
      <c r="FHP933" s="8" t="s">
        <v>3397</v>
      </c>
      <c r="FIK933" s="8" t="s">
        <v>1328</v>
      </c>
      <c r="FJL933" s="8" t="s">
        <v>3397</v>
      </c>
      <c r="HUW933" s="8" t="s">
        <v>339</v>
      </c>
      <c r="HWK933" s="8" t="s">
        <v>1271</v>
      </c>
    </row>
    <row r="934" spans="1:4 1352:2041 2055:3041 3080:4094 4105:4334 5977:6017">
      <c r="A934" s="8" t="s">
        <v>1302</v>
      </c>
      <c r="B934" s="10" t="s">
        <v>11101</v>
      </c>
      <c r="C934" s="8">
        <v>2125.2199999999998</v>
      </c>
      <c r="D934" s="15">
        <v>34.78</v>
      </c>
      <c r="BYT934" s="8" t="s">
        <v>4918</v>
      </c>
      <c r="BYU934" s="8" t="s">
        <v>4918</v>
      </c>
      <c r="BYV934" s="8" t="s">
        <v>2842</v>
      </c>
      <c r="CAP934" s="8" t="s">
        <v>4918</v>
      </c>
      <c r="CAQ934" s="8" t="s">
        <v>4918</v>
      </c>
      <c r="CAR934" s="8" t="s">
        <v>2551</v>
      </c>
      <c r="CEJ934" s="8" t="s">
        <v>11101</v>
      </c>
      <c r="DEL934" s="8" t="s">
        <v>300</v>
      </c>
      <c r="DGH934" s="8" t="s">
        <v>300</v>
      </c>
      <c r="DWR934" s="8" t="s">
        <v>4574</v>
      </c>
      <c r="EEB934" s="8" t="s">
        <v>6411</v>
      </c>
      <c r="EJP934" s="8" t="s">
        <v>11114</v>
      </c>
      <c r="ELL934" s="8" t="s">
        <v>10297</v>
      </c>
      <c r="ENH934" s="8" t="s">
        <v>4574</v>
      </c>
      <c r="EPD934" s="8" t="s">
        <v>4139</v>
      </c>
      <c r="EQZ934" s="8" t="s">
        <v>3818</v>
      </c>
      <c r="EUR934" s="8" t="s">
        <v>3392</v>
      </c>
      <c r="EWN934" s="8" t="s">
        <v>2036</v>
      </c>
      <c r="EYJ934" s="8" t="s">
        <v>1607</v>
      </c>
      <c r="FCB934" s="8" t="s">
        <v>1329</v>
      </c>
      <c r="FDX934" s="8" t="s">
        <v>1329</v>
      </c>
      <c r="FFT934" s="8" t="s">
        <v>1329</v>
      </c>
      <c r="FHP934" s="8" t="s">
        <v>1329</v>
      </c>
    </row>
    <row r="935" spans="1:4 1352:2041 2055:3041 3080:4094 4105:4334 5977:6017">
      <c r="A935" s="8" t="s">
        <v>1302</v>
      </c>
      <c r="B935" s="10" t="s">
        <v>11102</v>
      </c>
      <c r="C935" s="8">
        <v>2464.16</v>
      </c>
      <c r="D935" s="15">
        <v>34.78</v>
      </c>
      <c r="CAA935" s="8" t="s">
        <v>4919</v>
      </c>
      <c r="CAB935" s="8" t="s">
        <v>4919</v>
      </c>
      <c r="CBW935" s="8" t="s">
        <v>4919</v>
      </c>
      <c r="CBX935" s="8" t="s">
        <v>4919</v>
      </c>
      <c r="CCN935" s="8" t="s">
        <v>2969</v>
      </c>
      <c r="CEJ935" s="8" t="s">
        <v>2552</v>
      </c>
      <c r="CRK935" s="8" t="s">
        <v>11102</v>
      </c>
      <c r="DEI935" s="8" t="s">
        <v>301</v>
      </c>
      <c r="DGE935" s="8" t="s">
        <v>301</v>
      </c>
      <c r="DYN935" s="8" t="s">
        <v>4575</v>
      </c>
      <c r="EFX935" s="8" t="s">
        <v>6412</v>
      </c>
      <c r="ELL935" s="8" t="s">
        <v>11115</v>
      </c>
      <c r="ENH935" s="8" t="s">
        <v>10298</v>
      </c>
      <c r="EPD935" s="8" t="s">
        <v>4575</v>
      </c>
      <c r="EQZ935" s="8" t="s">
        <v>4140</v>
      </c>
      <c r="ESV935" s="8" t="s">
        <v>3819</v>
      </c>
      <c r="EWN935" s="8" t="s">
        <v>3393</v>
      </c>
      <c r="EYP935" s="8" t="s">
        <v>2037</v>
      </c>
      <c r="FAL935" s="8" t="s">
        <v>1608</v>
      </c>
      <c r="FED935" s="8" t="s">
        <v>1330</v>
      </c>
      <c r="FFZ935" s="8" t="s">
        <v>1330</v>
      </c>
      <c r="FHV935" s="8" t="s">
        <v>1330</v>
      </c>
      <c r="FJR935" s="8" t="s">
        <v>1330</v>
      </c>
    </row>
    <row r="936" spans="1:4 1352:2041 2055:3041 3080:4094 4105:4334 5977:6017">
      <c r="A936" s="8" t="s">
        <v>1302</v>
      </c>
      <c r="B936" s="10" t="s">
        <v>11103</v>
      </c>
      <c r="C936" s="8">
        <v>2953.48</v>
      </c>
      <c r="D936" s="15">
        <v>34.78</v>
      </c>
      <c r="CBI936" s="8" t="s">
        <v>4920</v>
      </c>
      <c r="CDE936" s="8" t="s">
        <v>4920</v>
      </c>
      <c r="CDF936" s="8" t="s">
        <v>4920</v>
      </c>
      <c r="CGF936" s="8" t="s">
        <v>2843</v>
      </c>
      <c r="CIB936" s="8" t="s">
        <v>2553</v>
      </c>
      <c r="DJT936" s="8" t="s">
        <v>1325</v>
      </c>
      <c r="DKF936" s="8" t="s">
        <v>11103</v>
      </c>
      <c r="DLP936" s="8" t="s">
        <v>1325</v>
      </c>
      <c r="ECF936" s="8" t="s">
        <v>4576</v>
      </c>
      <c r="EJP936" s="8" t="s">
        <v>6413</v>
      </c>
      <c r="ENH936" s="8" t="s">
        <v>11116</v>
      </c>
      <c r="EPD936" s="8" t="s">
        <v>10299</v>
      </c>
      <c r="ESV936" s="8" t="s">
        <v>4576</v>
      </c>
      <c r="EUR936" s="8" t="s">
        <v>4141</v>
      </c>
      <c r="EWN936" s="8" t="s">
        <v>3820</v>
      </c>
      <c r="FAF936" s="8" t="s">
        <v>3394</v>
      </c>
    </row>
    <row r="937" spans="1:4 1352:2041 2055:3041 3080:4094 4105:4334 5977:6017">
      <c r="A937" s="8" t="s">
        <v>1302</v>
      </c>
      <c r="B937" s="10" t="s">
        <v>11104</v>
      </c>
      <c r="C937" s="8">
        <v>2983.11</v>
      </c>
      <c r="D937" s="15">
        <v>34.78</v>
      </c>
      <c r="AYZ937" s="8" t="s">
        <v>4580</v>
      </c>
      <c r="CCP937" s="8" t="s">
        <v>4921</v>
      </c>
      <c r="CCQ937" s="8" t="s">
        <v>4921</v>
      </c>
      <c r="CEL937" s="8" t="s">
        <v>4921</v>
      </c>
      <c r="CEM937" s="8" t="s">
        <v>4921</v>
      </c>
      <c r="CIB937" s="8" t="s">
        <v>2844</v>
      </c>
      <c r="CJX937" s="8" t="s">
        <v>2554</v>
      </c>
      <c r="DLJ937" s="8" t="s">
        <v>11104</v>
      </c>
      <c r="ECI937" s="8" t="s">
        <v>302</v>
      </c>
      <c r="EEB937" s="8" t="s">
        <v>4577</v>
      </c>
      <c r="EEE937" s="8" t="s">
        <v>302</v>
      </c>
      <c r="ELL937" s="8" t="s">
        <v>6414</v>
      </c>
      <c r="EQZ937" s="8" t="s">
        <v>11117</v>
      </c>
      <c r="ESV937" s="8" t="s">
        <v>10300</v>
      </c>
      <c r="EUR937" s="8" t="s">
        <v>4577</v>
      </c>
      <c r="EWN937" s="8" t="s">
        <v>4142</v>
      </c>
      <c r="EYJ937" s="8" t="s">
        <v>3821</v>
      </c>
      <c r="FCB937" s="8" t="s">
        <v>3395</v>
      </c>
    </row>
    <row r="938" spans="1:4 1352:2041 2055:3041 3080:4094 4105:4334 5977:6017">
      <c r="A938" s="8" t="s">
        <v>1302</v>
      </c>
      <c r="B938" s="10" t="s">
        <v>11105</v>
      </c>
      <c r="C938" s="8">
        <v>2989.22</v>
      </c>
      <c r="D938" s="15">
        <v>34.78</v>
      </c>
      <c r="BGJ938" s="8" t="s">
        <v>4581</v>
      </c>
      <c r="CDW938" s="8" t="s">
        <v>4922</v>
      </c>
      <c r="CDX938" s="8" t="s">
        <v>4922</v>
      </c>
      <c r="CFS938" s="8" t="s">
        <v>4922</v>
      </c>
      <c r="CFT938" s="8" t="s">
        <v>4922</v>
      </c>
      <c r="CJX938" s="8" t="s">
        <v>2845</v>
      </c>
      <c r="CLT938" s="8" t="s">
        <v>2555</v>
      </c>
      <c r="DLP938" s="8" t="s">
        <v>11105</v>
      </c>
      <c r="EGA938" s="8" t="s">
        <v>303</v>
      </c>
      <c r="EHT938" s="8" t="s">
        <v>4578</v>
      </c>
      <c r="EHW938" s="8" t="s">
        <v>303</v>
      </c>
      <c r="EPD938" s="8" t="s">
        <v>6415</v>
      </c>
      <c r="EQZ938" s="8" t="s">
        <v>11118</v>
      </c>
      <c r="ESV938" s="8" t="s">
        <v>10301</v>
      </c>
      <c r="EYJ938" s="8" t="s">
        <v>4578</v>
      </c>
      <c r="FAF938" s="8" t="s">
        <v>4143</v>
      </c>
      <c r="FCB938" s="8" t="s">
        <v>3822</v>
      </c>
      <c r="FFT938" s="8" t="s">
        <v>3396</v>
      </c>
    </row>
    <row r="939" spans="1:4 1352:2041 2055:3041 3080:4094 4105:4334 5977:6017">
      <c r="A939" s="8" t="s">
        <v>1302</v>
      </c>
      <c r="B939" s="10" t="s">
        <v>11106</v>
      </c>
      <c r="C939" s="8">
        <v>3037.22</v>
      </c>
      <c r="D939" s="15">
        <v>34.78</v>
      </c>
      <c r="BIF939" s="8" t="s">
        <v>4582</v>
      </c>
      <c r="CFE939" s="8" t="s">
        <v>4923</v>
      </c>
      <c r="CHA939" s="8" t="s">
        <v>4923</v>
      </c>
      <c r="CHB939" s="8" t="s">
        <v>4923</v>
      </c>
      <c r="CJX939" s="8" t="s">
        <v>2846</v>
      </c>
      <c r="CLT939" s="8" t="s">
        <v>2556</v>
      </c>
      <c r="DNL939" s="8" t="s">
        <v>11106</v>
      </c>
      <c r="EJP939" s="8" t="s">
        <v>4579</v>
      </c>
      <c r="EQZ939" s="8" t="s">
        <v>6416</v>
      </c>
      <c r="FAF939" s="8" t="s">
        <v>4579</v>
      </c>
      <c r="FCB939" s="8" t="s">
        <v>4144</v>
      </c>
      <c r="FDX939" s="8" t="s">
        <v>3823</v>
      </c>
      <c r="FHP939" s="8" t="s">
        <v>3397</v>
      </c>
    </row>
    <row r="940" spans="1:4 1352:2041 2055:3041 3080:4094 4105:4334 5977:6017">
      <c r="A940" s="8" t="s">
        <v>1302</v>
      </c>
      <c r="B940" s="10" t="s">
        <v>11107</v>
      </c>
      <c r="C940" s="8">
        <v>3075.26</v>
      </c>
      <c r="D940" s="15">
        <v>8.9600000000000009</v>
      </c>
      <c r="BKB940" s="8" t="s">
        <v>4583</v>
      </c>
      <c r="CGL940" s="8" t="s">
        <v>4924</v>
      </c>
      <c r="CGM940" s="8" t="s">
        <v>4924</v>
      </c>
      <c r="CIH940" s="8" t="s">
        <v>4924</v>
      </c>
      <c r="CII940" s="8" t="s">
        <v>4924</v>
      </c>
      <c r="CLT940" s="8" t="s">
        <v>2847</v>
      </c>
      <c r="CNP940" s="8" t="s">
        <v>2557</v>
      </c>
      <c r="DNX940" s="8" t="s">
        <v>11107</v>
      </c>
    </row>
    <row r="941" spans="1:4 1352:2041 2055:3041 3080:4094 4105:4334 5977:6017">
      <c r="A941" s="8" t="s">
        <v>1302</v>
      </c>
      <c r="B941" s="10" t="s">
        <v>11108</v>
      </c>
      <c r="C941" s="8">
        <v>3085.22</v>
      </c>
      <c r="D941" s="15">
        <v>34.78</v>
      </c>
      <c r="AZI941" s="8" t="s">
        <v>4948</v>
      </c>
      <c r="AZJ941" s="8" t="s">
        <v>4948</v>
      </c>
      <c r="AZK941" s="8" t="s">
        <v>4948</v>
      </c>
      <c r="BMT941" s="8" t="s">
        <v>4584</v>
      </c>
      <c r="CLT941" s="8" t="s">
        <v>4925</v>
      </c>
      <c r="CLU941" s="8" t="s">
        <v>4925</v>
      </c>
      <c r="CNP941" s="8" t="s">
        <v>4925</v>
      </c>
      <c r="CNQ941" s="8" t="s">
        <v>4925</v>
      </c>
      <c r="CTD941" s="8" t="s">
        <v>2848</v>
      </c>
      <c r="CUZ941" s="8" t="s">
        <v>2558</v>
      </c>
      <c r="DPH941" s="8" t="s">
        <v>11108</v>
      </c>
    </row>
    <row r="942" spans="1:4 1352:2041 2055:3041 3080:4094 4105:4334 5977:6017">
      <c r="A942" s="8" t="s">
        <v>1302</v>
      </c>
      <c r="B942" s="10" t="s">
        <v>11109</v>
      </c>
      <c r="C942" s="8">
        <v>3133.22</v>
      </c>
      <c r="D942" s="15">
        <v>34.78</v>
      </c>
      <c r="AZB942" s="8" t="s">
        <v>5620</v>
      </c>
      <c r="BAW942" s="8" t="s">
        <v>4949</v>
      </c>
      <c r="BAX942" s="8" t="s">
        <v>4949</v>
      </c>
      <c r="BAY942" s="8" t="s">
        <v>4949</v>
      </c>
      <c r="BFY942" s="8" t="s">
        <v>4965</v>
      </c>
      <c r="BFZ942" s="8" t="s">
        <v>4965</v>
      </c>
      <c r="BTD942" s="8" t="s">
        <v>4661</v>
      </c>
      <c r="CUZ942" s="8" t="s">
        <v>2849</v>
      </c>
      <c r="CWV942" s="8" t="s">
        <v>2559</v>
      </c>
      <c r="DNL942" s="8" t="s">
        <v>4926</v>
      </c>
      <c r="DPH942" s="8" t="s">
        <v>4926</v>
      </c>
      <c r="DPI942" s="8" t="s">
        <v>4926</v>
      </c>
      <c r="DRD942" s="8" t="s">
        <v>11109</v>
      </c>
    </row>
    <row r="943" spans="1:4 1352:2041 2055:3041 3080:4094 4105:4334 5977:6017">
      <c r="A943" s="8" t="s">
        <v>1302</v>
      </c>
      <c r="B943" s="10" t="s">
        <v>11110</v>
      </c>
      <c r="C943" s="8">
        <v>3181.22</v>
      </c>
      <c r="D943" s="15">
        <v>34.78</v>
      </c>
      <c r="AZG943" s="8" t="s">
        <v>5621</v>
      </c>
      <c r="BBA943" s="8" t="s">
        <v>4950</v>
      </c>
      <c r="BBC943" s="8" t="s">
        <v>4950</v>
      </c>
      <c r="BGJ943" s="8" t="s">
        <v>4966</v>
      </c>
      <c r="BGK943" s="8" t="s">
        <v>4966</v>
      </c>
      <c r="BVD943" s="8" t="s">
        <v>4585</v>
      </c>
      <c r="CUY943" s="8" t="s">
        <v>2850</v>
      </c>
      <c r="CWU943" s="8" t="s">
        <v>2560</v>
      </c>
      <c r="DSZ943" s="8" t="s">
        <v>11110</v>
      </c>
      <c r="EGO943" s="8" t="s">
        <v>4927</v>
      </c>
      <c r="EIK943" s="8" t="s">
        <v>4927</v>
      </c>
      <c r="EIL943" s="8" t="s">
        <v>4927</v>
      </c>
    </row>
    <row r="944" spans="1:4 1352:2041 2055:3041 3080:4094 4105:4334 5977:6017">
      <c r="A944" s="8" t="s">
        <v>1302</v>
      </c>
      <c r="B944" s="10" t="s">
        <v>11111</v>
      </c>
      <c r="C944" s="8">
        <v>3229.22</v>
      </c>
      <c r="D944" s="15">
        <v>34.78</v>
      </c>
      <c r="BAU944" s="8" t="s">
        <v>5622</v>
      </c>
      <c r="BCP944" s="8" t="s">
        <v>4951</v>
      </c>
      <c r="BCQ944" s="8" t="s">
        <v>4951</v>
      </c>
      <c r="BCR944" s="8" t="s">
        <v>4951</v>
      </c>
      <c r="BRL944" s="8" t="s">
        <v>4967</v>
      </c>
      <c r="BRM944" s="8" t="s">
        <v>4967</v>
      </c>
      <c r="BVD944" s="8" t="s">
        <v>4586</v>
      </c>
      <c r="CWV944" s="8" t="s">
        <v>2851</v>
      </c>
      <c r="CYR944" s="8" t="s">
        <v>2561</v>
      </c>
      <c r="DUV944" s="8" t="s">
        <v>11111</v>
      </c>
      <c r="EHV944" s="8" t="s">
        <v>4928</v>
      </c>
      <c r="EHW944" s="8" t="s">
        <v>4928</v>
      </c>
      <c r="EJR944" s="8" t="s">
        <v>4928</v>
      </c>
      <c r="EJS944" s="8" t="s">
        <v>4928</v>
      </c>
    </row>
    <row r="945" spans="1:248 1496:2025 2072:3032 3080:4088">
      <c r="A945" s="8" t="s">
        <v>1302</v>
      </c>
      <c r="B945" s="10" t="s">
        <v>11112</v>
      </c>
      <c r="C945" s="8">
        <v>3373.22</v>
      </c>
      <c r="D945" s="15">
        <v>34.78</v>
      </c>
      <c r="BGE945" s="8" t="s">
        <v>5623</v>
      </c>
      <c r="BGF945" s="8" t="s">
        <v>5623</v>
      </c>
      <c r="BHZ945" s="8" t="s">
        <v>4952</v>
      </c>
      <c r="BIA945" s="8" t="s">
        <v>4952</v>
      </c>
      <c r="BIB945" s="8" t="s">
        <v>4952</v>
      </c>
      <c r="BTH945" s="8" t="s">
        <v>4968</v>
      </c>
      <c r="BTI945" s="8" t="s">
        <v>4968</v>
      </c>
      <c r="BVD945" s="8" t="s">
        <v>4587</v>
      </c>
      <c r="CYR945" s="8" t="s">
        <v>2852</v>
      </c>
      <c r="DAN945" s="8" t="s">
        <v>2562</v>
      </c>
      <c r="EAJ945" s="8" t="s">
        <v>11112</v>
      </c>
      <c r="EJC945" s="8" t="s">
        <v>4929</v>
      </c>
      <c r="EJD945" s="8" t="s">
        <v>4929</v>
      </c>
      <c r="EKY945" s="8" t="s">
        <v>4929</v>
      </c>
      <c r="EKZ945" s="8" t="s">
        <v>4929</v>
      </c>
    </row>
    <row r="946" spans="1:248 1496:2025 2072:3032 3080:4088">
      <c r="A946" s="8" t="s">
        <v>1302</v>
      </c>
      <c r="B946" s="10" t="s">
        <v>11113</v>
      </c>
      <c r="C946" s="8">
        <v>3421.22</v>
      </c>
      <c r="D946" s="15">
        <v>34.78</v>
      </c>
      <c r="BGJ946" s="8" t="s">
        <v>5624</v>
      </c>
      <c r="BGK946" s="8" t="s">
        <v>5624</v>
      </c>
      <c r="BIE946" s="8" t="s">
        <v>4953</v>
      </c>
      <c r="BIF946" s="8" t="s">
        <v>4953</v>
      </c>
      <c r="BIG946" s="8" t="s">
        <v>4953</v>
      </c>
      <c r="BVD946" s="8" t="s">
        <v>4969</v>
      </c>
      <c r="BVE946" s="8" t="s">
        <v>4969</v>
      </c>
      <c r="DCJ946" s="8" t="s">
        <v>2853</v>
      </c>
      <c r="DEF946" s="8" t="s">
        <v>2563</v>
      </c>
      <c r="ECF946" s="8" t="s">
        <v>11113</v>
      </c>
      <c r="EKK946" s="8" t="s">
        <v>4930</v>
      </c>
      <c r="EMG946" s="8" t="s">
        <v>4930</v>
      </c>
      <c r="EMH946" s="8" t="s">
        <v>4930</v>
      </c>
    </row>
    <row r="947" spans="1:248 1496:2025 2072:3032 3080:4088">
      <c r="A947" s="8" t="s">
        <v>1302</v>
      </c>
      <c r="B947" s="10" t="s">
        <v>11114</v>
      </c>
      <c r="C947" s="8">
        <v>3469.22</v>
      </c>
      <c r="D947" s="15">
        <v>34.78</v>
      </c>
      <c r="BIF947" s="8" t="s">
        <v>5625</v>
      </c>
      <c r="BKA947" s="8" t="s">
        <v>4954</v>
      </c>
      <c r="BKB947" s="8" t="s">
        <v>4954</v>
      </c>
      <c r="BKC947" s="8" t="s">
        <v>4954</v>
      </c>
      <c r="BVD947" s="8" t="s">
        <v>4589</v>
      </c>
      <c r="BYV947" s="8" t="s">
        <v>4970</v>
      </c>
      <c r="BYW947" s="8" t="s">
        <v>4970</v>
      </c>
      <c r="DGG947" s="8" t="s">
        <v>2854</v>
      </c>
      <c r="DIC947" s="8" t="s">
        <v>2564</v>
      </c>
      <c r="EEB947" s="8" t="s">
        <v>11114</v>
      </c>
      <c r="EJP947" s="8" t="s">
        <v>4931</v>
      </c>
      <c r="ELL947" s="8" t="s">
        <v>4931</v>
      </c>
      <c r="ELM947" s="8" t="s">
        <v>4931</v>
      </c>
    </row>
    <row r="948" spans="1:248 1496:2025 2072:3032 3080:4088">
      <c r="A948" s="8" t="s">
        <v>1302</v>
      </c>
      <c r="B948" s="10" t="s">
        <v>11115</v>
      </c>
      <c r="C948" s="8">
        <v>3517.22</v>
      </c>
      <c r="D948" s="15">
        <v>34.78</v>
      </c>
      <c r="BIF948" s="8" t="s">
        <v>5626</v>
      </c>
      <c r="BKA948" s="8" t="s">
        <v>4955</v>
      </c>
      <c r="BKB948" s="8" t="s">
        <v>4955</v>
      </c>
      <c r="BKC948" s="8" t="s">
        <v>4955</v>
      </c>
      <c r="BWZ948" s="8" t="s">
        <v>4590</v>
      </c>
      <c r="CAR948" s="8" t="s">
        <v>4971</v>
      </c>
      <c r="CAS948" s="8" t="s">
        <v>4971</v>
      </c>
      <c r="DHX948" s="8" t="s">
        <v>2855</v>
      </c>
      <c r="DJT948" s="8" t="s">
        <v>2565</v>
      </c>
      <c r="EFX948" s="8" t="s">
        <v>11115</v>
      </c>
      <c r="ELR948" s="8" t="s">
        <v>4932</v>
      </c>
      <c r="ELS948" s="8" t="s">
        <v>4932</v>
      </c>
      <c r="ENN948" s="8" t="s">
        <v>4932</v>
      </c>
      <c r="ENO948" s="8" t="s">
        <v>4932</v>
      </c>
    </row>
    <row r="949" spans="1:248 1496:2025 2072:3032 3080:4088">
      <c r="A949" s="8" t="s">
        <v>1302</v>
      </c>
      <c r="B949" s="10" t="s">
        <v>11116</v>
      </c>
      <c r="C949" s="8">
        <v>3565.22</v>
      </c>
      <c r="D949" s="15">
        <v>34.78</v>
      </c>
      <c r="BEN949" s="8" t="s">
        <v>340</v>
      </c>
      <c r="BTK949" s="8" t="s">
        <v>5627</v>
      </c>
      <c r="BTL949" s="8" t="s">
        <v>5627</v>
      </c>
      <c r="BVF949" s="8" t="s">
        <v>4956</v>
      </c>
      <c r="BVG949" s="8" t="s">
        <v>4956</v>
      </c>
      <c r="BVH949" s="8" t="s">
        <v>4956</v>
      </c>
      <c r="BYV949" s="8" t="s">
        <v>4591</v>
      </c>
      <c r="CJX949" s="8" t="s">
        <v>4972</v>
      </c>
      <c r="CJY949" s="8" t="s">
        <v>4972</v>
      </c>
      <c r="DLP949" s="8" t="s">
        <v>2856</v>
      </c>
      <c r="DNL949" s="8" t="s">
        <v>2566</v>
      </c>
      <c r="EHT949" s="8" t="s">
        <v>11116</v>
      </c>
    </row>
    <row r="950" spans="1:248 1496:2025 2072:3032 3080:4088">
      <c r="A950" s="8" t="s">
        <v>1302</v>
      </c>
      <c r="B950" s="10" t="s">
        <v>11117</v>
      </c>
      <c r="C950" s="8">
        <v>3661.22</v>
      </c>
      <c r="D950" s="15">
        <v>34.78</v>
      </c>
      <c r="BEN950" s="8" t="s">
        <v>341</v>
      </c>
      <c r="BWZ950" s="8" t="s">
        <v>5628</v>
      </c>
      <c r="BXA950" s="8" t="s">
        <v>5628</v>
      </c>
      <c r="BYU950" s="8" t="s">
        <v>5327</v>
      </c>
      <c r="BYV950" s="8" t="s">
        <v>5327</v>
      </c>
      <c r="BYW950" s="8" t="s">
        <v>5327</v>
      </c>
      <c r="CLZ950" s="8" t="s">
        <v>4973</v>
      </c>
      <c r="CMA950" s="8" t="s">
        <v>4973</v>
      </c>
      <c r="DNL950" s="8" t="s">
        <v>2857</v>
      </c>
      <c r="DPH950" s="8" t="s">
        <v>2567</v>
      </c>
      <c r="ELL950" s="8" t="s">
        <v>11117</v>
      </c>
    </row>
    <row r="951" spans="1:248 1496:2025 2072:3032 3080:4088">
      <c r="A951" s="8" t="s">
        <v>1302</v>
      </c>
      <c r="B951" s="10" t="s">
        <v>11118</v>
      </c>
      <c r="C951" s="8">
        <v>3661.22</v>
      </c>
      <c r="D951" s="15">
        <v>34.78</v>
      </c>
      <c r="BEQ951" s="8" t="s">
        <v>342</v>
      </c>
      <c r="CAR951" s="8" t="s">
        <v>4593</v>
      </c>
      <c r="CAU951" s="8" t="s">
        <v>5629</v>
      </c>
      <c r="CAV951" s="8" t="s">
        <v>5629</v>
      </c>
      <c r="CCP951" s="8" t="s">
        <v>4957</v>
      </c>
      <c r="CCQ951" s="8" t="s">
        <v>4957</v>
      </c>
      <c r="CCR951" s="8" t="s">
        <v>4957</v>
      </c>
      <c r="CYX951" s="8" t="s">
        <v>4974</v>
      </c>
      <c r="CYY951" s="8" t="s">
        <v>4974</v>
      </c>
      <c r="DPH951" s="8" t="s">
        <v>2858</v>
      </c>
      <c r="DRD951" s="8" t="s">
        <v>2568</v>
      </c>
      <c r="ELL951" s="8" t="s">
        <v>11118</v>
      </c>
    </row>
    <row r="952" spans="1:248 1496:2025 2072:3032 3080:4088">
      <c r="A952" s="8" t="s">
        <v>1303</v>
      </c>
      <c r="B952" s="10" t="s">
        <v>14093</v>
      </c>
      <c r="C952" s="8">
        <v>-95</v>
      </c>
      <c r="D952" s="15">
        <v>26.87</v>
      </c>
      <c r="H952" s="8" t="s">
        <v>14093</v>
      </c>
      <c r="BGJ952" s="8" t="s">
        <v>343</v>
      </c>
      <c r="CCN952" s="8" t="s">
        <v>4594</v>
      </c>
      <c r="CPO952" s="8" t="s">
        <v>5630</v>
      </c>
      <c r="CPP952" s="8" t="s">
        <v>5630</v>
      </c>
      <c r="CRJ952" s="8" t="s">
        <v>4959</v>
      </c>
      <c r="CRK952" s="8" t="s">
        <v>4959</v>
      </c>
      <c r="CRL952" s="8" t="s">
        <v>4959</v>
      </c>
      <c r="DAN952" s="8" t="s">
        <v>4975</v>
      </c>
      <c r="DAO952" s="8" t="s">
        <v>4975</v>
      </c>
      <c r="DRD952" s="8" t="s">
        <v>2859</v>
      </c>
      <c r="DSZ952" s="8" t="s">
        <v>2569</v>
      </c>
    </row>
    <row r="953" spans="1:248 1496:2025 2072:3032 3080:4088">
      <c r="A953" s="8" t="s">
        <v>1303</v>
      </c>
      <c r="B953" s="10" t="s">
        <v>11119</v>
      </c>
      <c r="C953" s="8">
        <v>-48.22</v>
      </c>
      <c r="D953" s="15">
        <v>17.78</v>
      </c>
      <c r="H953" s="8" t="s">
        <v>11119</v>
      </c>
      <c r="BOV953" s="8" t="s">
        <v>344</v>
      </c>
      <c r="CLT953" s="8" t="s">
        <v>4595</v>
      </c>
      <c r="DCJ953" s="8" t="s">
        <v>4976</v>
      </c>
      <c r="DCK953" s="8" t="s">
        <v>4976</v>
      </c>
      <c r="DUV953" s="8" t="s">
        <v>2860</v>
      </c>
      <c r="DWR953" s="8" t="s">
        <v>2570</v>
      </c>
      <c r="EAM953" s="8" t="s">
        <v>5631</v>
      </c>
      <c r="EAN953" s="8" t="s">
        <v>5631</v>
      </c>
      <c r="ECH953" s="8" t="s">
        <v>4960</v>
      </c>
      <c r="ECI953" s="8" t="s">
        <v>4960</v>
      </c>
      <c r="ECJ953" s="8" t="s">
        <v>4960</v>
      </c>
    </row>
    <row r="954" spans="1:248 1496:2025 2072:3032 3080:4088">
      <c r="A954" s="8" t="s">
        <v>1303</v>
      </c>
      <c r="B954" s="10" t="s">
        <v>11121</v>
      </c>
      <c r="C954" s="8">
        <v>-29.44</v>
      </c>
      <c r="D954" s="15">
        <v>17.91</v>
      </c>
      <c r="H954" s="8" t="s">
        <v>11121</v>
      </c>
      <c r="BPP954" s="8" t="s">
        <v>345</v>
      </c>
      <c r="CNP954" s="8" t="s">
        <v>4596</v>
      </c>
      <c r="DEF954" s="8" t="s">
        <v>4977</v>
      </c>
      <c r="DEG954" s="8" t="s">
        <v>4977</v>
      </c>
      <c r="EFU954" s="8" t="s">
        <v>2861</v>
      </c>
      <c r="EHQ954" s="8" t="s">
        <v>2571</v>
      </c>
    </row>
    <row r="955" spans="1:248 1496:2025 2072:3032 3080:4088">
      <c r="A955" s="8" t="s">
        <v>1303</v>
      </c>
      <c r="B955" s="10" t="s">
        <v>11122</v>
      </c>
      <c r="C955" s="8">
        <v>-10.53</v>
      </c>
      <c r="D955" s="15">
        <v>17.91</v>
      </c>
      <c r="O955" s="8" t="s">
        <v>11122</v>
      </c>
      <c r="BEN955" s="8" t="s">
        <v>332</v>
      </c>
      <c r="BRF955" s="8" t="s">
        <v>346</v>
      </c>
      <c r="DAN955" s="8" t="s">
        <v>4597</v>
      </c>
      <c r="DGB955" s="8" t="s">
        <v>4978</v>
      </c>
      <c r="DGC955" s="8" t="s">
        <v>4978</v>
      </c>
      <c r="EPD955" s="8" t="s">
        <v>2862</v>
      </c>
      <c r="EQZ955" s="8" t="s">
        <v>2572</v>
      </c>
    </row>
    <row r="956" spans="1:248 1496:2025 2072:3032 3080:4088">
      <c r="A956" s="8" t="s">
        <v>1303</v>
      </c>
      <c r="B956" s="10" t="s">
        <v>11120</v>
      </c>
      <c r="C956" s="8">
        <v>8.91</v>
      </c>
      <c r="D956" s="15">
        <v>8.9600000000000009</v>
      </c>
      <c r="Z956" s="8" t="s">
        <v>11120</v>
      </c>
      <c r="BKB956" s="8" t="s">
        <v>333</v>
      </c>
      <c r="CEJ956" s="8" t="s">
        <v>347</v>
      </c>
      <c r="DHX956" s="8" t="s">
        <v>4979</v>
      </c>
      <c r="DHY956" s="8" t="s">
        <v>4979</v>
      </c>
      <c r="DLP956" s="8" t="s">
        <v>4598</v>
      </c>
      <c r="EQZ956" s="8" t="s">
        <v>2863</v>
      </c>
      <c r="ESV956" s="8" t="s">
        <v>2573</v>
      </c>
    </row>
    <row r="957" spans="1:248 1496:2025 2072:3032 3080:4088">
      <c r="A957" s="8" t="s">
        <v>1303</v>
      </c>
      <c r="B957" s="10" t="s">
        <v>14094</v>
      </c>
      <c r="C957" s="8">
        <v>36.74</v>
      </c>
      <c r="D957" s="15">
        <v>35.83</v>
      </c>
      <c r="CC957" s="8" t="s">
        <v>14094</v>
      </c>
      <c r="BKB957" s="8" t="s">
        <v>334</v>
      </c>
      <c r="CUZ957" s="8" t="s">
        <v>348</v>
      </c>
      <c r="DPH957" s="8" t="s">
        <v>4599</v>
      </c>
      <c r="EFX957" s="8" t="s">
        <v>4980</v>
      </c>
      <c r="EFY957" s="8" t="s">
        <v>4980</v>
      </c>
      <c r="ETA957" s="8" t="s">
        <v>2864</v>
      </c>
      <c r="EUW957" s="8" t="s">
        <v>2574</v>
      </c>
    </row>
    <row r="958" spans="1:248 1496:2025 2072:3032 3080:4088">
      <c r="A958" s="8" t="s">
        <v>1303</v>
      </c>
      <c r="B958" s="10" t="s">
        <v>14095</v>
      </c>
      <c r="C958" s="8">
        <v>49</v>
      </c>
      <c r="D958" s="15">
        <v>18.809999999999999</v>
      </c>
      <c r="BX958" s="8" t="s">
        <v>14095</v>
      </c>
      <c r="BRL958" s="8" t="s">
        <v>335</v>
      </c>
      <c r="DIA958" s="8" t="s">
        <v>349</v>
      </c>
      <c r="DVR958" s="8" t="s">
        <v>4662</v>
      </c>
      <c r="EQZ958" s="8" t="s">
        <v>4981</v>
      </c>
      <c r="ERA958" s="8" t="s">
        <v>4981</v>
      </c>
      <c r="EUR958" s="8" t="s">
        <v>2865</v>
      </c>
      <c r="EWN958" s="8" t="s">
        <v>2575</v>
      </c>
    </row>
    <row r="959" spans="1:248 1496:2025 2072:3032 3080:4088">
      <c r="A959" s="8" t="s">
        <v>1303</v>
      </c>
      <c r="B959" s="10" t="s">
        <v>14096</v>
      </c>
      <c r="C959" s="8">
        <v>145</v>
      </c>
      <c r="D959" s="15">
        <v>35.83</v>
      </c>
      <c r="GG959" s="8" t="s">
        <v>14096</v>
      </c>
      <c r="CGF959" s="8" t="s">
        <v>336</v>
      </c>
      <c r="DPK959" s="8" t="s">
        <v>350</v>
      </c>
      <c r="DWR959" s="8" t="s">
        <v>4600</v>
      </c>
      <c r="ESV959" s="8" t="s">
        <v>4982</v>
      </c>
      <c r="ESW959" s="8" t="s">
        <v>4982</v>
      </c>
      <c r="EWN959" s="8" t="s">
        <v>2866</v>
      </c>
      <c r="EYJ959" s="8" t="s">
        <v>2576</v>
      </c>
    </row>
    <row r="960" spans="1:248 1496:2025 2072:3032 3080:4088">
      <c r="A960" s="8" t="s">
        <v>1303</v>
      </c>
      <c r="B960" s="10" t="s">
        <v>14097</v>
      </c>
      <c r="C960" s="8">
        <v>203.99</v>
      </c>
      <c r="D960" s="15">
        <v>35.83</v>
      </c>
      <c r="IN960" s="8" t="s">
        <v>14097</v>
      </c>
      <c r="CRH960" s="8" t="s">
        <v>337</v>
      </c>
      <c r="DUV960" s="8" t="s">
        <v>351</v>
      </c>
      <c r="EYJ960" s="8" t="s">
        <v>2867</v>
      </c>
      <c r="FAF960" s="8" t="s">
        <v>2577</v>
      </c>
    </row>
    <row r="961" spans="1:959 1350:2024 2120:3032 3083:4088 4136:4376 7100:7115">
      <c r="A961" s="8" t="s">
        <v>1303</v>
      </c>
      <c r="B961" s="10" t="s">
        <v>11123</v>
      </c>
      <c r="C961" s="8">
        <v>240.81</v>
      </c>
      <c r="D961" s="15">
        <v>17.91</v>
      </c>
      <c r="JG961" s="8" t="s">
        <v>11123</v>
      </c>
      <c r="DNU961" s="8" t="s">
        <v>338</v>
      </c>
      <c r="EEE961" s="8" t="s">
        <v>352</v>
      </c>
      <c r="FAF961" s="8" t="s">
        <v>2868</v>
      </c>
      <c r="FCB961" s="8" t="s">
        <v>2578</v>
      </c>
    </row>
    <row r="962" spans="1:959 1350:2024 2120:3032 3083:4088 4136:4376 7100:7115">
      <c r="A962" s="8" t="s">
        <v>1303</v>
      </c>
      <c r="B962" s="10" t="s">
        <v>11136</v>
      </c>
      <c r="C962" s="8">
        <v>259.73</v>
      </c>
      <c r="D962" s="15">
        <v>17.39</v>
      </c>
      <c r="JY962" s="8" t="s">
        <v>11136</v>
      </c>
      <c r="BCR962" s="8" t="s">
        <v>990</v>
      </c>
      <c r="BEN962" s="8" t="s">
        <v>990</v>
      </c>
      <c r="EYJ962" s="8" t="s">
        <v>339</v>
      </c>
      <c r="FDX962" s="8" t="s">
        <v>2869</v>
      </c>
      <c r="FFT962" s="8" t="s">
        <v>2579</v>
      </c>
    </row>
    <row r="963" spans="1:959 1350:2024 2120:3032 3083:4088 4136:4376 7100:7115">
      <c r="A963" s="8" t="s">
        <v>1303</v>
      </c>
      <c r="B963" s="10" t="s">
        <v>14098</v>
      </c>
      <c r="C963" s="8">
        <v>289</v>
      </c>
      <c r="D963" s="15">
        <v>3.58</v>
      </c>
      <c r="KO963" s="8" t="s">
        <v>14098</v>
      </c>
      <c r="AYZ963" s="8" t="s">
        <v>341</v>
      </c>
      <c r="BCR963" s="8" t="s">
        <v>991</v>
      </c>
      <c r="BEN963" s="8" t="s">
        <v>991</v>
      </c>
      <c r="FFT963" s="8" t="s">
        <v>2870</v>
      </c>
      <c r="FHP963" s="8" t="s">
        <v>2580</v>
      </c>
    </row>
    <row r="964" spans="1:959 1350:2024 2120:3032 3083:4088 4136:4376 7100:7115">
      <c r="A964" s="8" t="s">
        <v>1303</v>
      </c>
      <c r="B964" s="10" t="s">
        <v>14099</v>
      </c>
      <c r="C964" s="8">
        <v>313.89999999999998</v>
      </c>
      <c r="D964" s="15">
        <v>8.9600000000000009</v>
      </c>
      <c r="LS964" s="8" t="s">
        <v>14099</v>
      </c>
      <c r="AYZ964" s="8" t="s">
        <v>342</v>
      </c>
      <c r="BCU964" s="8" t="s">
        <v>992</v>
      </c>
      <c r="BEN964" s="8" t="s">
        <v>992</v>
      </c>
      <c r="BEQ964" s="8" t="s">
        <v>992</v>
      </c>
      <c r="BFK964" s="8" t="s">
        <v>342</v>
      </c>
      <c r="FHU964" s="8" t="s">
        <v>2871</v>
      </c>
      <c r="FJQ964" s="8" t="s">
        <v>2581</v>
      </c>
    </row>
    <row r="965" spans="1:959 1350:2024 2120:3032 3083:4088 4136:4376 7100:7115">
      <c r="A965" s="8" t="s">
        <v>1303</v>
      </c>
      <c r="B965" s="10" t="s">
        <v>14100</v>
      </c>
      <c r="C965" s="8">
        <v>328.44</v>
      </c>
      <c r="D965" s="15">
        <v>35.83</v>
      </c>
      <c r="NH965" s="17" t="s">
        <v>14100</v>
      </c>
      <c r="AZC965" s="8" t="s">
        <v>343</v>
      </c>
      <c r="BCU965" s="8" t="s">
        <v>993</v>
      </c>
      <c r="BDH965" s="8" t="s">
        <v>343</v>
      </c>
      <c r="BEN965" s="8" t="s">
        <v>993</v>
      </c>
      <c r="BEQ965" s="8" t="s">
        <v>343</v>
      </c>
      <c r="BGJ965" s="8" t="s">
        <v>993</v>
      </c>
      <c r="FJL965" s="8" t="s">
        <v>2872</v>
      </c>
      <c r="FLH965" s="8" t="s">
        <v>2582</v>
      </c>
    </row>
    <row r="966" spans="1:959 1350:2024 2120:3032 3083:4088 4136:4376 7100:7115">
      <c r="A966" s="8" t="s">
        <v>1303</v>
      </c>
      <c r="B966" s="10" t="s">
        <v>14101</v>
      </c>
      <c r="C966" s="8">
        <v>385</v>
      </c>
      <c r="D966" s="15">
        <v>17.91</v>
      </c>
      <c r="OU966" s="8" t="s">
        <v>14101</v>
      </c>
      <c r="AYZ966" s="8" t="s">
        <v>994</v>
      </c>
      <c r="BAV966" s="8" t="s">
        <v>344</v>
      </c>
      <c r="BGJ966" s="8" t="s">
        <v>344</v>
      </c>
      <c r="BMZ966" s="8" t="s">
        <v>994</v>
      </c>
      <c r="BOV966" s="8" t="s">
        <v>994</v>
      </c>
    </row>
    <row r="967" spans="1:959 1350:2024 2120:3032 3083:4088 4136:4376 7100:7115">
      <c r="A967" s="8" t="s">
        <v>1303</v>
      </c>
      <c r="B967" s="10" t="s">
        <v>14102</v>
      </c>
      <c r="C967" s="8">
        <v>625</v>
      </c>
      <c r="D967" s="15">
        <v>35.83</v>
      </c>
      <c r="YS967" s="8" t="s">
        <v>14102</v>
      </c>
      <c r="BJH967" s="8" t="s">
        <v>345</v>
      </c>
      <c r="BMR967" s="8" t="s">
        <v>345</v>
      </c>
      <c r="BMZ967" s="8" t="s">
        <v>995</v>
      </c>
      <c r="BNT967" s="8" t="s">
        <v>995</v>
      </c>
      <c r="BOV967" s="8" t="s">
        <v>345</v>
      </c>
      <c r="BPP967" s="8" t="s">
        <v>995</v>
      </c>
    </row>
    <row r="968" spans="1:959 1350:2024 2120:3032 3083:4088 4136:4376 7100:7115">
      <c r="A968" s="8" t="s">
        <v>1303</v>
      </c>
      <c r="B968" s="10" t="s">
        <v>11124</v>
      </c>
      <c r="C968" s="8">
        <v>680.74</v>
      </c>
      <c r="D968" s="15">
        <v>34.78</v>
      </c>
      <c r="AAV968" s="19" t="s">
        <v>11124</v>
      </c>
      <c r="BKB968" s="8" t="s">
        <v>346</v>
      </c>
      <c r="BMU968" s="8" t="s">
        <v>346</v>
      </c>
      <c r="BNT968" s="8" t="s">
        <v>996</v>
      </c>
      <c r="BPJ968" s="8" t="s">
        <v>996</v>
      </c>
      <c r="BPP968" s="8" t="s">
        <v>346</v>
      </c>
      <c r="BRF968" s="8" t="s">
        <v>996</v>
      </c>
    </row>
    <row r="969" spans="1:959 1350:2024 2120:3032 3083:4088 4136:4376 7100:7115">
      <c r="A969" s="8" t="s">
        <v>1303</v>
      </c>
      <c r="B969" s="10" t="s">
        <v>11125</v>
      </c>
      <c r="C969" s="8">
        <v>716.52</v>
      </c>
      <c r="D969" s="15">
        <v>35.83</v>
      </c>
      <c r="ACF969" s="8" t="s">
        <v>11125</v>
      </c>
      <c r="BEH969" s="8" t="s">
        <v>997</v>
      </c>
      <c r="BEN969" s="8" t="s">
        <v>347</v>
      </c>
      <c r="BLR969" s="8" t="s">
        <v>347</v>
      </c>
      <c r="BRF969" s="8" t="s">
        <v>347</v>
      </c>
      <c r="CCN969" s="8" t="s">
        <v>997</v>
      </c>
      <c r="CEJ969" s="8" t="s">
        <v>997</v>
      </c>
    </row>
    <row r="970" spans="1:959 1350:2024 2120:3032 3083:4088 4136:4376 7100:7115">
      <c r="A970" s="8" t="s">
        <v>1303</v>
      </c>
      <c r="B970" s="10" t="s">
        <v>11126</v>
      </c>
      <c r="C970" s="8">
        <v>753.35</v>
      </c>
      <c r="D970" s="15">
        <v>17.39</v>
      </c>
      <c r="ACY970" s="8" t="s">
        <v>11126</v>
      </c>
      <c r="BNT970" s="8" t="s">
        <v>998</v>
      </c>
      <c r="BPC970" s="8" t="s">
        <v>348</v>
      </c>
      <c r="BYV970" s="8" t="s">
        <v>348</v>
      </c>
      <c r="CEJ970" s="8" t="s">
        <v>348</v>
      </c>
      <c r="CTD970" s="8" t="s">
        <v>998</v>
      </c>
      <c r="CUZ970" s="8" t="s">
        <v>998</v>
      </c>
    </row>
    <row r="971" spans="1:959 1350:2024 2120:3032 3083:4088 4136:4376 7100:7115">
      <c r="A971" s="8" t="s">
        <v>1303</v>
      </c>
      <c r="B971" s="10" t="s">
        <v>11127</v>
      </c>
      <c r="C971" s="8">
        <v>771.74</v>
      </c>
      <c r="D971" s="15">
        <v>8.9600000000000009</v>
      </c>
      <c r="ADI971" s="8" t="s">
        <v>11127</v>
      </c>
      <c r="CHO971" s="8" t="s">
        <v>349</v>
      </c>
      <c r="CIB971" s="8" t="s">
        <v>999</v>
      </c>
      <c r="CPL971" s="8" t="s">
        <v>349</v>
      </c>
      <c r="CUZ971" s="8" t="s">
        <v>349</v>
      </c>
      <c r="DGE971" s="8" t="s">
        <v>999</v>
      </c>
      <c r="DIA971" s="8" t="s">
        <v>999</v>
      </c>
    </row>
    <row r="972" spans="1:959 1350:2024 2120:3032 3083:4088 4136:4376 7100:7115">
      <c r="A972" s="8" t="s">
        <v>1303</v>
      </c>
      <c r="B972" s="10" t="s">
        <v>14103</v>
      </c>
      <c r="C972" s="8">
        <v>781.69</v>
      </c>
      <c r="D972" s="15">
        <v>8.9600000000000009</v>
      </c>
      <c r="ADS972" s="8" t="s">
        <v>14103</v>
      </c>
      <c r="AZN972" s="8" t="s">
        <v>1368</v>
      </c>
      <c r="BAW972" s="8" t="s">
        <v>350</v>
      </c>
      <c r="BBU972" s="8" t="s">
        <v>350</v>
      </c>
      <c r="BCS972" s="8" t="s">
        <v>1000</v>
      </c>
      <c r="DAQ972" s="8" t="s">
        <v>1000</v>
      </c>
      <c r="DCM972" s="8" t="s">
        <v>350</v>
      </c>
      <c r="DIA972" s="8" t="s">
        <v>350</v>
      </c>
      <c r="DNO972" s="8" t="s">
        <v>1000</v>
      </c>
      <c r="DPK972" s="8" t="s">
        <v>1000</v>
      </c>
    </row>
    <row r="973" spans="1:959 1350:2024 2120:3032 3083:4088 4136:4376 7100:7115">
      <c r="A973" s="8" t="s">
        <v>1303</v>
      </c>
      <c r="B973" s="10" t="s">
        <v>11128</v>
      </c>
      <c r="C973" s="8">
        <v>855.6</v>
      </c>
      <c r="D973" s="15">
        <v>35.83</v>
      </c>
      <c r="AHO973" s="8" t="s">
        <v>11128</v>
      </c>
      <c r="AZF973" s="8" t="s">
        <v>1369</v>
      </c>
      <c r="BBB973" s="8" t="s">
        <v>1369</v>
      </c>
      <c r="BEO973" s="8" t="s">
        <v>351</v>
      </c>
      <c r="BFM973" s="8" t="s">
        <v>351</v>
      </c>
      <c r="BGK973" s="8" t="s">
        <v>1001</v>
      </c>
      <c r="DJW973" s="8" t="s">
        <v>351</v>
      </c>
      <c r="DKJ973" s="8" t="s">
        <v>351</v>
      </c>
      <c r="DPK973" s="8" t="s">
        <v>351</v>
      </c>
      <c r="DSZ973" s="8" t="s">
        <v>1001</v>
      </c>
      <c r="DUV973" s="8" t="s">
        <v>1001</v>
      </c>
    </row>
    <row r="974" spans="1:959 1350:2024 2120:3032 3083:4088 4136:4376 7100:7115">
      <c r="A974" s="8" t="s">
        <v>1303</v>
      </c>
      <c r="B974" s="10" t="s">
        <v>11129</v>
      </c>
      <c r="C974" s="8">
        <v>892.43</v>
      </c>
      <c r="D974" s="15">
        <v>26.87</v>
      </c>
      <c r="AIQ974" s="8" t="s">
        <v>11129</v>
      </c>
      <c r="AYX974" s="8" t="s">
        <v>1370</v>
      </c>
      <c r="BAT974" s="8" t="s">
        <v>1370</v>
      </c>
      <c r="BCP974" s="8" t="s">
        <v>1370</v>
      </c>
      <c r="BHH974" s="8" t="s">
        <v>352</v>
      </c>
      <c r="BIF974" s="8" t="s">
        <v>352</v>
      </c>
      <c r="BJD974" s="8" t="s">
        <v>1002</v>
      </c>
      <c r="DLC974" s="8" t="s">
        <v>352</v>
      </c>
      <c r="DLP974" s="8" t="s">
        <v>1002</v>
      </c>
      <c r="DPH974" s="8" t="s">
        <v>352</v>
      </c>
      <c r="DUV974" s="8" t="s">
        <v>352</v>
      </c>
      <c r="ECI974" s="8" t="s">
        <v>1002</v>
      </c>
      <c r="EEE974" s="8" t="s">
        <v>1002</v>
      </c>
    </row>
    <row r="975" spans="1:959 1350:2024 2120:3032 3083:4088 4136:4376 7100:7115">
      <c r="A975" s="8" t="s">
        <v>1303</v>
      </c>
      <c r="B975" s="10" t="s">
        <v>11131</v>
      </c>
      <c r="C975" s="8">
        <v>920.3</v>
      </c>
      <c r="D975" s="15">
        <v>20.87</v>
      </c>
      <c r="AJM975" s="8" t="s">
        <v>11131</v>
      </c>
      <c r="AYZ975" s="8" t="s">
        <v>3398</v>
      </c>
      <c r="BAM975" s="8" t="s">
        <v>334</v>
      </c>
      <c r="BAV975" s="8" t="s">
        <v>3398</v>
      </c>
      <c r="BCI975" s="8" t="s">
        <v>334</v>
      </c>
      <c r="BEE975" s="8" t="s">
        <v>334</v>
      </c>
      <c r="BLY975" s="8" t="s">
        <v>353</v>
      </c>
      <c r="BMW975" s="8" t="s">
        <v>353</v>
      </c>
      <c r="BNU975" s="8" t="s">
        <v>1272</v>
      </c>
      <c r="DYQ975" s="8" t="s">
        <v>353</v>
      </c>
      <c r="EEE975" s="8" t="s">
        <v>353</v>
      </c>
      <c r="JMB975" s="8" t="s">
        <v>353</v>
      </c>
      <c r="JMQ975" s="8" t="s">
        <v>1272</v>
      </c>
    </row>
    <row r="976" spans="1:959 1350:2024 2120:3032 3083:4088 4136:4376 7100:7115">
      <c r="A976" s="8" t="s">
        <v>1303</v>
      </c>
      <c r="B976" s="10" t="s">
        <v>11130</v>
      </c>
      <c r="C976" s="8">
        <v>942.17</v>
      </c>
      <c r="D976" s="15">
        <v>8.6999999999999993</v>
      </c>
      <c r="AJW976" s="8" t="s">
        <v>11130</v>
      </c>
      <c r="BAR976" s="19" t="s">
        <v>335</v>
      </c>
      <c r="BAV976" s="8" t="s">
        <v>3399</v>
      </c>
      <c r="BCN976" s="8" t="s">
        <v>335</v>
      </c>
      <c r="BCR976" s="8" t="s">
        <v>4601</v>
      </c>
      <c r="BEJ976" s="8" t="s">
        <v>335</v>
      </c>
    </row>
    <row r="977" spans="1:1010 1042:2037 2055:2849 3128:3944">
      <c r="A977" s="8" t="s">
        <v>1303</v>
      </c>
      <c r="B977" s="10" t="s">
        <v>11148</v>
      </c>
      <c r="C977" s="8">
        <v>975.91</v>
      </c>
      <c r="D977" s="15">
        <v>26.09</v>
      </c>
      <c r="ALV977" s="8" t="s">
        <v>11148</v>
      </c>
      <c r="BAJ977" s="8" t="s">
        <v>1371</v>
      </c>
      <c r="BAV977" s="8" t="s">
        <v>3400</v>
      </c>
      <c r="BCF977" s="8" t="s">
        <v>1371</v>
      </c>
      <c r="BCR977" s="8" t="s">
        <v>4602</v>
      </c>
      <c r="BEB977" s="8" t="s">
        <v>1371</v>
      </c>
      <c r="BFX977" s="8" t="s">
        <v>1371</v>
      </c>
    </row>
    <row r="978" spans="1:1010 1042:2037 2055:2849 3128:3944">
      <c r="A978" s="8" t="s">
        <v>1303</v>
      </c>
      <c r="B978" s="10" t="s">
        <v>11132</v>
      </c>
      <c r="C978" s="8">
        <v>1024.8599999999999</v>
      </c>
      <c r="D978" s="15">
        <v>8.6999999999999993</v>
      </c>
      <c r="ANB978" s="8" t="s">
        <v>11132</v>
      </c>
      <c r="AYZ978" s="8" t="s">
        <v>3509</v>
      </c>
      <c r="BCR978" s="8" t="s">
        <v>3401</v>
      </c>
      <c r="BEN978" s="8" t="s">
        <v>3401</v>
      </c>
      <c r="BGJ978" s="8" t="s">
        <v>336</v>
      </c>
      <c r="BIF978" s="8" t="s">
        <v>336</v>
      </c>
      <c r="BWZ978" s="8" t="s">
        <v>4603</v>
      </c>
    </row>
    <row r="979" spans="1:1010 1042:2037 2055:2849 3128:3944">
      <c r="A979" s="8" t="s">
        <v>1303</v>
      </c>
      <c r="B979" s="10" t="s">
        <v>11133</v>
      </c>
      <c r="C979" s="8">
        <v>1057</v>
      </c>
      <c r="D979" s="15">
        <v>35.83</v>
      </c>
      <c r="API979" s="8" t="s">
        <v>11133</v>
      </c>
      <c r="AYZ979" s="8" t="s">
        <v>4243</v>
      </c>
      <c r="BAV979" s="8" t="s">
        <v>3824</v>
      </c>
      <c r="BEN979" s="8" t="s">
        <v>3402</v>
      </c>
      <c r="BGJ979" s="8" t="s">
        <v>3402</v>
      </c>
      <c r="BLX979" s="8" t="s">
        <v>2038</v>
      </c>
      <c r="BNT979" s="8" t="s">
        <v>1609</v>
      </c>
      <c r="BRL979" s="8" t="s">
        <v>337</v>
      </c>
      <c r="BTH979" s="8" t="s">
        <v>337</v>
      </c>
      <c r="BVD979" s="8" t="s">
        <v>337</v>
      </c>
      <c r="BWZ979" s="8" t="s">
        <v>337</v>
      </c>
      <c r="CAR979" s="8" t="s">
        <v>4604</v>
      </c>
    </row>
    <row r="980" spans="1:1010 1042:2037 2055:2849 3128:3944">
      <c r="A980" s="8" t="s">
        <v>1303</v>
      </c>
      <c r="B980" s="10" t="s">
        <v>11137</v>
      </c>
      <c r="C980" s="8">
        <v>1105</v>
      </c>
      <c r="D980" s="15">
        <v>35.83</v>
      </c>
      <c r="ARE980" s="8" t="s">
        <v>11137</v>
      </c>
      <c r="AYZ980" s="8" t="s">
        <v>4933</v>
      </c>
      <c r="AZA980" s="8" t="s">
        <v>4933</v>
      </c>
      <c r="BAV980" s="8" t="s">
        <v>4933</v>
      </c>
      <c r="BAW980" s="8" t="s">
        <v>4933</v>
      </c>
      <c r="BCR980" s="8" t="s">
        <v>308</v>
      </c>
      <c r="BEN980" s="8" t="s">
        <v>3403</v>
      </c>
      <c r="BGJ980" s="8" t="s">
        <v>3403</v>
      </c>
      <c r="BWZ980" s="8" t="s">
        <v>2039</v>
      </c>
      <c r="BYV980" s="8" t="s">
        <v>1610</v>
      </c>
      <c r="CCN980" s="8" t="s">
        <v>338</v>
      </c>
      <c r="CEJ980" s="8" t="s">
        <v>338</v>
      </c>
      <c r="CGF980" s="8" t="s">
        <v>338</v>
      </c>
      <c r="CIB980" s="8" t="s">
        <v>4605</v>
      </c>
    </row>
    <row r="981" spans="1:1010 1042:2037 2055:2849 3128:3944">
      <c r="A981" s="8" t="s">
        <v>1303</v>
      </c>
      <c r="B981" s="10" t="s">
        <v>11134</v>
      </c>
      <c r="C981" s="8">
        <v>1141.83</v>
      </c>
      <c r="D981" s="15">
        <v>8.6999999999999993</v>
      </c>
      <c r="ARO981" s="8" t="s">
        <v>11134</v>
      </c>
      <c r="AYZ981" s="8" t="s">
        <v>4580</v>
      </c>
      <c r="BAV981" s="8" t="s">
        <v>4934</v>
      </c>
      <c r="BAW981" s="8" t="s">
        <v>4934</v>
      </c>
      <c r="BCR981" s="8" t="s">
        <v>4934</v>
      </c>
      <c r="BCS981" s="8" t="s">
        <v>4934</v>
      </c>
      <c r="BGJ981" s="8" t="s">
        <v>3404</v>
      </c>
      <c r="BGP981" s="8" t="s">
        <v>310</v>
      </c>
      <c r="BIF981" s="8" t="s">
        <v>3404</v>
      </c>
      <c r="BIL981" s="8" t="s">
        <v>310</v>
      </c>
      <c r="CIV981" s="8" t="s">
        <v>2040</v>
      </c>
      <c r="CJX981" s="8" t="s">
        <v>4606</v>
      </c>
      <c r="CKR981" s="8" t="s">
        <v>1611</v>
      </c>
      <c r="COJ981" s="8" t="s">
        <v>331</v>
      </c>
      <c r="CQF981" s="8" t="s">
        <v>331</v>
      </c>
      <c r="CSB981" s="8" t="s">
        <v>331</v>
      </c>
      <c r="CTX981" s="8" t="s">
        <v>331</v>
      </c>
    </row>
    <row r="982" spans="1:1010 1042:2037 2055:2849 3128:3944">
      <c r="A982" s="8" t="s">
        <v>1303</v>
      </c>
      <c r="B982" s="10" t="s">
        <v>11135</v>
      </c>
      <c r="C982" s="8">
        <v>1151.52</v>
      </c>
      <c r="D982" s="15">
        <v>10.44</v>
      </c>
      <c r="ARZ982" s="8" t="s">
        <v>11135</v>
      </c>
      <c r="BCG982" s="8" t="s">
        <v>5632</v>
      </c>
      <c r="BCH982" s="8" t="s">
        <v>5632</v>
      </c>
      <c r="BCR982" s="8" t="s">
        <v>4935</v>
      </c>
      <c r="BCS982" s="8" t="s">
        <v>4935</v>
      </c>
      <c r="BEB982" s="8" t="s">
        <v>4965</v>
      </c>
      <c r="BEC982" s="8" t="s">
        <v>4965</v>
      </c>
      <c r="BED982" s="8" t="s">
        <v>4965</v>
      </c>
      <c r="BEN982" s="8" t="s">
        <v>4935</v>
      </c>
      <c r="BEO982" s="8" t="s">
        <v>4935</v>
      </c>
      <c r="BGJ982" s="8" t="s">
        <v>4581</v>
      </c>
      <c r="BIF982" s="8" t="s">
        <v>4244</v>
      </c>
      <c r="BJL982" s="8" t="s">
        <v>311</v>
      </c>
      <c r="BKB982" s="8" t="s">
        <v>3825</v>
      </c>
      <c r="BLH982" s="8" t="s">
        <v>311</v>
      </c>
      <c r="BNT982" s="8" t="s">
        <v>3406</v>
      </c>
      <c r="BPP982" s="8" t="s">
        <v>3405</v>
      </c>
      <c r="CTM982" s="8" t="s">
        <v>2041</v>
      </c>
      <c r="CVI982" s="8" t="s">
        <v>1612</v>
      </c>
      <c r="CZA982" s="8" t="s">
        <v>339</v>
      </c>
      <c r="DAW982" s="8" t="s">
        <v>339</v>
      </c>
      <c r="DCS982" s="8" t="s">
        <v>339</v>
      </c>
      <c r="DEO982" s="8" t="s">
        <v>339</v>
      </c>
      <c r="DPH982" s="8" t="s">
        <v>4607</v>
      </c>
    </row>
    <row r="983" spans="1:1010 1042:2037 2055:2849 3128:3944">
      <c r="A983" s="8" t="s">
        <v>1303</v>
      </c>
      <c r="B983" s="10" t="s">
        <v>11147</v>
      </c>
      <c r="C983" s="8">
        <v>1163.96</v>
      </c>
      <c r="D983" s="15">
        <v>17.39</v>
      </c>
      <c r="ASS983" s="8" t="s">
        <v>11147</v>
      </c>
      <c r="AYZ983" s="8" t="s">
        <v>6417</v>
      </c>
      <c r="BCR983" s="8" t="s">
        <v>5633</v>
      </c>
      <c r="BCS983" s="8" t="s">
        <v>5633</v>
      </c>
      <c r="BEM983" s="8" t="s">
        <v>4966</v>
      </c>
      <c r="BEN983" s="8" t="s">
        <v>4966</v>
      </c>
      <c r="BEO983" s="8" t="s">
        <v>4966</v>
      </c>
      <c r="BIF983" s="8" t="s">
        <v>4936</v>
      </c>
      <c r="BKB983" s="8" t="s">
        <v>4936</v>
      </c>
      <c r="BKC983" s="8" t="s">
        <v>4936</v>
      </c>
      <c r="BLX983" s="8" t="s">
        <v>3826</v>
      </c>
      <c r="BNT983" s="8" t="s">
        <v>3406</v>
      </c>
      <c r="BPP983" s="8" t="s">
        <v>3407</v>
      </c>
      <c r="BTK983" s="8" t="s">
        <v>312</v>
      </c>
      <c r="BVG983" s="8" t="s">
        <v>312</v>
      </c>
      <c r="EUR983" s="8" t="s">
        <v>4608</v>
      </c>
    </row>
    <row r="984" spans="1:1010 1042:2037 2055:2849 3128:3944">
      <c r="A984" s="8" t="s">
        <v>1303</v>
      </c>
      <c r="B984" s="10" t="s">
        <v>11138</v>
      </c>
      <c r="C984" s="8">
        <v>1182.3499999999999</v>
      </c>
      <c r="D984" s="15">
        <v>35.83</v>
      </c>
      <c r="AUD984" s="8" t="s">
        <v>11138</v>
      </c>
      <c r="BCN984" s="8" t="s">
        <v>6418</v>
      </c>
      <c r="BEN984" s="8" t="s">
        <v>354</v>
      </c>
      <c r="BJG984" s="8" t="s">
        <v>4937</v>
      </c>
      <c r="BJH984" s="8" t="s">
        <v>4937</v>
      </c>
      <c r="BLC984" s="8" t="s">
        <v>4937</v>
      </c>
      <c r="BLD984" s="8" t="s">
        <v>4937</v>
      </c>
      <c r="BLT984" s="8" t="s">
        <v>4583</v>
      </c>
      <c r="BNP984" s="8" t="s">
        <v>4245</v>
      </c>
      <c r="BNT984" s="8" t="s">
        <v>5634</v>
      </c>
      <c r="BNU984" s="8" t="s">
        <v>5634</v>
      </c>
      <c r="BPL984" s="8" t="s">
        <v>3827</v>
      </c>
      <c r="BPO984" s="8" t="s">
        <v>4967</v>
      </c>
      <c r="BPP984" s="8" t="s">
        <v>4967</v>
      </c>
      <c r="BPQ984" s="8" t="s">
        <v>4967</v>
      </c>
      <c r="BRL984" s="8" t="s">
        <v>3407</v>
      </c>
      <c r="BTD984" s="8" t="s">
        <v>3479</v>
      </c>
      <c r="BXM984" s="8" t="s">
        <v>313</v>
      </c>
      <c r="BZI984" s="8" t="s">
        <v>313</v>
      </c>
    </row>
    <row r="985" spans="1:1010 1042:2037 2055:2849 3128:3944">
      <c r="A985" s="8" t="s">
        <v>1303</v>
      </c>
      <c r="B985" s="10" t="s">
        <v>11139</v>
      </c>
      <c r="C985" s="8">
        <v>1219.17</v>
      </c>
      <c r="D985" s="15">
        <v>17.39</v>
      </c>
      <c r="AUW985" s="8" t="s">
        <v>11139</v>
      </c>
      <c r="BDN985" s="8" t="s">
        <v>6419</v>
      </c>
      <c r="BEN985" s="8" t="s">
        <v>355</v>
      </c>
      <c r="BKB985" s="8" t="s">
        <v>4938</v>
      </c>
      <c r="BLX985" s="8" t="s">
        <v>4938</v>
      </c>
      <c r="BLY985" s="8" t="s">
        <v>4938</v>
      </c>
      <c r="BMT985" s="8" t="s">
        <v>4584</v>
      </c>
      <c r="BOP985" s="8" t="s">
        <v>4145</v>
      </c>
      <c r="BPP985" s="8" t="s">
        <v>5635</v>
      </c>
      <c r="BQL985" s="8" t="s">
        <v>3828</v>
      </c>
      <c r="BRK985" s="8" t="s">
        <v>4968</v>
      </c>
      <c r="BRL985" s="8" t="s">
        <v>4968</v>
      </c>
      <c r="BRM985" s="8" t="s">
        <v>4968</v>
      </c>
      <c r="BUD985" s="8" t="s">
        <v>3408</v>
      </c>
      <c r="BVZ985" s="8" t="s">
        <v>3408</v>
      </c>
      <c r="BYT985" s="8" t="s">
        <v>314</v>
      </c>
      <c r="CAP985" s="8" t="s">
        <v>314</v>
      </c>
    </row>
    <row r="986" spans="1:1010 1042:2037 2055:2849 3128:3944">
      <c r="A986" s="8" t="s">
        <v>1303</v>
      </c>
      <c r="B986" s="10" t="s">
        <v>11140</v>
      </c>
      <c r="C986" s="8">
        <v>1237.56</v>
      </c>
      <c r="D986" s="15">
        <v>8.6999999999999993</v>
      </c>
      <c r="AVF986" s="8" t="s">
        <v>11140</v>
      </c>
      <c r="AYZ986" s="8" t="s">
        <v>10302</v>
      </c>
      <c r="BEN986" s="8" t="s">
        <v>4585</v>
      </c>
      <c r="BLX986" s="8" t="s">
        <v>6420</v>
      </c>
      <c r="BRL986" s="8" t="s">
        <v>5636</v>
      </c>
      <c r="BTG986" s="8" t="s">
        <v>4969</v>
      </c>
      <c r="BTH986" s="8" t="s">
        <v>4969</v>
      </c>
      <c r="BTI986" s="8" t="s">
        <v>4969</v>
      </c>
      <c r="BVD986" s="8" t="s">
        <v>4585</v>
      </c>
      <c r="BVX986" s="8" t="s">
        <v>4939</v>
      </c>
      <c r="BWZ986" s="8" t="s">
        <v>4146</v>
      </c>
      <c r="BXT986" s="8" t="s">
        <v>4939</v>
      </c>
      <c r="BYV986" s="8" t="s">
        <v>3829</v>
      </c>
      <c r="CAA986" s="8" t="s">
        <v>315</v>
      </c>
      <c r="CBW986" s="8" t="s">
        <v>315</v>
      </c>
      <c r="CCN986" s="8" t="s">
        <v>3409</v>
      </c>
      <c r="CEJ986" s="8" t="s">
        <v>3409</v>
      </c>
    </row>
    <row r="987" spans="1:1010 1042:2037 2055:2849 3128:3944">
      <c r="A987" s="8" t="s">
        <v>1303</v>
      </c>
      <c r="B987" s="10" t="s">
        <v>11141</v>
      </c>
      <c r="C987" s="8">
        <v>1247.26</v>
      </c>
      <c r="D987" s="15">
        <v>34.78</v>
      </c>
      <c r="AWP987" s="8" t="s">
        <v>11141</v>
      </c>
      <c r="BBH987" s="8" t="s">
        <v>11143</v>
      </c>
      <c r="BDD987" s="8" t="s">
        <v>10303</v>
      </c>
      <c r="BEN987" s="8" t="s">
        <v>6140</v>
      </c>
      <c r="BGJ987" s="8" t="s">
        <v>357</v>
      </c>
      <c r="BLX987" s="8" t="s">
        <v>6421</v>
      </c>
      <c r="BVD987" s="8" t="s">
        <v>5381</v>
      </c>
      <c r="BWY987" s="8" t="s">
        <v>4970</v>
      </c>
      <c r="BWZ987" s="8" t="s">
        <v>4970</v>
      </c>
      <c r="BXA987" s="8" t="s">
        <v>4970</v>
      </c>
      <c r="BYV987" s="8" t="s">
        <v>3830</v>
      </c>
      <c r="CBI987" s="8" t="s">
        <v>316</v>
      </c>
      <c r="CCN987" s="8" t="s">
        <v>3410</v>
      </c>
      <c r="CDE987" s="8" t="s">
        <v>316</v>
      </c>
      <c r="CEJ987" s="8" t="s">
        <v>3410</v>
      </c>
      <c r="CGO987" s="8" t="s">
        <v>4940</v>
      </c>
      <c r="CIJ987" s="8" t="s">
        <v>4940</v>
      </c>
      <c r="CIK987" s="8" t="s">
        <v>4940</v>
      </c>
    </row>
    <row r="988" spans="1:1010 1042:2037 2055:2849 3128:3944">
      <c r="A988" s="8" t="s">
        <v>1303</v>
      </c>
      <c r="B988" s="10" t="s">
        <v>11142</v>
      </c>
      <c r="C988" s="8">
        <v>1283.04</v>
      </c>
      <c r="D988" s="15">
        <v>17.39</v>
      </c>
      <c r="AXH988" s="8" t="s">
        <v>11142</v>
      </c>
      <c r="BBN988" s="8" t="s">
        <v>11144</v>
      </c>
      <c r="BDJ988" s="8" t="s">
        <v>10304</v>
      </c>
      <c r="BEN988" s="8" t="s">
        <v>6141</v>
      </c>
      <c r="BIF988" s="8" t="s">
        <v>358</v>
      </c>
      <c r="BLX988" s="8" t="s">
        <v>6422</v>
      </c>
      <c r="BVD988" s="8" t="s">
        <v>4587</v>
      </c>
      <c r="BWZ988" s="8" t="s">
        <v>5382</v>
      </c>
      <c r="BYU988" s="8" t="s">
        <v>4971</v>
      </c>
      <c r="BYV988" s="8" t="s">
        <v>4971</v>
      </c>
      <c r="BYW988" s="8" t="s">
        <v>4971</v>
      </c>
      <c r="CCN988" s="8" t="s">
        <v>3411</v>
      </c>
      <c r="CCP988" s="8" t="s">
        <v>317</v>
      </c>
      <c r="CEJ988" s="8" t="s">
        <v>3411</v>
      </c>
      <c r="CEL988" s="8" t="s">
        <v>317</v>
      </c>
    </row>
    <row r="989" spans="1:1010 1042:2037 2055:2849 3128:3944">
      <c r="A989" s="8" t="s">
        <v>1303</v>
      </c>
      <c r="B989" s="10" t="s">
        <v>11143</v>
      </c>
      <c r="C989" s="8">
        <v>1301.43</v>
      </c>
      <c r="D989" s="15">
        <v>34.78</v>
      </c>
      <c r="AYR989" s="8" t="s">
        <v>11143</v>
      </c>
      <c r="BCR989" s="8" t="s">
        <v>11145</v>
      </c>
      <c r="BEN989" s="8" t="s">
        <v>10305</v>
      </c>
      <c r="BKB989" s="8" t="s">
        <v>359</v>
      </c>
      <c r="BLX989" s="8" t="s">
        <v>6423</v>
      </c>
      <c r="BVD989" s="8" t="s">
        <v>4588</v>
      </c>
      <c r="BWZ989" s="8" t="s">
        <v>4246</v>
      </c>
      <c r="BYV989" s="8" t="s">
        <v>3831</v>
      </c>
      <c r="CCN989" s="8" t="s">
        <v>3412</v>
      </c>
      <c r="CDW989" s="8" t="s">
        <v>318</v>
      </c>
      <c r="CEJ989" s="8" t="s">
        <v>3412</v>
      </c>
      <c r="CFS989" s="8" t="s">
        <v>318</v>
      </c>
      <c r="CGF989" s="8" t="s">
        <v>5637</v>
      </c>
      <c r="CGG989" s="8" t="s">
        <v>5637</v>
      </c>
      <c r="CIA989" s="8" t="s">
        <v>4972</v>
      </c>
      <c r="CIB989" s="8" t="s">
        <v>4972</v>
      </c>
      <c r="CIC989" s="8" t="s">
        <v>4972</v>
      </c>
    </row>
    <row r="990" spans="1:1010 1042:2037 2055:2849 3128:3944">
      <c r="A990" s="8" t="s">
        <v>1303</v>
      </c>
      <c r="B990" s="10" t="s">
        <v>11144</v>
      </c>
      <c r="C990" s="8">
        <v>1337.22</v>
      </c>
      <c r="D990" s="15">
        <v>17.39</v>
      </c>
      <c r="AZK990" s="8" t="s">
        <v>11144</v>
      </c>
      <c r="BEN990" s="8" t="s">
        <v>11146</v>
      </c>
      <c r="BGJ990" s="8" t="s">
        <v>10306</v>
      </c>
      <c r="BLQ990" s="8" t="s">
        <v>360</v>
      </c>
      <c r="BLX990" s="8" t="s">
        <v>6424</v>
      </c>
      <c r="BVD990" s="8" t="s">
        <v>4589</v>
      </c>
      <c r="BWZ990" s="8" t="s">
        <v>4247</v>
      </c>
      <c r="BYV990" s="8" t="s">
        <v>3832</v>
      </c>
      <c r="CCN990" s="8" t="s">
        <v>3413</v>
      </c>
      <c r="CEJ990" s="8" t="s">
        <v>3413</v>
      </c>
      <c r="CFE990" s="8" t="s">
        <v>319</v>
      </c>
      <c r="CHA990" s="8" t="s">
        <v>319</v>
      </c>
      <c r="CIH990" s="8" t="s">
        <v>5638</v>
      </c>
      <c r="CKC990" s="8" t="s">
        <v>4973</v>
      </c>
      <c r="CKD990" s="8" t="s">
        <v>4973</v>
      </c>
      <c r="CKE990" s="8" t="s">
        <v>4973</v>
      </c>
    </row>
    <row r="991" spans="1:1010 1042:2037 2055:2849 3128:3944">
      <c r="A991" s="8" t="s">
        <v>1303</v>
      </c>
      <c r="B991" s="10" t="s">
        <v>11145</v>
      </c>
      <c r="C991" s="8">
        <v>1355.61</v>
      </c>
      <c r="D991" s="15">
        <v>34.78</v>
      </c>
      <c r="BAT991" s="8" t="s">
        <v>11145</v>
      </c>
      <c r="BEN991" s="8" t="s">
        <v>11147</v>
      </c>
      <c r="BGJ991" s="8" t="s">
        <v>10307</v>
      </c>
      <c r="BND991" s="8" t="s">
        <v>361</v>
      </c>
      <c r="BNT991" s="8" t="s">
        <v>6425</v>
      </c>
      <c r="BWZ991" s="8" t="s">
        <v>4590</v>
      </c>
      <c r="BYV991" s="8" t="s">
        <v>4248</v>
      </c>
      <c r="CAR991" s="8" t="s">
        <v>3833</v>
      </c>
      <c r="CEJ991" s="8" t="s">
        <v>3414</v>
      </c>
      <c r="CGF991" s="8" t="s">
        <v>3414</v>
      </c>
      <c r="CGL991" s="8" t="s">
        <v>320</v>
      </c>
      <c r="CIH991" s="8" t="s">
        <v>320</v>
      </c>
      <c r="CVF991" s="8" t="s">
        <v>5639</v>
      </c>
      <c r="CXA991" s="8" t="s">
        <v>4974</v>
      </c>
      <c r="CXB991" s="8" t="s">
        <v>4974</v>
      </c>
      <c r="CXC991" s="8" t="s">
        <v>4974</v>
      </c>
    </row>
    <row r="992" spans="1:1010 1042:2037 2055:2849 3128:3944">
      <c r="A992" s="8" t="s">
        <v>1303</v>
      </c>
      <c r="B992" s="10" t="s">
        <v>11146</v>
      </c>
      <c r="C992" s="8">
        <v>1391.39</v>
      </c>
      <c r="D992" s="15">
        <v>34.78</v>
      </c>
      <c r="BCD992" s="8" t="s">
        <v>11146</v>
      </c>
      <c r="BFO992" s="8" t="s">
        <v>11148</v>
      </c>
      <c r="BHK992" s="8" t="s">
        <v>10308</v>
      </c>
      <c r="BIF992" s="8" t="s">
        <v>6142</v>
      </c>
      <c r="BOK992" s="8" t="s">
        <v>362</v>
      </c>
      <c r="BPP992" s="8" t="s">
        <v>6426</v>
      </c>
      <c r="BYV992" s="8" t="s">
        <v>4591</v>
      </c>
      <c r="CAR992" s="8" t="s">
        <v>4249</v>
      </c>
      <c r="CCN992" s="8" t="s">
        <v>3834</v>
      </c>
      <c r="CGF992" s="8" t="s">
        <v>3415</v>
      </c>
      <c r="CIB992" s="8" t="s">
        <v>3415</v>
      </c>
      <c r="CJX992" s="8" t="s">
        <v>321</v>
      </c>
      <c r="CLT992" s="8" t="s">
        <v>321</v>
      </c>
      <c r="CWV992" s="8" t="s">
        <v>5640</v>
      </c>
      <c r="CYQ992" s="8" t="s">
        <v>4975</v>
      </c>
      <c r="CYR992" s="8" t="s">
        <v>4975</v>
      </c>
      <c r="CYS992" s="8" t="s">
        <v>4975</v>
      </c>
    </row>
    <row r="993" spans="1:4 1349:2024 2072:3032 3080:3849 4201:4382">
      <c r="A993" s="8" t="s">
        <v>1303</v>
      </c>
      <c r="B993" s="10" t="s">
        <v>14104</v>
      </c>
      <c r="C993" s="8">
        <v>1427.17</v>
      </c>
      <c r="D993" s="15">
        <v>35.83</v>
      </c>
      <c r="BDO993" s="8" t="s">
        <v>14104</v>
      </c>
      <c r="BGV993" s="8" t="s">
        <v>11149</v>
      </c>
      <c r="BIF993" s="8" t="s">
        <v>6143</v>
      </c>
      <c r="BIR993" s="8" t="s">
        <v>10309</v>
      </c>
      <c r="BPP993" s="8" t="s">
        <v>6427</v>
      </c>
      <c r="BYV993" s="8" t="s">
        <v>4592</v>
      </c>
      <c r="CAR993" s="8" t="s">
        <v>4250</v>
      </c>
      <c r="CCN993" s="8" t="s">
        <v>3835</v>
      </c>
      <c r="CGF993" s="8" t="s">
        <v>3416</v>
      </c>
      <c r="CIB993" s="8" t="s">
        <v>3416</v>
      </c>
      <c r="CWT993" s="8" t="s">
        <v>322</v>
      </c>
      <c r="CYP993" s="8" t="s">
        <v>322</v>
      </c>
      <c r="CYR993" s="8" t="s">
        <v>5641</v>
      </c>
      <c r="DAM993" s="8" t="s">
        <v>4976</v>
      </c>
      <c r="DAN993" s="8" t="s">
        <v>4976</v>
      </c>
      <c r="DAO993" s="8" t="s">
        <v>4976</v>
      </c>
    </row>
    <row r="994" spans="1:4 1349:2024 2072:3032 3080:3849 4201:4382">
      <c r="A994" s="8" t="s">
        <v>1303</v>
      </c>
      <c r="B994" s="10" t="s">
        <v>11149</v>
      </c>
      <c r="C994" s="8">
        <v>1464</v>
      </c>
      <c r="D994" s="15">
        <v>20.87</v>
      </c>
      <c r="BEK994" s="8" t="s">
        <v>11149</v>
      </c>
      <c r="BIF994" s="8" t="s">
        <v>11150</v>
      </c>
      <c r="BKB994" s="8" t="s">
        <v>10310</v>
      </c>
      <c r="BQR994" s="8" t="s">
        <v>364</v>
      </c>
      <c r="BRL994" s="8" t="s">
        <v>6428</v>
      </c>
      <c r="CAR994" s="8" t="s">
        <v>4593</v>
      </c>
      <c r="CCN994" s="8" t="s">
        <v>4147</v>
      </c>
      <c r="CEJ994" s="8" t="s">
        <v>3836</v>
      </c>
      <c r="CIB994" s="8" t="s">
        <v>3417</v>
      </c>
      <c r="CJX994" s="8" t="s">
        <v>3417</v>
      </c>
      <c r="CYA994" s="8" t="s">
        <v>323</v>
      </c>
      <c r="CZW994" s="8" t="s">
        <v>323</v>
      </c>
      <c r="DAN994" s="8" t="s">
        <v>5642</v>
      </c>
      <c r="DCI994" s="8" t="s">
        <v>4977</v>
      </c>
      <c r="DCJ994" s="8" t="s">
        <v>4977</v>
      </c>
      <c r="DCK994" s="8" t="s">
        <v>4977</v>
      </c>
    </row>
    <row r="995" spans="1:4 1349:2024 2072:3032 3080:3849 4201:4382">
      <c r="A995" s="8" t="s">
        <v>1303</v>
      </c>
      <c r="B995" s="10" t="s">
        <v>11150</v>
      </c>
      <c r="C995" s="8">
        <v>1485.87</v>
      </c>
      <c r="D995" s="15">
        <v>34.78</v>
      </c>
      <c r="BFU995" s="8" t="s">
        <v>11150</v>
      </c>
      <c r="BKB995" s="8" t="s">
        <v>11151</v>
      </c>
      <c r="BLX995" s="8" t="s">
        <v>10311</v>
      </c>
      <c r="BRL995" s="8" t="s">
        <v>365</v>
      </c>
      <c r="BTH995" s="8" t="s">
        <v>6429</v>
      </c>
      <c r="CCN995" s="8" t="s">
        <v>4594</v>
      </c>
      <c r="CEJ995" s="8" t="s">
        <v>4251</v>
      </c>
      <c r="CGF995" s="8" t="s">
        <v>3837</v>
      </c>
      <c r="CJX995" s="8" t="s">
        <v>3418</v>
      </c>
      <c r="CLT995" s="8" t="s">
        <v>3418</v>
      </c>
      <c r="CZI995" s="8" t="s">
        <v>324</v>
      </c>
      <c r="DBE995" s="8" t="s">
        <v>324</v>
      </c>
      <c r="DCJ995" s="8" t="s">
        <v>5643</v>
      </c>
      <c r="DEE995" s="8" t="s">
        <v>4978</v>
      </c>
      <c r="DEF995" s="8" t="s">
        <v>4978</v>
      </c>
      <c r="DEG995" s="8" t="s">
        <v>4978</v>
      </c>
    </row>
    <row r="996" spans="1:4 1349:2024 2072:3032 3080:3849 4201:4382">
      <c r="A996" s="8" t="s">
        <v>1303</v>
      </c>
      <c r="B996" s="10" t="s">
        <v>11151</v>
      </c>
      <c r="C996" s="8">
        <v>1521.65</v>
      </c>
      <c r="D996" s="15">
        <v>14.33</v>
      </c>
      <c r="BGJ996" s="8" t="s">
        <v>11151</v>
      </c>
      <c r="BPT996" s="8" t="s">
        <v>11152</v>
      </c>
      <c r="BRP996" s="8" t="s">
        <v>10312</v>
      </c>
      <c r="BVD996" s="8" t="s">
        <v>4595</v>
      </c>
      <c r="BVJ996" s="8" t="s">
        <v>366</v>
      </c>
      <c r="CCN996" s="8" t="s">
        <v>6430</v>
      </c>
      <c r="CLT996" s="8" t="s">
        <v>4595</v>
      </c>
      <c r="CNP996" s="8" t="s">
        <v>4148</v>
      </c>
      <c r="CPL996" s="8" t="s">
        <v>3838</v>
      </c>
      <c r="CTD996" s="8" t="s">
        <v>3419</v>
      </c>
      <c r="CUZ996" s="8" t="s">
        <v>3419</v>
      </c>
      <c r="DAP996" s="8" t="s">
        <v>325</v>
      </c>
      <c r="DCL996" s="8" t="s">
        <v>325</v>
      </c>
      <c r="DEF996" s="8" t="s">
        <v>5644</v>
      </c>
      <c r="DGA996" s="8" t="s">
        <v>4979</v>
      </c>
      <c r="DGB996" s="8" t="s">
        <v>4979</v>
      </c>
      <c r="DGC996" s="8" t="s">
        <v>4979</v>
      </c>
    </row>
    <row r="997" spans="1:4 1349:2024 2072:3032 3080:3849 4201:4382">
      <c r="A997" s="8" t="s">
        <v>1303</v>
      </c>
      <c r="B997" s="10" t="s">
        <v>14105</v>
      </c>
      <c r="C997" s="8">
        <v>1536.98</v>
      </c>
      <c r="D997" s="15">
        <v>17.91</v>
      </c>
      <c r="BEN997" s="8" t="s">
        <v>340</v>
      </c>
      <c r="BHC997" s="8" t="s">
        <v>14105</v>
      </c>
      <c r="BQT997" s="8" t="s">
        <v>11153</v>
      </c>
      <c r="BSP997" s="8" t="s">
        <v>10313</v>
      </c>
      <c r="BWX997" s="8" t="s">
        <v>367</v>
      </c>
      <c r="BWZ997" s="8" t="s">
        <v>4596</v>
      </c>
      <c r="CEJ997" s="8" t="s">
        <v>6431</v>
      </c>
      <c r="CNP997" s="8" t="s">
        <v>4596</v>
      </c>
      <c r="CPL997" s="8" t="s">
        <v>4149</v>
      </c>
      <c r="CRH997" s="8" t="s">
        <v>3839</v>
      </c>
      <c r="CUZ997" s="8" t="s">
        <v>3420</v>
      </c>
      <c r="CWV997" s="8" t="s">
        <v>3420</v>
      </c>
      <c r="DBW997" s="8" t="s">
        <v>326</v>
      </c>
      <c r="DDS997" s="8" t="s">
        <v>326</v>
      </c>
      <c r="ECF997" s="8" t="s">
        <v>5645</v>
      </c>
      <c r="EEA997" s="8" t="s">
        <v>4980</v>
      </c>
      <c r="EEB997" s="8" t="s">
        <v>4980</v>
      </c>
      <c r="EEC997" s="8" t="s">
        <v>4980</v>
      </c>
    </row>
    <row r="998" spans="1:4 1349:2024 2072:3032 3080:3849 4201:4382">
      <c r="A998" s="8" t="s">
        <v>1303</v>
      </c>
      <c r="B998" s="10" t="s">
        <v>14106</v>
      </c>
      <c r="C998" s="8">
        <v>1555.9</v>
      </c>
      <c r="D998" s="15">
        <v>39.409999999999997</v>
      </c>
      <c r="BEN998" s="8" t="s">
        <v>341</v>
      </c>
      <c r="BIQ998" s="8" t="s">
        <v>14106</v>
      </c>
      <c r="BRL998" s="8" t="s">
        <v>11154</v>
      </c>
      <c r="BTH998" s="8" t="s">
        <v>10314</v>
      </c>
      <c r="CEJ998" s="8" t="s">
        <v>368</v>
      </c>
      <c r="CJX998" s="8" t="s">
        <v>4597</v>
      </c>
      <c r="CRH998" s="8" t="s">
        <v>6432</v>
      </c>
      <c r="DAN998" s="8" t="s">
        <v>4597</v>
      </c>
      <c r="DCJ998" s="8" t="s">
        <v>4150</v>
      </c>
      <c r="DDE998" s="8" t="s">
        <v>327</v>
      </c>
      <c r="DEF998" s="8" t="s">
        <v>3840</v>
      </c>
      <c r="DFA998" s="8" t="s">
        <v>327</v>
      </c>
      <c r="DHX998" s="8" t="s">
        <v>3421</v>
      </c>
      <c r="DJT998" s="8" t="s">
        <v>3421</v>
      </c>
      <c r="ENH998" s="8" t="s">
        <v>5646</v>
      </c>
      <c r="EPC998" s="8" t="s">
        <v>4981</v>
      </c>
      <c r="EPD998" s="8" t="s">
        <v>4981</v>
      </c>
      <c r="EPE998" s="8" t="s">
        <v>4981</v>
      </c>
    </row>
    <row r="999" spans="1:4 1349:2024 2072:3032 3080:3849 4201:4382">
      <c r="A999" s="8" t="s">
        <v>1303</v>
      </c>
      <c r="B999" s="10" t="s">
        <v>14107</v>
      </c>
      <c r="C999" s="8">
        <v>1596.3</v>
      </c>
      <c r="D999" s="15">
        <v>35.83</v>
      </c>
      <c r="BEQ999" s="8" t="s">
        <v>342</v>
      </c>
      <c r="BKB999" s="8" t="s">
        <v>14107</v>
      </c>
      <c r="BTH999" s="8" t="s">
        <v>11155</v>
      </c>
      <c r="BVD999" s="8" t="s">
        <v>10315</v>
      </c>
      <c r="CEJ999" s="8" t="s">
        <v>369</v>
      </c>
      <c r="CUZ999" s="8" t="s">
        <v>6144</v>
      </c>
      <c r="DCJ999" s="8" t="s">
        <v>6433</v>
      </c>
      <c r="DEL999" s="8" t="s">
        <v>328</v>
      </c>
      <c r="DGH999" s="8" t="s">
        <v>328</v>
      </c>
      <c r="DLP999" s="8" t="s">
        <v>4598</v>
      </c>
      <c r="DNL999" s="8" t="s">
        <v>4252</v>
      </c>
      <c r="DPH999" s="8" t="s">
        <v>3841</v>
      </c>
      <c r="DSZ999" s="8" t="s">
        <v>3422</v>
      </c>
      <c r="DUV999" s="8" t="s">
        <v>3422</v>
      </c>
      <c r="EPD999" s="8" t="s">
        <v>5647</v>
      </c>
      <c r="EQY999" s="8" t="s">
        <v>4982</v>
      </c>
      <c r="EQZ999" s="8" t="s">
        <v>4982</v>
      </c>
      <c r="ERA999" s="8" t="s">
        <v>4982</v>
      </c>
    </row>
    <row r="1000" spans="1:4 1349:2024 2072:3032 3080:3849 4201:4382">
      <c r="A1000" s="8" t="s">
        <v>1303</v>
      </c>
      <c r="B1000" s="10" t="s">
        <v>11152</v>
      </c>
      <c r="C1000" s="8">
        <v>1633.13</v>
      </c>
      <c r="D1000" s="15">
        <v>27.83</v>
      </c>
      <c r="BGJ1000" s="8" t="s">
        <v>343</v>
      </c>
      <c r="BLE1000" s="8" t="s">
        <v>11152</v>
      </c>
      <c r="BVD1000" s="8" t="s">
        <v>11156</v>
      </c>
      <c r="BWZ1000" s="8" t="s">
        <v>10316</v>
      </c>
      <c r="CHJ1000" s="8" t="s">
        <v>370</v>
      </c>
      <c r="CYR1000" s="8" t="s">
        <v>6145</v>
      </c>
      <c r="DGB1000" s="8" t="s">
        <v>6434</v>
      </c>
      <c r="DJT1000" s="8" t="s">
        <v>329</v>
      </c>
      <c r="DLP1000" s="8" t="s">
        <v>329</v>
      </c>
      <c r="DPH1000" s="8" t="s">
        <v>4599</v>
      </c>
      <c r="DRD1000" s="8" t="s">
        <v>4253</v>
      </c>
      <c r="DSZ1000" s="8" t="s">
        <v>3842</v>
      </c>
      <c r="DWR1000" s="8" t="s">
        <v>3423</v>
      </c>
      <c r="DYN1000" s="8" t="s">
        <v>3423</v>
      </c>
    </row>
    <row r="1001" spans="1:4 1349:2024 2072:3032 3080:3849 4201:4382">
      <c r="A1001" s="8" t="s">
        <v>1303</v>
      </c>
      <c r="B1001" s="10" t="s">
        <v>11153</v>
      </c>
      <c r="C1001" s="8">
        <v>1661.96</v>
      </c>
      <c r="D1001" s="15">
        <v>17.39</v>
      </c>
      <c r="BLW1001" s="8" t="s">
        <v>11153</v>
      </c>
      <c r="BOV1001" s="8" t="s">
        <v>344</v>
      </c>
      <c r="BVP1001" s="8" t="s">
        <v>11157</v>
      </c>
      <c r="BXL1001" s="8" t="s">
        <v>10317</v>
      </c>
      <c r="CGJ1001" s="8" t="s">
        <v>371</v>
      </c>
      <c r="DGB1001" s="8" t="s">
        <v>6146</v>
      </c>
      <c r="DNL1001" s="8" t="s">
        <v>6435</v>
      </c>
      <c r="DWR1001" s="8" t="s">
        <v>4600</v>
      </c>
      <c r="DYN1001" s="8" t="s">
        <v>4254</v>
      </c>
      <c r="EAJ1001" s="8" t="s">
        <v>3843</v>
      </c>
      <c r="EEB1001" s="8" t="s">
        <v>3424</v>
      </c>
      <c r="EFX1001" s="8" t="s">
        <v>3424</v>
      </c>
      <c r="ELL1001" s="8" t="s">
        <v>330</v>
      </c>
      <c r="ENH1001" s="8" t="s">
        <v>330</v>
      </c>
    </row>
    <row r="1002" spans="1:4 1349:2024 2072:3032 3080:3849 4201:4382">
      <c r="A1002" s="8" t="s">
        <v>1303</v>
      </c>
      <c r="B1002" s="10" t="s">
        <v>11154</v>
      </c>
      <c r="C1002" s="8">
        <v>1680.35</v>
      </c>
      <c r="D1002" s="15">
        <v>17.39</v>
      </c>
      <c r="BMP1002" s="8" t="s">
        <v>11154</v>
      </c>
      <c r="BPP1002" s="8" t="s">
        <v>345</v>
      </c>
      <c r="BWZ1002" s="8" t="s">
        <v>11158</v>
      </c>
      <c r="BYV1002" s="8" t="s">
        <v>10318</v>
      </c>
      <c r="CGS1002" s="8" t="s">
        <v>372</v>
      </c>
      <c r="FEO1002" s="8" t="s">
        <v>696</v>
      </c>
      <c r="FGK1002" s="8" t="s">
        <v>696</v>
      </c>
    </row>
    <row r="1003" spans="1:4 1349:2024 2072:3032 3080:3849 4201:4382">
      <c r="A1003" s="8" t="s">
        <v>1303</v>
      </c>
      <c r="B1003" s="10" t="s">
        <v>11155</v>
      </c>
      <c r="C1003" s="8">
        <v>1698.74</v>
      </c>
      <c r="D1003" s="15">
        <v>34.78</v>
      </c>
      <c r="BCR1003" s="8" t="s">
        <v>1003</v>
      </c>
      <c r="BEN1003" s="8" t="s">
        <v>1003</v>
      </c>
      <c r="BNZ1003" s="8" t="s">
        <v>11155</v>
      </c>
      <c r="BRF1003" s="8" t="s">
        <v>346</v>
      </c>
      <c r="CBP1003" s="8" t="s">
        <v>11159</v>
      </c>
      <c r="CDL1003" s="8" t="s">
        <v>10319</v>
      </c>
      <c r="DCJ1003" s="8" t="s">
        <v>373</v>
      </c>
      <c r="FFV1003" s="8" t="s">
        <v>1326</v>
      </c>
      <c r="FHR1003" s="8" t="s">
        <v>1326</v>
      </c>
    </row>
    <row r="1004" spans="1:4 1349:2024 2072:3032 3080:3849 4201:4382">
      <c r="A1004" s="8" t="s">
        <v>1303</v>
      </c>
      <c r="B1004" s="10" t="s">
        <v>11156</v>
      </c>
      <c r="C1004" s="8">
        <v>1741.22</v>
      </c>
      <c r="D1004" s="15">
        <v>34.78</v>
      </c>
      <c r="AYZ1004" s="8" t="s">
        <v>355</v>
      </c>
      <c r="BCR1004" s="8" t="s">
        <v>1004</v>
      </c>
      <c r="BEN1004" s="8" t="s">
        <v>1004</v>
      </c>
      <c r="BPP1004" s="8" t="s">
        <v>11156</v>
      </c>
      <c r="CCN1004" s="8" t="s">
        <v>11160</v>
      </c>
      <c r="CEJ1004" s="8" t="s">
        <v>10320</v>
      </c>
      <c r="DEF1004" s="8" t="s">
        <v>374</v>
      </c>
      <c r="FHC1004" s="8" t="s">
        <v>1327</v>
      </c>
      <c r="FIY1004" s="8" t="s">
        <v>1327</v>
      </c>
    </row>
    <row r="1005" spans="1:4 1349:2024 2072:3032 3080:3849 4201:4382">
      <c r="A1005" s="8" t="s">
        <v>1303</v>
      </c>
      <c r="B1005" s="10" t="s">
        <v>11157</v>
      </c>
      <c r="C1005" s="8">
        <v>1779.52</v>
      </c>
      <c r="D1005" s="15">
        <v>8.6999999999999993</v>
      </c>
      <c r="AYZ1005" s="8" t="s">
        <v>356</v>
      </c>
      <c r="BCR1005" s="8" t="s">
        <v>1005</v>
      </c>
      <c r="BEN1005" s="8" t="s">
        <v>1005</v>
      </c>
      <c r="BQB1005" s="8" t="s">
        <v>11157</v>
      </c>
      <c r="CCZ1005" s="8" t="s">
        <v>11161</v>
      </c>
      <c r="CEV1005" s="8" t="s">
        <v>10321</v>
      </c>
      <c r="CUZ1005" s="8" t="s">
        <v>348</v>
      </c>
      <c r="DJT1005" s="8" t="s">
        <v>375</v>
      </c>
      <c r="FIK1005" s="8" t="s">
        <v>1328</v>
      </c>
      <c r="FKG1005" s="8" t="s">
        <v>1328</v>
      </c>
    </row>
    <row r="1006" spans="1:4 1349:2024 2072:3032 3080:3849 4201:4382">
      <c r="A1006" s="8" t="s">
        <v>1303</v>
      </c>
      <c r="B1006" s="10" t="s">
        <v>11158</v>
      </c>
      <c r="C1006" s="8">
        <v>1789.22</v>
      </c>
      <c r="D1006" s="15">
        <v>34.78</v>
      </c>
      <c r="AYZ1006" s="8" t="s">
        <v>357</v>
      </c>
      <c r="AZV1006" s="8" t="s">
        <v>2583</v>
      </c>
      <c r="AZW1006" s="8" t="s">
        <v>4984</v>
      </c>
      <c r="AZX1006" s="8" t="s">
        <v>4984</v>
      </c>
      <c r="BCR1006" s="8" t="s">
        <v>1006</v>
      </c>
      <c r="BEN1006" s="8" t="s">
        <v>1006</v>
      </c>
      <c r="BGJ1006" s="8" t="s">
        <v>1006</v>
      </c>
      <c r="BRL1006" s="8" t="s">
        <v>11158</v>
      </c>
      <c r="CEJ1006" s="8" t="s">
        <v>11162</v>
      </c>
      <c r="CGF1006" s="8" t="s">
        <v>10322</v>
      </c>
      <c r="DIA1006" s="8" t="s">
        <v>349</v>
      </c>
      <c r="DLP1006" s="8" t="s">
        <v>376</v>
      </c>
      <c r="FHP1006" s="8" t="s">
        <v>1329</v>
      </c>
      <c r="FJL1006" s="8" t="s">
        <v>1329</v>
      </c>
    </row>
    <row r="1007" spans="1:4 1349:2024 2072:3032 3080:3849 4201:4382">
      <c r="A1007" s="8" t="s">
        <v>1303</v>
      </c>
      <c r="B1007" s="10" t="s">
        <v>11159</v>
      </c>
      <c r="C1007" s="8">
        <v>1927.04</v>
      </c>
      <c r="D1007" s="15">
        <v>17.39</v>
      </c>
      <c r="AYW1007" s="8" t="s">
        <v>4941</v>
      </c>
      <c r="AYZ1007" s="8" t="s">
        <v>2970</v>
      </c>
      <c r="BAS1007" s="8" t="s">
        <v>4941</v>
      </c>
      <c r="BAT1007" s="8" t="s">
        <v>4941</v>
      </c>
      <c r="BAV1007" s="8" t="s">
        <v>2584</v>
      </c>
      <c r="BEN1007" s="8" t="s">
        <v>1007</v>
      </c>
      <c r="BGJ1007" s="8" t="s">
        <v>4985</v>
      </c>
      <c r="BGK1007" s="8" t="s">
        <v>4985</v>
      </c>
      <c r="BIF1007" s="8" t="s">
        <v>1007</v>
      </c>
      <c r="BWB1007" s="8" t="s">
        <v>11159</v>
      </c>
      <c r="CIB1007" s="8" t="s">
        <v>11163</v>
      </c>
      <c r="CJX1007" s="8" t="s">
        <v>10323</v>
      </c>
      <c r="DPK1007" s="8" t="s">
        <v>350</v>
      </c>
      <c r="DUV1007" s="8" t="s">
        <v>377</v>
      </c>
      <c r="FJR1007" s="8" t="s">
        <v>1330</v>
      </c>
      <c r="FLN1007" s="8" t="s">
        <v>1330</v>
      </c>
    </row>
    <row r="1008" spans="1:4 1349:2024 2072:3032 3080:3849 4201:4382">
      <c r="A1008" s="8" t="s">
        <v>1303</v>
      </c>
      <c r="B1008" s="10" t="s">
        <v>11160</v>
      </c>
      <c r="C1008" s="8">
        <v>1933.22</v>
      </c>
      <c r="D1008" s="15">
        <v>34.78</v>
      </c>
      <c r="AYZ1008" s="8" t="s">
        <v>2971</v>
      </c>
      <c r="AZH1008" s="8" t="s">
        <v>4942</v>
      </c>
      <c r="BAV1008" s="8" t="s">
        <v>2585</v>
      </c>
      <c r="BBC1008" s="8" t="s">
        <v>4942</v>
      </c>
      <c r="BBD1008" s="8" t="s">
        <v>4942</v>
      </c>
      <c r="BCR1008" s="8" t="s">
        <v>359</v>
      </c>
      <c r="BGJ1008" s="8" t="s">
        <v>1008</v>
      </c>
      <c r="BGT1008" s="8" t="s">
        <v>359</v>
      </c>
      <c r="BIF1008" s="8" t="s">
        <v>1008</v>
      </c>
      <c r="BKB1008" s="8" t="s">
        <v>1008</v>
      </c>
      <c r="BRL1008" s="8" t="s">
        <v>4986</v>
      </c>
      <c r="BRM1008" s="8" t="s">
        <v>4986</v>
      </c>
      <c r="BWZ1008" s="8" t="s">
        <v>11160</v>
      </c>
      <c r="CJX1008" s="8" t="s">
        <v>11164</v>
      </c>
      <c r="CLT1008" s="8" t="s">
        <v>10324</v>
      </c>
      <c r="DUV1008" s="8" t="s">
        <v>351</v>
      </c>
      <c r="DWX1008" s="8" t="s">
        <v>378</v>
      </c>
    </row>
    <row r="1009" spans="1:4 1352:2046 2064:3056 3104:3896">
      <c r="A1009" s="8" t="s">
        <v>1303</v>
      </c>
      <c r="B1009" s="10" t="s">
        <v>11161</v>
      </c>
      <c r="C1009" s="8">
        <v>1945.43</v>
      </c>
      <c r="D1009" s="15">
        <v>34.78</v>
      </c>
      <c r="AZL1009" s="17" t="s">
        <v>4943</v>
      </c>
      <c r="AZM1009" s="8" t="s">
        <v>4943</v>
      </c>
      <c r="AZV1009" s="8" t="s">
        <v>2972</v>
      </c>
      <c r="BBH1009" s="8" t="s">
        <v>4943</v>
      </c>
      <c r="BBI1009" s="8" t="s">
        <v>4943</v>
      </c>
      <c r="BBR1009" s="8" t="s">
        <v>2586</v>
      </c>
      <c r="BEN1009" s="8" t="s">
        <v>360</v>
      </c>
      <c r="BHO1009" s="8" t="s">
        <v>360</v>
      </c>
      <c r="BIF1009" s="8" t="s">
        <v>1009</v>
      </c>
      <c r="BJU1009" s="8" t="s">
        <v>1009</v>
      </c>
      <c r="BKB1009" s="8" t="s">
        <v>360</v>
      </c>
      <c r="BLQ1009" s="8" t="s">
        <v>1009</v>
      </c>
      <c r="BWO1009" s="8" t="s">
        <v>4987</v>
      </c>
      <c r="BWP1009" s="8" t="s">
        <v>4987</v>
      </c>
      <c r="BXL1009" s="8" t="s">
        <v>11161</v>
      </c>
      <c r="CRJ1009" s="8" t="s">
        <v>11165</v>
      </c>
      <c r="CTF1009" s="8" t="s">
        <v>10325</v>
      </c>
      <c r="EEE1009" s="8" t="s">
        <v>352</v>
      </c>
      <c r="EJV1009" s="8" t="s">
        <v>379</v>
      </c>
    </row>
    <row r="1010" spans="1:4 1352:2046 2064:3056 3104:3896">
      <c r="A1010" s="8" t="s">
        <v>1303</v>
      </c>
      <c r="B1010" s="10" t="s">
        <v>11162</v>
      </c>
      <c r="C1010" s="8">
        <v>1981.22</v>
      </c>
      <c r="D1010" s="15">
        <v>34.78</v>
      </c>
      <c r="BAV1010" s="8" t="s">
        <v>4944</v>
      </c>
      <c r="BCR1010" s="8" t="s">
        <v>4944</v>
      </c>
      <c r="BCS1010" s="8" t="s">
        <v>4944</v>
      </c>
      <c r="BEN1010" s="8" t="s">
        <v>2587</v>
      </c>
      <c r="BGC1010" s="8" t="s">
        <v>361</v>
      </c>
      <c r="BLH1010" s="8" t="s">
        <v>1010</v>
      </c>
      <c r="BLQ1010" s="8" t="s">
        <v>1010</v>
      </c>
      <c r="BND1010" s="8" t="s">
        <v>1010</v>
      </c>
      <c r="BXF1010" s="8" t="s">
        <v>4988</v>
      </c>
      <c r="BXG1010" s="8" t="s">
        <v>4988</v>
      </c>
      <c r="BYV1010" s="8" t="s">
        <v>11162</v>
      </c>
      <c r="CTF1010" s="8" t="s">
        <v>11166</v>
      </c>
      <c r="CVB1010" s="8" t="s">
        <v>10326</v>
      </c>
      <c r="ELL1010" s="8" t="s">
        <v>380</v>
      </c>
    </row>
    <row r="1011" spans="1:4 1352:2046 2064:3056 3104:3896">
      <c r="A1011" s="8" t="s">
        <v>1303</v>
      </c>
      <c r="B1011" s="10" t="s">
        <v>14108</v>
      </c>
      <c r="C1011" s="8">
        <v>2040.39</v>
      </c>
      <c r="D1011" s="15">
        <v>35.83</v>
      </c>
      <c r="BCJ1011" s="8" t="s">
        <v>4945</v>
      </c>
      <c r="BEF1011" s="8" t="s">
        <v>4945</v>
      </c>
      <c r="BEG1011" s="8" t="s">
        <v>4945</v>
      </c>
      <c r="BEN1011" s="8" t="s">
        <v>2873</v>
      </c>
      <c r="BGJ1011" s="8" t="s">
        <v>2588</v>
      </c>
      <c r="BHP1011" s="8" t="s">
        <v>362</v>
      </c>
      <c r="BLC1011" s="8" t="s">
        <v>362</v>
      </c>
      <c r="BLH1011" s="8" t="s">
        <v>1011</v>
      </c>
      <c r="BMO1011" s="8" t="s">
        <v>1011</v>
      </c>
      <c r="BND1011" s="8" t="s">
        <v>362</v>
      </c>
      <c r="BOK1011" s="8" t="s">
        <v>1011</v>
      </c>
      <c r="CBD1011" s="8" t="s">
        <v>14108</v>
      </c>
      <c r="CWV1011" s="8" t="s">
        <v>11167</v>
      </c>
      <c r="CWW1011" s="8" t="s">
        <v>4989</v>
      </c>
      <c r="CYR1011" s="8" t="s">
        <v>10327</v>
      </c>
      <c r="ENH1011" s="8" t="s">
        <v>381</v>
      </c>
    </row>
    <row r="1012" spans="1:4 1352:2046 2064:3056 3104:3896">
      <c r="A1012" s="8" t="s">
        <v>1303</v>
      </c>
      <c r="B1012" s="10" t="s">
        <v>11163</v>
      </c>
      <c r="C1012" s="8">
        <v>2077.2199999999998</v>
      </c>
      <c r="D1012" s="15">
        <v>34.78</v>
      </c>
      <c r="BCO1012" s="8" t="s">
        <v>4946</v>
      </c>
      <c r="BEJ1012" s="8" t="s">
        <v>4946</v>
      </c>
      <c r="BEK1012" s="8" t="s">
        <v>4946</v>
      </c>
      <c r="BEN1012" s="8" t="s">
        <v>2973</v>
      </c>
      <c r="BGJ1012" s="8" t="s">
        <v>2589</v>
      </c>
      <c r="BIW1012" s="8" t="s">
        <v>363</v>
      </c>
      <c r="BLX1012" s="8" t="s">
        <v>363</v>
      </c>
      <c r="BMO1012" s="8" t="s">
        <v>1012</v>
      </c>
      <c r="BNT1012" s="8" t="s">
        <v>1012</v>
      </c>
      <c r="BOK1012" s="8" t="s">
        <v>363</v>
      </c>
      <c r="BPP1012" s="8" t="s">
        <v>1012</v>
      </c>
      <c r="CCN1012" s="8" t="s">
        <v>11163</v>
      </c>
      <c r="DBV1012" s="8" t="s">
        <v>11168</v>
      </c>
      <c r="DDR1012" s="8" t="s">
        <v>10328</v>
      </c>
      <c r="EHT1012" s="8" t="s">
        <v>4990</v>
      </c>
      <c r="EHU1012" s="8" t="s">
        <v>4990</v>
      </c>
      <c r="EPD1012" s="8" t="s">
        <v>382</v>
      </c>
    </row>
    <row r="1013" spans="1:4 1352:2046 2064:3056 3104:3896">
      <c r="A1013" s="8" t="s">
        <v>1303</v>
      </c>
      <c r="B1013" s="10" t="s">
        <v>11164</v>
      </c>
      <c r="C1013" s="8">
        <v>2145.67</v>
      </c>
      <c r="D1013" s="15">
        <v>14.33</v>
      </c>
      <c r="BEC1013" s="8" t="s">
        <v>4947</v>
      </c>
      <c r="BED1013" s="8" t="s">
        <v>4947</v>
      </c>
      <c r="BFY1013" s="8" t="s">
        <v>4947</v>
      </c>
      <c r="BFZ1013" s="8" t="s">
        <v>4947</v>
      </c>
      <c r="BGJ1013" s="8" t="s">
        <v>2874</v>
      </c>
      <c r="BIF1013" s="8" t="s">
        <v>2590</v>
      </c>
      <c r="BKB1013" s="8" t="s">
        <v>364</v>
      </c>
      <c r="BNJ1013" s="8" t="s">
        <v>364</v>
      </c>
      <c r="BNT1013" s="8" t="s">
        <v>1013</v>
      </c>
      <c r="BOV1013" s="8" t="s">
        <v>1013</v>
      </c>
      <c r="BPP1013" s="8" t="s">
        <v>364</v>
      </c>
      <c r="BQR1013" s="8" t="s">
        <v>1013</v>
      </c>
      <c r="CEJ1013" s="8" t="s">
        <v>11164</v>
      </c>
      <c r="DCF1013" s="8" t="s">
        <v>11169</v>
      </c>
      <c r="DEB1013" s="8" t="s">
        <v>10329</v>
      </c>
      <c r="ELL1013" s="8" t="s">
        <v>4991</v>
      </c>
      <c r="ELM1013" s="8" t="s">
        <v>4991</v>
      </c>
      <c r="EQZ1013" s="8" t="s">
        <v>383</v>
      </c>
    </row>
    <row r="1014" spans="1:4 1352:2046 2064:3056 3104:3896">
      <c r="A1014" s="8" t="s">
        <v>1303</v>
      </c>
      <c r="B1014" s="10" t="s">
        <v>11165</v>
      </c>
      <c r="C1014" s="8">
        <v>2331.13</v>
      </c>
      <c r="D1014" s="15">
        <v>22.61</v>
      </c>
      <c r="BEX1014" s="8" t="s">
        <v>4948</v>
      </c>
      <c r="BGT1014" s="8" t="s">
        <v>4948</v>
      </c>
      <c r="BGU1014" s="8" t="s">
        <v>4948</v>
      </c>
      <c r="BIF1014" s="8" t="s">
        <v>2974</v>
      </c>
      <c r="BKB1014" s="8" t="s">
        <v>2591</v>
      </c>
      <c r="BLD1014" s="8" t="s">
        <v>365</v>
      </c>
      <c r="BPP1014" s="8" t="s">
        <v>1014</v>
      </c>
      <c r="BQR1014" s="8" t="s">
        <v>1014</v>
      </c>
      <c r="BRL1014" s="8" t="s">
        <v>1014</v>
      </c>
      <c r="BSD1014" s="8" t="s">
        <v>365</v>
      </c>
      <c r="CLV1014" s="8" t="s">
        <v>11165</v>
      </c>
      <c r="DDI1014" s="8" t="s">
        <v>11170</v>
      </c>
      <c r="DFE1014" s="8" t="s">
        <v>10330</v>
      </c>
      <c r="EQZ1014" s="8" t="s">
        <v>4992</v>
      </c>
      <c r="ERA1014" s="8" t="s">
        <v>4992</v>
      </c>
      <c r="ESV1014" s="8" t="s">
        <v>384</v>
      </c>
    </row>
    <row r="1015" spans="1:4 1352:2046 2064:3056 3104:3896">
      <c r="A1015" s="8" t="s">
        <v>1303</v>
      </c>
      <c r="B1015" s="10" t="s">
        <v>11166</v>
      </c>
      <c r="C1015" s="8">
        <v>2384.3000000000002</v>
      </c>
      <c r="D1015" s="15">
        <v>17.39</v>
      </c>
      <c r="BGL1015" s="8" t="s">
        <v>4949</v>
      </c>
      <c r="BGM1015" s="8" t="s">
        <v>4949</v>
      </c>
      <c r="BIH1015" s="8" t="s">
        <v>4949</v>
      </c>
      <c r="BII1015" s="8" t="s">
        <v>4949</v>
      </c>
      <c r="BKB1015" s="8" t="s">
        <v>2975</v>
      </c>
      <c r="BLX1015" s="8" t="s">
        <v>2592</v>
      </c>
      <c r="BMO1015" s="8" t="s">
        <v>366</v>
      </c>
      <c r="BNT1015" s="8" t="s">
        <v>1015</v>
      </c>
      <c r="BRL1015" s="8" t="s">
        <v>366</v>
      </c>
      <c r="BTN1015" s="8" t="s">
        <v>1015</v>
      </c>
      <c r="BVJ1015" s="8" t="s">
        <v>1015</v>
      </c>
      <c r="CNR1015" s="8" t="s">
        <v>11166</v>
      </c>
      <c r="DEF1015" s="8" t="s">
        <v>11171</v>
      </c>
      <c r="DGB1015" s="8" t="s">
        <v>10331</v>
      </c>
    </row>
    <row r="1016" spans="1:4 1352:2046 2064:3056 3104:3896">
      <c r="A1016" s="8" t="s">
        <v>1303</v>
      </c>
      <c r="B1016" s="10" t="s">
        <v>11167</v>
      </c>
      <c r="C1016" s="8">
        <v>2485.25</v>
      </c>
      <c r="D1016" s="15">
        <v>10.75</v>
      </c>
      <c r="BGQ1016" s="8" t="s">
        <v>4950</v>
      </c>
      <c r="BIL1016" s="8" t="s">
        <v>4950</v>
      </c>
      <c r="BIM1016" s="8" t="s">
        <v>4950</v>
      </c>
      <c r="BPV1016" s="8" t="s">
        <v>367</v>
      </c>
      <c r="BRL1016" s="8" t="s">
        <v>2976</v>
      </c>
      <c r="BTF1016" s="8" t="s">
        <v>367</v>
      </c>
      <c r="BTH1016" s="8" t="s">
        <v>2593</v>
      </c>
      <c r="BTN1016" s="8" t="s">
        <v>1016</v>
      </c>
      <c r="BVB1016" s="8" t="s">
        <v>1016</v>
      </c>
      <c r="BVJ1016" s="8" t="s">
        <v>367</v>
      </c>
      <c r="BWX1016" s="8" t="s">
        <v>1016</v>
      </c>
      <c r="CRH1016" s="8" t="s">
        <v>11167</v>
      </c>
      <c r="DEF1016" s="8" t="s">
        <v>11172</v>
      </c>
      <c r="DGB1016" s="8" t="s">
        <v>10332</v>
      </c>
    </row>
    <row r="1017" spans="1:4 1352:2046 2064:3056 3104:3896">
      <c r="A1017" s="8" t="s">
        <v>1303</v>
      </c>
      <c r="B1017" s="10" t="s">
        <v>14109</v>
      </c>
      <c r="C1017" s="8">
        <v>2525.13</v>
      </c>
      <c r="D1017" s="15">
        <v>35.83</v>
      </c>
      <c r="BIE1017" s="8" t="s">
        <v>4951</v>
      </c>
      <c r="BIF1017" s="8" t="s">
        <v>4951</v>
      </c>
      <c r="BKA1017" s="8" t="s">
        <v>4951</v>
      </c>
      <c r="BKB1017" s="8" t="s">
        <v>4951</v>
      </c>
      <c r="BPN1017" s="8" t="s">
        <v>1017</v>
      </c>
      <c r="BPP1017" s="8" t="s">
        <v>368</v>
      </c>
      <c r="BRJ1017" s="8" t="s">
        <v>368</v>
      </c>
      <c r="BRL1017" s="8" t="s">
        <v>2977</v>
      </c>
      <c r="BTH1017" s="8" t="s">
        <v>2594</v>
      </c>
      <c r="BWX1017" s="8" t="s">
        <v>368</v>
      </c>
      <c r="CCN1017" s="8" t="s">
        <v>1017</v>
      </c>
      <c r="CEJ1017" s="8" t="s">
        <v>1017</v>
      </c>
      <c r="CTU1017" s="8" t="s">
        <v>14109</v>
      </c>
      <c r="DGB1017" s="8" t="s">
        <v>11173</v>
      </c>
      <c r="DHX1017" s="8" t="s">
        <v>10333</v>
      </c>
    </row>
    <row r="1018" spans="1:4 1352:2046 2064:3056 3104:3896">
      <c r="A1018" s="8" t="s">
        <v>1303</v>
      </c>
      <c r="B1018" s="10" t="s">
        <v>14110</v>
      </c>
      <c r="C1018" s="8">
        <v>2561.96</v>
      </c>
      <c r="D1018" s="15">
        <v>35.83</v>
      </c>
      <c r="BNO1018" s="8" t="s">
        <v>4952</v>
      </c>
      <c r="BPK1018" s="8" t="s">
        <v>4952</v>
      </c>
      <c r="BPL1018" s="8" t="s">
        <v>4952</v>
      </c>
      <c r="BTH1018" s="8" t="s">
        <v>2978</v>
      </c>
      <c r="BVD1018" s="8" t="s">
        <v>2595</v>
      </c>
      <c r="BYV1018" s="8" t="s">
        <v>369</v>
      </c>
      <c r="CCN1018" s="8" t="s">
        <v>1018</v>
      </c>
      <c r="CEJ1018" s="8" t="s">
        <v>1018</v>
      </c>
      <c r="CVF1018" s="8" t="s">
        <v>14110</v>
      </c>
      <c r="DHX1018" s="8" t="s">
        <v>11174</v>
      </c>
      <c r="DJT1018" s="8" t="s">
        <v>10334</v>
      </c>
    </row>
    <row r="1019" spans="1:4 1352:2046 2064:3056 3104:3896">
      <c r="A1019" s="8" t="s">
        <v>1303</v>
      </c>
      <c r="B1019" s="10" t="s">
        <v>14111</v>
      </c>
      <c r="C1019" s="8">
        <v>2598.7800000000002</v>
      </c>
      <c r="D1019" s="15">
        <v>8.9600000000000009</v>
      </c>
      <c r="AYZ1019" s="8" t="s">
        <v>4609</v>
      </c>
      <c r="BNT1019" s="8" t="s">
        <v>4953</v>
      </c>
      <c r="BPP1019" s="8" t="s">
        <v>4953</v>
      </c>
      <c r="BPQ1019" s="8" t="s">
        <v>4953</v>
      </c>
      <c r="BVD1019" s="8" t="s">
        <v>2875</v>
      </c>
      <c r="BWZ1019" s="8" t="s">
        <v>2596</v>
      </c>
      <c r="BYV1019" s="8" t="s">
        <v>370</v>
      </c>
      <c r="CAJ1019" s="8" t="s">
        <v>370</v>
      </c>
      <c r="CAR1019" s="8" t="s">
        <v>1019</v>
      </c>
      <c r="CEJ1019" s="8" t="s">
        <v>370</v>
      </c>
      <c r="CFN1019" s="8" t="s">
        <v>1019</v>
      </c>
      <c r="CHJ1019" s="8" t="s">
        <v>1019</v>
      </c>
      <c r="CVP1019" s="8" t="s">
        <v>14111</v>
      </c>
      <c r="DMN1019" s="8" t="s">
        <v>11175</v>
      </c>
      <c r="DOJ1019" s="8" t="s">
        <v>10335</v>
      </c>
    </row>
    <row r="1020" spans="1:4 1352:2046 2064:3056 3104:3896">
      <c r="A1020" s="8" t="s">
        <v>1303</v>
      </c>
      <c r="B1020" s="10" t="s">
        <v>11168</v>
      </c>
      <c r="C1020" s="8">
        <v>2608.7399999999998</v>
      </c>
      <c r="D1020" s="15">
        <v>17.39</v>
      </c>
      <c r="BAV1020" s="8" t="s">
        <v>4610</v>
      </c>
      <c r="BPP1020" s="8" t="s">
        <v>4954</v>
      </c>
      <c r="BPQ1020" s="8" t="s">
        <v>4954</v>
      </c>
      <c r="BRL1020" s="8" t="s">
        <v>4954</v>
      </c>
      <c r="BRM1020" s="8" t="s">
        <v>4954</v>
      </c>
      <c r="BXV1020" s="8" t="s">
        <v>2876</v>
      </c>
      <c r="BZR1020" s="8" t="s">
        <v>2597</v>
      </c>
      <c r="CBV1020" s="8" t="s">
        <v>371</v>
      </c>
      <c r="CEN1020" s="8" t="s">
        <v>1020</v>
      </c>
      <c r="CGJ1020" s="8" t="s">
        <v>1020</v>
      </c>
      <c r="CHJ1020" s="8" t="s">
        <v>371</v>
      </c>
      <c r="CJF1020" s="8" t="s">
        <v>1020</v>
      </c>
      <c r="CKD1020" s="8" t="s">
        <v>371</v>
      </c>
      <c r="CWH1020" s="8" t="s">
        <v>11168</v>
      </c>
      <c r="DPH1020" s="8" t="s">
        <v>11176</v>
      </c>
      <c r="DRD1020" s="8" t="s">
        <v>10336</v>
      </c>
    </row>
    <row r="1021" spans="1:4 1352:2046 2064:3056 3104:3896">
      <c r="A1021" s="8" t="s">
        <v>1303</v>
      </c>
      <c r="B1021" s="10" t="s">
        <v>11169</v>
      </c>
      <c r="C1021" s="8">
        <v>2627.13</v>
      </c>
      <c r="D1021" s="15">
        <v>8.6999999999999993</v>
      </c>
      <c r="AZH1021" s="8" t="s">
        <v>1372</v>
      </c>
      <c r="BCR1021" s="8" t="s">
        <v>4601</v>
      </c>
      <c r="BEN1021" s="8" t="s">
        <v>4151</v>
      </c>
      <c r="BGJ1021" s="8" t="s">
        <v>3844</v>
      </c>
      <c r="BIQ1021" s="8" t="s">
        <v>4611</v>
      </c>
      <c r="BKB1021" s="8" t="s">
        <v>3426</v>
      </c>
      <c r="BPP1021" s="8" t="s">
        <v>4955</v>
      </c>
      <c r="BPQ1021" s="8" t="s">
        <v>4955</v>
      </c>
      <c r="BRL1021" s="8" t="s">
        <v>4955</v>
      </c>
      <c r="BRM1021" s="8" t="s">
        <v>4955</v>
      </c>
      <c r="CAV1021" s="8" t="s">
        <v>372</v>
      </c>
      <c r="CEW1021" s="8" t="s">
        <v>1021</v>
      </c>
      <c r="CGF1021" s="8" t="s">
        <v>2877</v>
      </c>
      <c r="CGJ1021" s="8" t="s">
        <v>1021</v>
      </c>
      <c r="CGQ1021" s="8" t="s">
        <v>372</v>
      </c>
      <c r="CGS1021" s="8" t="s">
        <v>1021</v>
      </c>
      <c r="CIB1021" s="8" t="s">
        <v>2598</v>
      </c>
      <c r="CWR1021" s="8" t="s">
        <v>11169</v>
      </c>
      <c r="DPH1021" s="8" t="s">
        <v>11177</v>
      </c>
      <c r="DRD1021" s="8" t="s">
        <v>10337</v>
      </c>
    </row>
    <row r="1022" spans="1:4 1352:2046 2064:3056 3104:3896">
      <c r="A1022" s="8" t="s">
        <v>1303</v>
      </c>
      <c r="B1022" s="10" t="s">
        <v>11171</v>
      </c>
      <c r="C1022" s="8">
        <v>2670.61</v>
      </c>
      <c r="D1022" s="15">
        <v>17.39</v>
      </c>
      <c r="AYZ1022" s="8" t="s">
        <v>1373</v>
      </c>
      <c r="BAV1022" s="8" t="s">
        <v>1373</v>
      </c>
      <c r="BCR1022" s="8" t="s">
        <v>4602</v>
      </c>
      <c r="BEN1022" s="8" t="s">
        <v>4152</v>
      </c>
      <c r="BGJ1022" s="8" t="s">
        <v>3845</v>
      </c>
      <c r="BKB1022" s="8" t="s">
        <v>4612</v>
      </c>
      <c r="BKO1022" s="8" t="s">
        <v>1022</v>
      </c>
      <c r="BKV1022" s="8" t="s">
        <v>373</v>
      </c>
      <c r="CAU1022" s="8" t="s">
        <v>4956</v>
      </c>
      <c r="CBE1022" s="8" t="s">
        <v>373</v>
      </c>
      <c r="CCQ1022" s="8" t="s">
        <v>4956</v>
      </c>
      <c r="CCR1022" s="8" t="s">
        <v>4956</v>
      </c>
      <c r="CGF1022" s="8" t="s">
        <v>2979</v>
      </c>
      <c r="CGS1022" s="8" t="s">
        <v>373</v>
      </c>
      <c r="CIB1022" s="8" t="s">
        <v>2599</v>
      </c>
      <c r="CYR1022" s="8" t="s">
        <v>11171</v>
      </c>
      <c r="DAN1022" s="8" t="s">
        <v>1022</v>
      </c>
      <c r="DCJ1022" s="8" t="s">
        <v>1022</v>
      </c>
      <c r="DRD1022" s="8" t="s">
        <v>11178</v>
      </c>
      <c r="DSZ1022" s="8" t="s">
        <v>10338</v>
      </c>
    </row>
    <row r="1023" spans="1:4 1352:2046 2064:3056 3104:3896">
      <c r="A1023" s="8" t="s">
        <v>1303</v>
      </c>
      <c r="B1023" s="10" t="s">
        <v>11172</v>
      </c>
      <c r="C1023" s="8">
        <v>2679.3</v>
      </c>
      <c r="D1023" s="15">
        <v>8.6999999999999993</v>
      </c>
      <c r="AYZ1023" s="8" t="s">
        <v>1374</v>
      </c>
      <c r="AZX1023" s="8" t="s">
        <v>1023</v>
      </c>
      <c r="BAV1023" s="8" t="s">
        <v>1374</v>
      </c>
      <c r="BGJ1023" s="8" t="s">
        <v>4603</v>
      </c>
      <c r="BLX1023" s="8" t="s">
        <v>4613</v>
      </c>
      <c r="BNT1023" s="8" t="s">
        <v>6436</v>
      </c>
      <c r="BWZ1023" s="8" t="s">
        <v>4603</v>
      </c>
      <c r="BYV1023" s="8" t="s">
        <v>4153</v>
      </c>
      <c r="CAR1023" s="8" t="s">
        <v>3846</v>
      </c>
      <c r="CEJ1023" s="8" t="s">
        <v>3428</v>
      </c>
      <c r="CGF1023" s="8" t="s">
        <v>2980</v>
      </c>
      <c r="CIB1023" s="8" t="s">
        <v>2600</v>
      </c>
      <c r="CIE1023" s="8" t="s">
        <v>4957</v>
      </c>
      <c r="CKA1023" s="8" t="s">
        <v>4957</v>
      </c>
      <c r="CKB1023" s="8" t="s">
        <v>4957</v>
      </c>
      <c r="CWV1023" s="8" t="s">
        <v>374</v>
      </c>
      <c r="CYR1023" s="8" t="s">
        <v>11172</v>
      </c>
      <c r="CZK1023" s="8" t="s">
        <v>374</v>
      </c>
      <c r="DAN1023" s="8" t="s">
        <v>1023</v>
      </c>
      <c r="DCJ1023" s="8" t="s">
        <v>1023</v>
      </c>
      <c r="DEF1023" s="8" t="s">
        <v>1023</v>
      </c>
      <c r="DRD1023" s="8" t="s">
        <v>11179</v>
      </c>
      <c r="DSZ1023" s="8" t="s">
        <v>10339</v>
      </c>
    </row>
    <row r="1024" spans="1:4 1352:2046 2064:3056 3104:3896">
      <c r="A1024" s="8" t="s">
        <v>1303</v>
      </c>
      <c r="B1024" s="10" t="s">
        <v>14112</v>
      </c>
      <c r="C1024" s="8">
        <v>2714.03</v>
      </c>
      <c r="D1024" s="15">
        <v>3.58</v>
      </c>
      <c r="AYZ1024" s="8" t="s">
        <v>1375</v>
      </c>
      <c r="AZX1024" s="8" t="s">
        <v>375</v>
      </c>
      <c r="BAV1024" s="8" t="s">
        <v>3425</v>
      </c>
      <c r="BCR1024" s="8" t="s">
        <v>3425</v>
      </c>
      <c r="BKB1024" s="8" t="s">
        <v>4604</v>
      </c>
      <c r="BRL1024" s="8" t="s">
        <v>6437</v>
      </c>
      <c r="BWZ1024" s="8" t="s">
        <v>4614</v>
      </c>
      <c r="CAR1024" s="8" t="s">
        <v>4604</v>
      </c>
      <c r="CCN1024" s="8" t="s">
        <v>4154</v>
      </c>
      <c r="CEJ1024" s="8" t="s">
        <v>3847</v>
      </c>
      <c r="CHS1024" s="8" t="s">
        <v>2981</v>
      </c>
      <c r="CIB1024" s="8" t="s">
        <v>3429</v>
      </c>
      <c r="CJO1024" s="8" t="s">
        <v>2601</v>
      </c>
      <c r="CNP1024" s="8" t="s">
        <v>4958</v>
      </c>
      <c r="CPL1024" s="8" t="s">
        <v>4958</v>
      </c>
      <c r="CPM1024" s="8" t="s">
        <v>4958</v>
      </c>
      <c r="CYR1024" s="8" t="s">
        <v>375</v>
      </c>
      <c r="CZV1024" s="8" t="s">
        <v>14112</v>
      </c>
      <c r="DEF1024" s="8" t="s">
        <v>375</v>
      </c>
      <c r="DHX1024" s="8" t="s">
        <v>1024</v>
      </c>
      <c r="DJT1024" s="8" t="s">
        <v>1024</v>
      </c>
      <c r="ECI1024" s="8" t="s">
        <v>11180</v>
      </c>
      <c r="EEE1024" s="8" t="s">
        <v>10340</v>
      </c>
    </row>
    <row r="1025" spans="1:4 1352:2024 2072:3032 3080:4040 4136:4473 7680:7688">
      <c r="A1025" s="8" t="s">
        <v>1303</v>
      </c>
      <c r="B1025" s="10" t="s">
        <v>11173</v>
      </c>
      <c r="C1025" s="8">
        <v>2718.61</v>
      </c>
      <c r="D1025" s="15">
        <v>17.39</v>
      </c>
      <c r="BAB1025" s="17" t="s">
        <v>345</v>
      </c>
      <c r="BBT1025" s="8" t="s">
        <v>376</v>
      </c>
      <c r="BBX1025" s="8" t="s">
        <v>345</v>
      </c>
      <c r="BCR1025" s="8" t="s">
        <v>376</v>
      </c>
      <c r="BDP1025" s="8" t="s">
        <v>1025</v>
      </c>
      <c r="BDT1025" s="8" t="s">
        <v>345</v>
      </c>
      <c r="BFP1025" s="8" t="s">
        <v>345</v>
      </c>
      <c r="BKB1025" s="8" t="s">
        <v>3426</v>
      </c>
      <c r="BLX1025" s="8" t="s">
        <v>3426</v>
      </c>
      <c r="BRL1025" s="8" t="s">
        <v>4605</v>
      </c>
      <c r="BYV1025" s="8" t="s">
        <v>6438</v>
      </c>
      <c r="CHT1025" s="8" t="s">
        <v>2982</v>
      </c>
      <c r="CIB1025" s="8" t="s">
        <v>4605</v>
      </c>
      <c r="CJP1025" s="8" t="s">
        <v>2602</v>
      </c>
      <c r="CJX1025" s="8" t="s">
        <v>4155</v>
      </c>
      <c r="CLT1025" s="8" t="s">
        <v>3848</v>
      </c>
      <c r="CPL1025" s="8" t="s">
        <v>3430</v>
      </c>
      <c r="CWV1025" s="8" t="s">
        <v>4615</v>
      </c>
      <c r="CWY1025" s="8" t="s">
        <v>4959</v>
      </c>
      <c r="CYU1025" s="8" t="s">
        <v>4959</v>
      </c>
      <c r="CYV1025" s="8" t="s">
        <v>4959</v>
      </c>
      <c r="DAN1025" s="8" t="s">
        <v>11173</v>
      </c>
      <c r="DEF1025" s="8" t="s">
        <v>376</v>
      </c>
      <c r="DHX1025" s="8" t="s">
        <v>1025</v>
      </c>
      <c r="DJT1025" s="8" t="s">
        <v>1025</v>
      </c>
      <c r="DLP1025" s="8" t="s">
        <v>1025</v>
      </c>
      <c r="EEB1025" s="8" t="s">
        <v>11181</v>
      </c>
      <c r="EFX1025" s="8" t="s">
        <v>10341</v>
      </c>
    </row>
    <row r="1026" spans="1:4 1352:2024 2072:3032 3080:4040 4136:4473 7680:7688">
      <c r="A1026" s="8" t="s">
        <v>1303</v>
      </c>
      <c r="B1026" s="10" t="s">
        <v>11174</v>
      </c>
      <c r="C1026" s="8">
        <v>2766.61</v>
      </c>
      <c r="D1026" s="15">
        <v>17.39</v>
      </c>
      <c r="BAV1026" s="8" t="s">
        <v>346</v>
      </c>
      <c r="BCR1026" s="8" t="s">
        <v>346</v>
      </c>
      <c r="BDP1026" s="8" t="s">
        <v>377</v>
      </c>
      <c r="BEN1026" s="8" t="s">
        <v>346</v>
      </c>
      <c r="BGJ1026" s="8" t="s">
        <v>346</v>
      </c>
      <c r="BKB1026" s="8" t="s">
        <v>3427</v>
      </c>
      <c r="BLX1026" s="8" t="s">
        <v>3427</v>
      </c>
      <c r="BTH1026" s="8" t="s">
        <v>4606</v>
      </c>
      <c r="CAR1026" s="8" t="s">
        <v>6439</v>
      </c>
      <c r="CIB1026" s="8" t="s">
        <v>2983</v>
      </c>
      <c r="CJX1026" s="8" t="s">
        <v>4606</v>
      </c>
      <c r="CLT1026" s="8" t="s">
        <v>4156</v>
      </c>
      <c r="CNP1026" s="8" t="s">
        <v>3849</v>
      </c>
      <c r="CRH1026" s="8" t="s">
        <v>3431</v>
      </c>
      <c r="DAN1026" s="8" t="s">
        <v>4616</v>
      </c>
      <c r="DCJ1026" s="8" t="s">
        <v>11174</v>
      </c>
      <c r="DDQ1026" s="8" t="s">
        <v>377</v>
      </c>
      <c r="DGB1026" s="8" t="s">
        <v>377</v>
      </c>
      <c r="DLP1026" s="8" t="s">
        <v>377</v>
      </c>
      <c r="DSZ1026" s="8" t="s">
        <v>1026</v>
      </c>
      <c r="DUV1026" s="8" t="s">
        <v>1026</v>
      </c>
      <c r="EFX1026" s="8" t="s">
        <v>11182</v>
      </c>
      <c r="EHT1026" s="8" t="s">
        <v>10342</v>
      </c>
      <c r="EHW1026" s="8" t="s">
        <v>4960</v>
      </c>
      <c r="EJS1026" s="8" t="s">
        <v>4960</v>
      </c>
      <c r="EJT1026" s="8" t="s">
        <v>4960</v>
      </c>
    </row>
    <row r="1027" spans="1:4 1352:2024 2072:3032 3080:4040 4136:4473 7680:7688">
      <c r="A1027" s="8" t="s">
        <v>1303</v>
      </c>
      <c r="B1027" s="10" t="s">
        <v>14113</v>
      </c>
      <c r="C1027" s="8">
        <v>2805.92</v>
      </c>
      <c r="D1027" s="15">
        <v>7.17</v>
      </c>
      <c r="BCL1027" s="8" t="s">
        <v>347</v>
      </c>
      <c r="BEH1027" s="8" t="s">
        <v>347</v>
      </c>
      <c r="BGD1027" s="8" t="s">
        <v>347</v>
      </c>
      <c r="BHH1027" s="8" t="s">
        <v>378</v>
      </c>
      <c r="BHZ1027" s="8" t="s">
        <v>347</v>
      </c>
      <c r="BIF1027" s="8" t="s">
        <v>378</v>
      </c>
      <c r="BJD1027" s="8" t="s">
        <v>1027</v>
      </c>
      <c r="CEJ1027" s="8" t="s">
        <v>3428</v>
      </c>
      <c r="CGF1027" s="8" t="s">
        <v>3428</v>
      </c>
      <c r="CJX1027" s="8" t="s">
        <v>2984</v>
      </c>
      <c r="CLT1027" s="8" t="s">
        <v>2603</v>
      </c>
      <c r="CYR1027" s="8" t="s">
        <v>4607</v>
      </c>
      <c r="DDM1027" s="8" t="s">
        <v>14113</v>
      </c>
      <c r="DGB1027" s="8" t="s">
        <v>6440</v>
      </c>
      <c r="DLP1027" s="8" t="s">
        <v>4617</v>
      </c>
      <c r="DPH1027" s="8" t="s">
        <v>4607</v>
      </c>
      <c r="DRD1027" s="8" t="s">
        <v>4157</v>
      </c>
      <c r="DRY1027" s="8" t="s">
        <v>378</v>
      </c>
      <c r="DSZ1027" s="8" t="s">
        <v>3510</v>
      </c>
      <c r="DUV1027" s="8" t="s">
        <v>378</v>
      </c>
      <c r="DVB1027" s="8" t="s">
        <v>1027</v>
      </c>
      <c r="DWR1027" s="8" t="s">
        <v>3432</v>
      </c>
      <c r="DWX1027" s="8" t="s">
        <v>1027</v>
      </c>
      <c r="EPD1027" s="8" t="s">
        <v>4961</v>
      </c>
      <c r="EQZ1027" s="8" t="s">
        <v>11183</v>
      </c>
      <c r="ERA1027" s="8" t="s">
        <v>4961</v>
      </c>
      <c r="ESV1027" s="8" t="s">
        <v>10343</v>
      </c>
    </row>
    <row r="1028" spans="1:4 1352:2024 2072:3032 3080:4040 4136:4473 7680:7688">
      <c r="A1028" s="8" t="s">
        <v>1303</v>
      </c>
      <c r="B1028" s="10" t="s">
        <v>14114</v>
      </c>
      <c r="C1028" s="8">
        <v>2814.09</v>
      </c>
      <c r="D1028" s="15">
        <v>17.91</v>
      </c>
      <c r="AYZ1028" s="8" t="s">
        <v>1613</v>
      </c>
      <c r="BCR1028" s="8" t="s">
        <v>1376</v>
      </c>
      <c r="BEN1028" s="8" t="s">
        <v>1376</v>
      </c>
      <c r="BGJ1028" s="8" t="s">
        <v>1376</v>
      </c>
      <c r="BIF1028" s="8" t="s">
        <v>1376</v>
      </c>
      <c r="BII1028" s="8" t="s">
        <v>379</v>
      </c>
      <c r="BJG1028" s="8" t="s">
        <v>379</v>
      </c>
      <c r="BKE1028" s="8" t="s">
        <v>1028</v>
      </c>
      <c r="CIB1028" s="8" t="s">
        <v>3429</v>
      </c>
      <c r="CJX1028" s="8" t="s">
        <v>3429</v>
      </c>
      <c r="CKT1028" s="8" t="s">
        <v>2985</v>
      </c>
      <c r="CMP1028" s="8" t="s">
        <v>2604</v>
      </c>
      <c r="DEF1028" s="8" t="s">
        <v>14114</v>
      </c>
      <c r="DJZ1028" s="8" t="s">
        <v>1028</v>
      </c>
      <c r="DRJ1028" s="8" t="s">
        <v>379</v>
      </c>
      <c r="DWX1028" s="8" t="s">
        <v>379</v>
      </c>
      <c r="EAJ1028" s="8" t="s">
        <v>4618</v>
      </c>
      <c r="EEB1028" s="8" t="s">
        <v>4608</v>
      </c>
      <c r="EHZ1028" s="8" t="s">
        <v>1028</v>
      </c>
      <c r="EJV1028" s="8" t="s">
        <v>1028</v>
      </c>
      <c r="ELL1028" s="8" t="s">
        <v>6441</v>
      </c>
      <c r="EQZ1028" s="8" t="s">
        <v>11184</v>
      </c>
      <c r="ESV1028" s="8" t="s">
        <v>10344</v>
      </c>
      <c r="EUR1028" s="8" t="s">
        <v>4608</v>
      </c>
      <c r="EWN1028" s="8" t="s">
        <v>4158</v>
      </c>
      <c r="EYJ1028" s="8" t="s">
        <v>3850</v>
      </c>
      <c r="FCB1028" s="8" t="s">
        <v>3433</v>
      </c>
      <c r="FND1028" s="8" t="s">
        <v>4962</v>
      </c>
      <c r="FOZ1028" s="8" t="s">
        <v>4962</v>
      </c>
      <c r="FPA1028" s="8" t="s">
        <v>4962</v>
      </c>
    </row>
    <row r="1029" spans="1:4 1352:2024 2072:3032 3080:4040 4136:4473 7680:7688">
      <c r="A1029" s="8" t="s">
        <v>1303</v>
      </c>
      <c r="B1029" s="10" t="s">
        <v>11175</v>
      </c>
      <c r="C1029" s="8">
        <v>2887.04</v>
      </c>
      <c r="D1029" s="15">
        <v>17.39</v>
      </c>
      <c r="BCR1029" s="8" t="s">
        <v>2042</v>
      </c>
      <c r="BEN1029" s="8" t="s">
        <v>1614</v>
      </c>
      <c r="BIF1029" s="8" t="s">
        <v>1377</v>
      </c>
      <c r="BKB1029" s="8" t="s">
        <v>1377</v>
      </c>
      <c r="BLX1029" s="8" t="s">
        <v>1377</v>
      </c>
      <c r="BNT1029" s="8" t="s">
        <v>1377</v>
      </c>
      <c r="BOU1029" s="8" t="s">
        <v>380</v>
      </c>
      <c r="BPS1029" s="8" t="s">
        <v>380</v>
      </c>
      <c r="BQQ1029" s="8" t="s">
        <v>1029</v>
      </c>
      <c r="CLT1029" s="8" t="s">
        <v>2878</v>
      </c>
      <c r="CNP1029" s="8" t="s">
        <v>2605</v>
      </c>
      <c r="CPL1029" s="8" t="s">
        <v>3430</v>
      </c>
      <c r="CRH1029" s="8" t="s">
        <v>3430</v>
      </c>
      <c r="DGZ1029" s="8" t="s">
        <v>11175</v>
      </c>
      <c r="EEH1029" s="8" t="s">
        <v>380</v>
      </c>
      <c r="EHT1029" s="8" t="s">
        <v>380</v>
      </c>
      <c r="EHZ1029" s="8" t="s">
        <v>1029</v>
      </c>
      <c r="EJP1029" s="8" t="s">
        <v>1029</v>
      </c>
      <c r="EJV1029" s="8" t="s">
        <v>380</v>
      </c>
      <c r="ELL1029" s="8" t="s">
        <v>1029</v>
      </c>
      <c r="FDX1029" s="8" t="s">
        <v>11185</v>
      </c>
      <c r="FFT1029" s="8" t="s">
        <v>10345</v>
      </c>
    </row>
    <row r="1030" spans="1:4 1352:2024 2072:3032 3080:4040 4136:4473 7680:7688">
      <c r="A1030" s="8" t="s">
        <v>1303</v>
      </c>
      <c r="B1030" s="10" t="s">
        <v>14115</v>
      </c>
      <c r="C1030" s="8">
        <v>2913.35</v>
      </c>
      <c r="D1030" s="15">
        <v>26.87</v>
      </c>
      <c r="BKB1030" s="8" t="s">
        <v>2043</v>
      </c>
      <c r="BLX1030" s="8" t="s">
        <v>1615</v>
      </c>
      <c r="BPP1030" s="8" t="s">
        <v>1378</v>
      </c>
      <c r="BQN1030" s="8" t="s">
        <v>381</v>
      </c>
      <c r="BRL1030" s="8" t="s">
        <v>1378</v>
      </c>
      <c r="BTH1030" s="8" t="s">
        <v>1378</v>
      </c>
      <c r="BVD1030" s="8" t="s">
        <v>1378</v>
      </c>
      <c r="CNP1030" s="8" t="s">
        <v>2986</v>
      </c>
      <c r="CPL1030" s="8" t="s">
        <v>2606</v>
      </c>
      <c r="CRH1030" s="8" t="s">
        <v>3431</v>
      </c>
      <c r="CTD1030" s="8" t="s">
        <v>3431</v>
      </c>
      <c r="DIJ1030" s="8" t="s">
        <v>14115</v>
      </c>
      <c r="EFX1030" s="8" t="s">
        <v>381</v>
      </c>
      <c r="EJP1030" s="8" t="s">
        <v>1030</v>
      </c>
      <c r="ELL1030" s="8" t="s">
        <v>1030</v>
      </c>
      <c r="ENH1030" s="8" t="s">
        <v>1030</v>
      </c>
    </row>
    <row r="1031" spans="1:4 1352:2024 2072:3032 3080:4040 4136:4473 7680:7688">
      <c r="A1031" s="8" t="s">
        <v>1303</v>
      </c>
      <c r="B1031" s="10" t="s">
        <v>11176</v>
      </c>
      <c r="C1031" s="8">
        <v>2941.22</v>
      </c>
      <c r="D1031" s="15">
        <v>34.78</v>
      </c>
      <c r="BKB1031" s="8" t="s">
        <v>2044</v>
      </c>
      <c r="BLX1031" s="8" t="s">
        <v>1616</v>
      </c>
      <c r="BPP1031" s="8" t="s">
        <v>348</v>
      </c>
      <c r="BQN1031" s="8" t="s">
        <v>382</v>
      </c>
      <c r="BRL1031" s="8" t="s">
        <v>348</v>
      </c>
      <c r="BSJ1031" s="8" t="s">
        <v>1031</v>
      </c>
      <c r="BTH1031" s="8" t="s">
        <v>348</v>
      </c>
      <c r="BVD1031" s="8" t="s">
        <v>348</v>
      </c>
      <c r="CYR1031" s="8" t="s">
        <v>2879</v>
      </c>
      <c r="DAN1031" s="8" t="s">
        <v>2607</v>
      </c>
      <c r="DJT1031" s="8" t="s">
        <v>11176</v>
      </c>
      <c r="DWR1031" s="8" t="s">
        <v>3432</v>
      </c>
      <c r="DYN1031" s="8" t="s">
        <v>3432</v>
      </c>
      <c r="EHT1031" s="8" t="s">
        <v>382</v>
      </c>
      <c r="ELL1031" s="8" t="s">
        <v>1031</v>
      </c>
      <c r="ENH1031" s="8" t="s">
        <v>1031</v>
      </c>
      <c r="EPD1031" s="8" t="s">
        <v>1031</v>
      </c>
    </row>
    <row r="1032" spans="1:4 1352:2024 2072:3032 3080:4040 4136:4473 7680:7688">
      <c r="A1032" s="8" t="s">
        <v>1303</v>
      </c>
      <c r="B1032" s="10" t="s">
        <v>11177</v>
      </c>
      <c r="C1032" s="8">
        <v>2958.61</v>
      </c>
      <c r="D1032" s="15">
        <v>17.39</v>
      </c>
      <c r="BPP1032" s="8" t="s">
        <v>2045</v>
      </c>
      <c r="BRL1032" s="8" t="s">
        <v>1617</v>
      </c>
      <c r="BSJ1032" s="8" t="s">
        <v>383</v>
      </c>
      <c r="BTH1032" s="8" t="s">
        <v>1032</v>
      </c>
      <c r="BVD1032" s="8" t="s">
        <v>1379</v>
      </c>
      <c r="BWZ1032" s="8" t="s">
        <v>1379</v>
      </c>
      <c r="BYV1032" s="8" t="s">
        <v>1379</v>
      </c>
      <c r="CAR1032" s="8" t="s">
        <v>1379</v>
      </c>
      <c r="DJT1032" s="8" t="s">
        <v>11177</v>
      </c>
      <c r="DLP1032" s="8" t="s">
        <v>2880</v>
      </c>
      <c r="DNL1032" s="8" t="s">
        <v>2608</v>
      </c>
      <c r="EJP1032" s="8" t="s">
        <v>383</v>
      </c>
      <c r="ENH1032" s="8" t="s">
        <v>1032</v>
      </c>
      <c r="EPD1032" s="8" t="s">
        <v>1032</v>
      </c>
      <c r="EQZ1032" s="8" t="s">
        <v>1032</v>
      </c>
      <c r="FCB1032" s="8" t="s">
        <v>3433</v>
      </c>
      <c r="FDX1032" s="8" t="s">
        <v>3433</v>
      </c>
    </row>
    <row r="1033" spans="1:4 1352:2024 2072:3032 3080:4040 4136:4473 7680:7688">
      <c r="A1033" s="8" t="s">
        <v>1303</v>
      </c>
      <c r="B1033" s="10" t="s">
        <v>11178</v>
      </c>
      <c r="C1033" s="8">
        <v>2989.22</v>
      </c>
      <c r="D1033" s="15">
        <v>34.78</v>
      </c>
      <c r="BSJ1033" s="8" t="s">
        <v>384</v>
      </c>
      <c r="BTH1033" s="8" t="s">
        <v>384</v>
      </c>
      <c r="BUF1033" s="8" t="s">
        <v>1033</v>
      </c>
      <c r="BWZ1033" s="8" t="s">
        <v>2046</v>
      </c>
      <c r="BYV1033" s="8" t="s">
        <v>1618</v>
      </c>
      <c r="CCN1033" s="8" t="s">
        <v>1380</v>
      </c>
      <c r="CEJ1033" s="8" t="s">
        <v>1380</v>
      </c>
      <c r="CGF1033" s="8" t="s">
        <v>1380</v>
      </c>
      <c r="CIB1033" s="8" t="s">
        <v>1380</v>
      </c>
      <c r="DLP1033" s="8" t="s">
        <v>11178</v>
      </c>
      <c r="DWR1033" s="8" t="s">
        <v>2987</v>
      </c>
      <c r="DYN1033" s="8" t="s">
        <v>2609</v>
      </c>
      <c r="ELL1033" s="8" t="s">
        <v>384</v>
      </c>
      <c r="EPD1033" s="8" t="s">
        <v>1033</v>
      </c>
      <c r="EQZ1033" s="8" t="s">
        <v>1033</v>
      </c>
      <c r="ESV1033" s="8" t="s">
        <v>1033</v>
      </c>
    </row>
    <row r="1034" spans="1:4 1352:2024 2072:3032 3080:4040 4136:4473 7680:7688">
      <c r="A1034" s="8" t="s">
        <v>1303</v>
      </c>
      <c r="B1034" s="10" t="s">
        <v>11179</v>
      </c>
      <c r="C1034" s="8">
        <v>2989.22</v>
      </c>
      <c r="D1034" s="15">
        <v>34.78</v>
      </c>
      <c r="BTH1034" s="8" t="s">
        <v>385</v>
      </c>
      <c r="BUF1034" s="8" t="s">
        <v>385</v>
      </c>
      <c r="BVD1034" s="8" t="s">
        <v>1273</v>
      </c>
      <c r="CAR1034" s="8" t="s">
        <v>2047</v>
      </c>
      <c r="CCN1034" s="8" t="s">
        <v>1619</v>
      </c>
      <c r="CGF1034" s="8" t="s">
        <v>349</v>
      </c>
      <c r="CIB1034" s="8" t="s">
        <v>349</v>
      </c>
      <c r="CJX1034" s="8" t="s">
        <v>349</v>
      </c>
      <c r="CLT1034" s="8" t="s">
        <v>349</v>
      </c>
      <c r="DLP1034" s="8" t="s">
        <v>11179</v>
      </c>
      <c r="EAJ1034" s="8" t="s">
        <v>2988</v>
      </c>
      <c r="ECF1034" s="8" t="s">
        <v>2610</v>
      </c>
      <c r="ENH1034" s="8" t="s">
        <v>385</v>
      </c>
      <c r="ESV1034" s="8" t="s">
        <v>385</v>
      </c>
      <c r="KIJ1034" s="8" t="s">
        <v>385</v>
      </c>
      <c r="KIR1034" s="8" t="s">
        <v>1273</v>
      </c>
    </row>
    <row r="1035" spans="1:4 1352:2024 2072:3032 3080:4040 4136:4473 7680:7688">
      <c r="A1035" s="8" t="s">
        <v>1303</v>
      </c>
      <c r="B1035" s="10" t="s">
        <v>14116</v>
      </c>
      <c r="C1035" s="8">
        <v>3006.09</v>
      </c>
      <c r="D1035" s="15">
        <v>17.91</v>
      </c>
      <c r="CCN1035" s="8" t="s">
        <v>2048</v>
      </c>
      <c r="CEJ1035" s="8" t="s">
        <v>1620</v>
      </c>
      <c r="CIB1035" s="8" t="s">
        <v>1381</v>
      </c>
      <c r="CJX1035" s="8" t="s">
        <v>1381</v>
      </c>
      <c r="CLT1035" s="8" t="s">
        <v>1381</v>
      </c>
      <c r="CNP1035" s="8" t="s">
        <v>1381</v>
      </c>
      <c r="DLP1035" s="8" t="s">
        <v>14116</v>
      </c>
      <c r="EHT1035" s="8" t="s">
        <v>2989</v>
      </c>
      <c r="EJP1035" s="8" t="s">
        <v>2611</v>
      </c>
    </row>
    <row r="1036" spans="1:4 1352:2024 2072:3032 3080:4040 4136:4473 7680:7688">
      <c r="A1036" s="8" t="s">
        <v>1303</v>
      </c>
      <c r="B1036" s="10" t="s">
        <v>14117</v>
      </c>
      <c r="C1036" s="8">
        <v>3036.17</v>
      </c>
      <c r="D1036" s="15">
        <v>35.83</v>
      </c>
      <c r="BAV1036" s="8" t="s">
        <v>334</v>
      </c>
      <c r="BCR1036" s="8" t="s">
        <v>334</v>
      </c>
      <c r="BEN1036" s="8" t="s">
        <v>354</v>
      </c>
      <c r="CCN1036" s="8" t="s">
        <v>2049</v>
      </c>
      <c r="CEJ1036" s="8" t="s">
        <v>1621</v>
      </c>
      <c r="CIB1036" s="8" t="s">
        <v>1382</v>
      </c>
      <c r="CJX1036" s="8" t="s">
        <v>1382</v>
      </c>
      <c r="CLT1036" s="8" t="s">
        <v>1382</v>
      </c>
      <c r="CNP1036" s="8" t="s">
        <v>1382</v>
      </c>
      <c r="DNL1036" s="8" t="s">
        <v>14117</v>
      </c>
    </row>
    <row r="1037" spans="1:4 1352:2024 2072:3032 3080:4040 4136:4473 7680:7688">
      <c r="A1037" s="8" t="s">
        <v>1303</v>
      </c>
      <c r="B1037" s="10" t="s">
        <v>14118</v>
      </c>
      <c r="C1037" s="8">
        <v>3084.17</v>
      </c>
      <c r="D1037" s="15">
        <v>35.83</v>
      </c>
      <c r="BAV1037" s="8" t="s">
        <v>335</v>
      </c>
      <c r="BBH1037" s="8" t="s">
        <v>4997</v>
      </c>
      <c r="BBI1037" s="8" t="s">
        <v>4997</v>
      </c>
      <c r="BCR1037" s="8" t="s">
        <v>335</v>
      </c>
      <c r="BEN1037" s="8" t="s">
        <v>355</v>
      </c>
      <c r="CNS1037" s="8" t="s">
        <v>2050</v>
      </c>
      <c r="CPO1037" s="8" t="s">
        <v>1622</v>
      </c>
      <c r="CTG1037" s="8" t="s">
        <v>350</v>
      </c>
      <c r="CVC1037" s="8" t="s">
        <v>350</v>
      </c>
      <c r="CWY1037" s="8" t="s">
        <v>350</v>
      </c>
      <c r="CYU1037" s="8" t="s">
        <v>350</v>
      </c>
      <c r="DPH1037" s="8" t="s">
        <v>14118</v>
      </c>
    </row>
    <row r="1038" spans="1:4 1352:2024 2072:3032 3080:4040 4136:4473 7680:7688">
      <c r="A1038" s="8" t="s">
        <v>1303</v>
      </c>
      <c r="B1038" s="10" t="s">
        <v>14119</v>
      </c>
      <c r="C1038" s="8">
        <v>3132.17</v>
      </c>
      <c r="D1038" s="15">
        <v>35.83</v>
      </c>
      <c r="BCL1038" s="8" t="s">
        <v>4998</v>
      </c>
      <c r="BCM1038" s="8" t="s">
        <v>4998</v>
      </c>
      <c r="BEN1038" s="8" t="s">
        <v>356</v>
      </c>
      <c r="BIF1038" s="8" t="s">
        <v>336</v>
      </c>
      <c r="BKB1038" s="8" t="s">
        <v>336</v>
      </c>
      <c r="CPL1038" s="8" t="s">
        <v>2051</v>
      </c>
      <c r="CRH1038" s="8" t="s">
        <v>1623</v>
      </c>
      <c r="CUZ1038" s="8" t="s">
        <v>1383</v>
      </c>
      <c r="CWV1038" s="8" t="s">
        <v>1383</v>
      </c>
      <c r="CYR1038" s="8" t="s">
        <v>1383</v>
      </c>
      <c r="DAN1038" s="8" t="s">
        <v>1383</v>
      </c>
      <c r="DRD1038" s="8" t="s">
        <v>14119</v>
      </c>
    </row>
    <row r="1039" spans="1:4 1352:2024 2072:3032 3080:4040 4136:4473 7680:7688">
      <c r="A1039" s="8" t="s">
        <v>1303</v>
      </c>
      <c r="B1039" s="10" t="s">
        <v>14120</v>
      </c>
      <c r="C1039" s="8">
        <v>3260.36</v>
      </c>
      <c r="D1039" s="15">
        <v>35.83</v>
      </c>
      <c r="BDO1039" s="8" t="s">
        <v>4999</v>
      </c>
      <c r="BDP1039" s="8" t="s">
        <v>4999</v>
      </c>
      <c r="BGJ1039" s="8" t="s">
        <v>357</v>
      </c>
      <c r="BWZ1039" s="8" t="s">
        <v>337</v>
      </c>
      <c r="BYV1039" s="8" t="s">
        <v>337</v>
      </c>
      <c r="CVC1039" s="8" t="s">
        <v>2052</v>
      </c>
      <c r="CWY1039" s="8" t="s">
        <v>1624</v>
      </c>
      <c r="DAQ1039" s="8" t="s">
        <v>351</v>
      </c>
      <c r="DCM1039" s="8" t="s">
        <v>351</v>
      </c>
      <c r="DEI1039" s="8" t="s">
        <v>351</v>
      </c>
      <c r="DGE1039" s="8" t="s">
        <v>351</v>
      </c>
      <c r="DWB1039" s="8" t="s">
        <v>14120</v>
      </c>
    </row>
    <row r="1040" spans="1:4 1352:2024 2072:3032 3080:4040 4136:4473 7680:7688">
      <c r="A1040" s="8" t="s">
        <v>1303</v>
      </c>
      <c r="B1040" s="10" t="s">
        <v>11180</v>
      </c>
      <c r="C1040" s="8">
        <v>3297.18</v>
      </c>
      <c r="D1040" s="15">
        <v>17.39</v>
      </c>
      <c r="BES1040" s="8" t="s">
        <v>5000</v>
      </c>
      <c r="BET1040" s="8" t="s">
        <v>5000</v>
      </c>
      <c r="BIF1040" s="8" t="s">
        <v>358</v>
      </c>
      <c r="CIB1040" s="8" t="s">
        <v>338</v>
      </c>
      <c r="CJX1040" s="8" t="s">
        <v>338</v>
      </c>
      <c r="CWV1040" s="8" t="s">
        <v>2053</v>
      </c>
      <c r="CYR1040" s="8" t="s">
        <v>1625</v>
      </c>
      <c r="DCJ1040" s="8" t="s">
        <v>1384</v>
      </c>
      <c r="DEF1040" s="8" t="s">
        <v>1384</v>
      </c>
      <c r="DGB1040" s="8" t="s">
        <v>1384</v>
      </c>
      <c r="DHX1040" s="8" t="s">
        <v>1384</v>
      </c>
      <c r="DWU1040" s="8" t="s">
        <v>11180</v>
      </c>
    </row>
    <row r="1041" spans="1:8 1352:2037 2066:3035 3080:4091 4139:4235">
      <c r="A1041" s="8" t="s">
        <v>1303</v>
      </c>
      <c r="B1041" s="10" t="s">
        <v>11181</v>
      </c>
      <c r="C1041" s="8">
        <v>3325.22</v>
      </c>
      <c r="D1041" s="15">
        <v>34.78</v>
      </c>
      <c r="BGJ1041" s="8" t="s">
        <v>5001</v>
      </c>
      <c r="BGK1041" s="8" t="s">
        <v>5001</v>
      </c>
      <c r="BKB1041" s="8" t="s">
        <v>359</v>
      </c>
      <c r="CTX1041" s="8" t="s">
        <v>331</v>
      </c>
      <c r="CVT1041" s="8" t="s">
        <v>331</v>
      </c>
      <c r="DAN1041" s="8" t="s">
        <v>2054</v>
      </c>
      <c r="DCJ1041" s="8" t="s">
        <v>1626</v>
      </c>
      <c r="DGB1041" s="8" t="s">
        <v>352</v>
      </c>
      <c r="DHX1041" s="8" t="s">
        <v>352</v>
      </c>
      <c r="DJT1041" s="8" t="s">
        <v>352</v>
      </c>
      <c r="DLP1041" s="8" t="s">
        <v>352</v>
      </c>
      <c r="DYN1041" s="8" t="s">
        <v>11181</v>
      </c>
    </row>
    <row r="1042" spans="1:8 1352:2037 2066:3035 3080:4091 4139:4235">
      <c r="A1042" s="8" t="s">
        <v>1303</v>
      </c>
      <c r="B1042" s="10" t="s">
        <v>11182</v>
      </c>
      <c r="C1042" s="8">
        <v>3390.61</v>
      </c>
      <c r="D1042" s="15">
        <v>17.39</v>
      </c>
      <c r="BKE1042" s="8" t="s">
        <v>5002</v>
      </c>
      <c r="BKF1042" s="8" t="s">
        <v>5002</v>
      </c>
      <c r="BLQ1042" s="8" t="s">
        <v>360</v>
      </c>
      <c r="DCJ1042" s="8" t="s">
        <v>2055</v>
      </c>
      <c r="DEF1042" s="8" t="s">
        <v>1627</v>
      </c>
      <c r="DEO1042" s="8" t="s">
        <v>339</v>
      </c>
      <c r="DGK1042" s="8" t="s">
        <v>339</v>
      </c>
      <c r="DHX1042" s="8" t="s">
        <v>1385</v>
      </c>
      <c r="DJT1042" s="8" t="s">
        <v>1385</v>
      </c>
      <c r="DLP1042" s="8" t="s">
        <v>1385</v>
      </c>
      <c r="DNL1042" s="8" t="s">
        <v>1385</v>
      </c>
      <c r="EAJ1042" s="8" t="s">
        <v>11182</v>
      </c>
    </row>
    <row r="1043" spans="1:8 1352:2037 2066:3035 3080:4091 4139:4235">
      <c r="A1043" s="8" t="s">
        <v>1303</v>
      </c>
      <c r="B1043" s="10" t="s">
        <v>14121</v>
      </c>
      <c r="C1043" s="8">
        <v>3420.17</v>
      </c>
      <c r="D1043" s="15">
        <v>35.83</v>
      </c>
      <c r="BND1043" s="8" t="s">
        <v>361</v>
      </c>
      <c r="BWU1043" s="8" t="s">
        <v>5003</v>
      </c>
      <c r="BWV1043" s="8" t="s">
        <v>5003</v>
      </c>
      <c r="DJW1043" s="8" t="s">
        <v>2056</v>
      </c>
      <c r="DLS1043" s="8" t="s">
        <v>1628</v>
      </c>
      <c r="DPK1043" s="8" t="s">
        <v>353</v>
      </c>
      <c r="DRG1043" s="8" t="s">
        <v>353</v>
      </c>
      <c r="DTC1043" s="8" t="s">
        <v>353</v>
      </c>
      <c r="DUY1043" s="8" t="s">
        <v>353</v>
      </c>
      <c r="ECF1043" s="8" t="s">
        <v>14121</v>
      </c>
    </row>
    <row r="1044" spans="1:8 1352:2037 2066:3035 3080:4091 4139:4235">
      <c r="A1044" s="8" t="s">
        <v>1303</v>
      </c>
      <c r="B1044" s="10" t="s">
        <v>14122</v>
      </c>
      <c r="C1044" s="8">
        <v>3587.56</v>
      </c>
      <c r="D1044" s="15">
        <v>35.83</v>
      </c>
      <c r="BOK1044" s="8" t="s">
        <v>362</v>
      </c>
      <c r="BYD1044" s="8" t="s">
        <v>5004</v>
      </c>
      <c r="BYE1044" s="8" t="s">
        <v>5004</v>
      </c>
      <c r="DPH1044" s="8" t="s">
        <v>2057</v>
      </c>
      <c r="DRD1044" s="8" t="s">
        <v>1629</v>
      </c>
      <c r="DUV1044" s="8" t="s">
        <v>1386</v>
      </c>
      <c r="DWR1044" s="8" t="s">
        <v>1386</v>
      </c>
      <c r="DYN1044" s="8" t="s">
        <v>1386</v>
      </c>
      <c r="EAJ1044" s="8" t="s">
        <v>1386</v>
      </c>
      <c r="EIQ1044" s="8" t="s">
        <v>14122</v>
      </c>
    </row>
    <row r="1045" spans="1:8 1352:2037 2066:3035 3080:4091 4139:4235">
      <c r="A1045" s="8" t="s">
        <v>1303</v>
      </c>
      <c r="B1045" s="10" t="s">
        <v>14123</v>
      </c>
      <c r="C1045" s="8">
        <v>3624.39</v>
      </c>
      <c r="D1045" s="15">
        <v>35.83</v>
      </c>
      <c r="BPP1045" s="8" t="s">
        <v>363</v>
      </c>
      <c r="BZH1045" s="8" t="s">
        <v>5005</v>
      </c>
      <c r="BZI1045" s="8" t="s">
        <v>5005</v>
      </c>
      <c r="DWR1045" s="8" t="s">
        <v>2058</v>
      </c>
      <c r="DYN1045" s="8" t="s">
        <v>1630</v>
      </c>
      <c r="ECF1045" s="8" t="s">
        <v>1387</v>
      </c>
      <c r="EEB1045" s="8" t="s">
        <v>1387</v>
      </c>
      <c r="EFX1045" s="8" t="s">
        <v>1387</v>
      </c>
      <c r="EHT1045" s="8" t="s">
        <v>1387</v>
      </c>
      <c r="EKB1045" s="8" t="s">
        <v>14123</v>
      </c>
    </row>
    <row r="1046" spans="1:8 1352:2037 2066:3035 3080:4091 4139:4235">
      <c r="A1046" s="8" t="s">
        <v>1303</v>
      </c>
      <c r="B1046" s="10" t="s">
        <v>11183</v>
      </c>
      <c r="C1046" s="8">
        <v>3661.22</v>
      </c>
      <c r="D1046" s="15">
        <v>34.78</v>
      </c>
      <c r="BQR1046" s="8" t="s">
        <v>364</v>
      </c>
      <c r="CAL1046" s="8" t="s">
        <v>5006</v>
      </c>
      <c r="CAM1046" s="8" t="s">
        <v>5006</v>
      </c>
      <c r="ECF1046" s="8" t="s">
        <v>2059</v>
      </c>
      <c r="EEB1046" s="8" t="s">
        <v>1631</v>
      </c>
      <c r="EHT1046" s="8" t="s">
        <v>1388</v>
      </c>
      <c r="EJP1046" s="8" t="s">
        <v>1388</v>
      </c>
      <c r="ELL1046" s="8" t="s">
        <v>11183</v>
      </c>
      <c r="ENH1046" s="8" t="s">
        <v>1388</v>
      </c>
    </row>
    <row r="1047" spans="1:8 1352:2037 2066:3035 3080:4091 4139:4235">
      <c r="A1047" s="8" t="s">
        <v>1303</v>
      </c>
      <c r="B1047" s="10" t="s">
        <v>11184</v>
      </c>
      <c r="C1047" s="8">
        <v>3661.22</v>
      </c>
      <c r="D1047" s="15">
        <v>34.78</v>
      </c>
      <c r="BRL1047" s="8" t="s">
        <v>365</v>
      </c>
      <c r="CBO1047" s="8" t="s">
        <v>5007</v>
      </c>
      <c r="CBP1047" s="8" t="s">
        <v>5007</v>
      </c>
      <c r="EJP1047" s="8" t="s">
        <v>2060</v>
      </c>
      <c r="ELL1047" s="8" t="s">
        <v>11184</v>
      </c>
      <c r="EPD1047" s="8" t="s">
        <v>1389</v>
      </c>
      <c r="EQZ1047" s="8" t="s">
        <v>1389</v>
      </c>
      <c r="ESV1047" s="8" t="s">
        <v>1389</v>
      </c>
      <c r="EUR1047" s="8" t="s">
        <v>1389</v>
      </c>
    </row>
    <row r="1048" spans="1:8 1352:2037 2066:3035 3080:4091 4139:4235">
      <c r="A1048" s="8" t="s">
        <v>1303</v>
      </c>
      <c r="B1048" s="10" t="s">
        <v>14124</v>
      </c>
      <c r="C1048" s="8">
        <v>3719.35</v>
      </c>
      <c r="D1048" s="15">
        <v>35.83</v>
      </c>
      <c r="BCR1048" s="8" t="s">
        <v>5648</v>
      </c>
      <c r="BCS1048" s="8" t="s">
        <v>5648</v>
      </c>
      <c r="BEM1048" s="8" t="s">
        <v>4985</v>
      </c>
      <c r="BEN1048" s="8" t="s">
        <v>4985</v>
      </c>
      <c r="BEO1048" s="8" t="s">
        <v>4985</v>
      </c>
      <c r="BVJ1048" s="8" t="s">
        <v>366</v>
      </c>
      <c r="CCS1048" s="8" t="s">
        <v>5008</v>
      </c>
      <c r="CCT1048" s="8" t="s">
        <v>5008</v>
      </c>
      <c r="ENS1048" s="8" t="s">
        <v>14124</v>
      </c>
      <c r="EUU1048" s="8" t="s">
        <v>2061</v>
      </c>
      <c r="EWQ1048" s="8" t="s">
        <v>1632</v>
      </c>
      <c r="FAI1048" s="8" t="s">
        <v>1331</v>
      </c>
      <c r="FCE1048" s="8" t="s">
        <v>1331</v>
      </c>
      <c r="FEA1048" s="8" t="s">
        <v>1331</v>
      </c>
      <c r="FFW1048" s="8" t="s">
        <v>1331</v>
      </c>
    </row>
    <row r="1049" spans="1:8 1352:2037 2066:3035 3080:4091 4139:4235">
      <c r="A1049" s="8" t="s">
        <v>1303</v>
      </c>
      <c r="B1049" s="10" t="s">
        <v>14125</v>
      </c>
      <c r="C1049" s="8">
        <v>3756.17</v>
      </c>
      <c r="D1049" s="15">
        <v>35.83</v>
      </c>
      <c r="BNT1049" s="8" t="s">
        <v>5649</v>
      </c>
      <c r="BNU1049" s="8" t="s">
        <v>5649</v>
      </c>
      <c r="BPO1049" s="8" t="s">
        <v>4986</v>
      </c>
      <c r="BPP1049" s="8" t="s">
        <v>4986</v>
      </c>
      <c r="BPQ1049" s="8" t="s">
        <v>4986</v>
      </c>
      <c r="BWX1049" s="8" t="s">
        <v>367</v>
      </c>
      <c r="CEJ1049" s="8" t="s">
        <v>5009</v>
      </c>
      <c r="CEK1049" s="8" t="s">
        <v>5009</v>
      </c>
      <c r="EPD1049" s="8" t="s">
        <v>14125</v>
      </c>
    </row>
    <row r="1050" spans="1:8 1352:2037 2066:3035 3080:4091 4139:4235">
      <c r="A1050" s="8" t="s">
        <v>1303</v>
      </c>
      <c r="B1050" s="10" t="s">
        <v>11185</v>
      </c>
      <c r="C1050" s="8">
        <v>3997.22</v>
      </c>
      <c r="D1050" s="15">
        <v>34.78</v>
      </c>
      <c r="BSW1050" s="8" t="s">
        <v>5650</v>
      </c>
      <c r="BUR1050" s="8" t="s">
        <v>4987</v>
      </c>
      <c r="BUS1050" s="8" t="s">
        <v>4987</v>
      </c>
      <c r="BUT1050" s="8" t="s">
        <v>4987</v>
      </c>
      <c r="CEJ1050" s="8" t="s">
        <v>368</v>
      </c>
      <c r="CGF1050" s="8" t="s">
        <v>5010</v>
      </c>
      <c r="CGG1050" s="8" t="s">
        <v>5010</v>
      </c>
      <c r="EYJ1050" s="8" t="s">
        <v>11185</v>
      </c>
    </row>
    <row r="1051" spans="1:8 1352:2037 2066:3035 3080:4091 4139:4235">
      <c r="A1051" s="8" t="s">
        <v>9928</v>
      </c>
      <c r="B1051" s="10" t="s">
        <v>11186</v>
      </c>
      <c r="C1051" s="8">
        <v>-335</v>
      </c>
      <c r="D1051" s="15">
        <v>6.5</v>
      </c>
      <c r="H1051" s="8" t="s">
        <v>11186</v>
      </c>
      <c r="BTN1051" s="8" t="s">
        <v>5651</v>
      </c>
      <c r="BTO1051" s="8" t="s">
        <v>5651</v>
      </c>
      <c r="BVI1051" s="8" t="s">
        <v>4988</v>
      </c>
      <c r="BVJ1051" s="8" t="s">
        <v>4988</v>
      </c>
      <c r="BVK1051" s="8" t="s">
        <v>4988</v>
      </c>
      <c r="CEJ1051" s="8" t="s">
        <v>369</v>
      </c>
      <c r="CGR1051" s="8" t="s">
        <v>5011</v>
      </c>
      <c r="CGS1051" s="8" t="s">
        <v>5011</v>
      </c>
    </row>
    <row r="1052" spans="1:8 1352:2037 2066:3035 3080:4091 4139:4235">
      <c r="A1052" s="8" t="s">
        <v>9928</v>
      </c>
      <c r="B1052" s="10" t="s">
        <v>11187</v>
      </c>
      <c r="C1052" s="8">
        <v>-280.13</v>
      </c>
      <c r="D1052" s="15">
        <v>6.5</v>
      </c>
      <c r="H1052" s="8" t="s">
        <v>11187</v>
      </c>
      <c r="CHJ1052" s="8" t="s">
        <v>370</v>
      </c>
      <c r="CIB1052" s="8" t="s">
        <v>5012</v>
      </c>
      <c r="CIC1052" s="8" t="s">
        <v>5012</v>
      </c>
      <c r="CTD1052" s="8" t="s">
        <v>5652</v>
      </c>
      <c r="CTE1052" s="8" t="s">
        <v>5652</v>
      </c>
      <c r="CUY1052" s="8" t="s">
        <v>4989</v>
      </c>
      <c r="CUZ1052" s="8" t="s">
        <v>4989</v>
      </c>
      <c r="CVA1052" s="8" t="s">
        <v>4989</v>
      </c>
    </row>
    <row r="1053" spans="1:8 1352:2037 2066:3035 3080:4091 4139:4235">
      <c r="A1053" s="8" t="s">
        <v>9928</v>
      </c>
      <c r="B1053" s="10" t="s">
        <v>11188</v>
      </c>
      <c r="C1053" s="8">
        <v>-272.63</v>
      </c>
      <c r="D1053" s="15">
        <v>9.75</v>
      </c>
      <c r="H1053" s="8" t="s">
        <v>11188</v>
      </c>
      <c r="CGJ1053" s="8" t="s">
        <v>371</v>
      </c>
      <c r="CJX1053" s="8" t="s">
        <v>5013</v>
      </c>
      <c r="CJY1053" s="8" t="s">
        <v>5013</v>
      </c>
      <c r="EEB1053" s="8" t="s">
        <v>5653</v>
      </c>
      <c r="EFW1053" s="8" t="s">
        <v>4990</v>
      </c>
      <c r="EFX1053" s="8" t="s">
        <v>4990</v>
      </c>
      <c r="EFY1053" s="8" t="s">
        <v>4990</v>
      </c>
    </row>
    <row r="1054" spans="1:8 1352:2037 2066:3035 3080:4091 4139:4235">
      <c r="A1054" s="8" t="s">
        <v>9928</v>
      </c>
      <c r="B1054" s="10" t="s">
        <v>11189</v>
      </c>
      <c r="C1054" s="8">
        <v>-261.87</v>
      </c>
      <c r="D1054" s="15">
        <v>19.5</v>
      </c>
      <c r="H1054" s="8" t="s">
        <v>11189</v>
      </c>
      <c r="CGS1054" s="8" t="s">
        <v>372</v>
      </c>
      <c r="CTU1054" s="8" t="s">
        <v>5014</v>
      </c>
      <c r="CTV1054" s="8" t="s">
        <v>5014</v>
      </c>
      <c r="EHT1054" s="8" t="s">
        <v>5654</v>
      </c>
      <c r="EHU1054" s="8" t="s">
        <v>5654</v>
      </c>
      <c r="EJO1054" s="8" t="s">
        <v>4991</v>
      </c>
      <c r="EJP1054" s="8" t="s">
        <v>4991</v>
      </c>
      <c r="EJQ1054" s="8" t="s">
        <v>4991</v>
      </c>
    </row>
    <row r="1055" spans="1:8 1352:2037 2066:3035 3080:4091 4139:4235">
      <c r="A1055" s="8" t="s">
        <v>9928</v>
      </c>
      <c r="B1055" s="10" t="s">
        <v>11190</v>
      </c>
      <c r="C1055" s="8">
        <v>-233.88</v>
      </c>
      <c r="D1055" s="15">
        <v>6.5</v>
      </c>
      <c r="H1055" s="8" t="s">
        <v>11190</v>
      </c>
      <c r="AYZ1055" s="8" t="s">
        <v>4963</v>
      </c>
      <c r="AZA1055" s="8" t="s">
        <v>4963</v>
      </c>
      <c r="CWV1055" s="8" t="s">
        <v>5015</v>
      </c>
      <c r="CWW1055" s="8" t="s">
        <v>5015</v>
      </c>
      <c r="DCJ1055" s="8" t="s">
        <v>373</v>
      </c>
      <c r="ENH1055" s="8" t="s">
        <v>5655</v>
      </c>
      <c r="ENI1055" s="8" t="s">
        <v>5655</v>
      </c>
      <c r="EPC1055" s="8" t="s">
        <v>4992</v>
      </c>
      <c r="EPD1055" s="8" t="s">
        <v>4992</v>
      </c>
      <c r="EPE1055" s="8" t="s">
        <v>4992</v>
      </c>
    </row>
    <row r="1056" spans="1:8 1352:2037 2066:3035 3080:4091 4139:4235">
      <c r="A1056" s="8" t="s">
        <v>9928</v>
      </c>
      <c r="B1056" s="10" t="s">
        <v>11191</v>
      </c>
      <c r="C1056" s="8">
        <v>-226.38</v>
      </c>
      <c r="D1056" s="15">
        <v>6.5</v>
      </c>
      <c r="H1056" s="8" t="s">
        <v>11191</v>
      </c>
      <c r="AYZ1056" s="8" t="s">
        <v>4964</v>
      </c>
      <c r="AZA1056" s="8" t="s">
        <v>4964</v>
      </c>
      <c r="AZN1056" s="8" t="s">
        <v>2612</v>
      </c>
      <c r="BAA1056" s="8" t="s">
        <v>388</v>
      </c>
      <c r="CYR1056" s="8" t="s">
        <v>5016</v>
      </c>
      <c r="CYS1056" s="8" t="s">
        <v>5016</v>
      </c>
      <c r="DEF1056" s="8" t="s">
        <v>374</v>
      </c>
    </row>
    <row r="1057" spans="1:385 1355:2025 2072:3047 3080:4089 4136:4280">
      <c r="A1057" s="8" t="s">
        <v>9928</v>
      </c>
      <c r="B1057" s="10" t="s">
        <v>11192</v>
      </c>
      <c r="C1057" s="8">
        <v>-218.88</v>
      </c>
      <c r="D1057" s="15">
        <v>6.5</v>
      </c>
      <c r="H1057" s="8" t="s">
        <v>11192</v>
      </c>
      <c r="BAU1057" s="8" t="s">
        <v>389</v>
      </c>
      <c r="BJQ1057" s="8" t="s">
        <v>4965</v>
      </c>
      <c r="BLM1057" s="8" t="s">
        <v>4965</v>
      </c>
      <c r="BLN1057" s="8" t="s">
        <v>4965</v>
      </c>
      <c r="BNT1057" s="8" t="s">
        <v>2881</v>
      </c>
      <c r="BPP1057" s="8" t="s">
        <v>2613</v>
      </c>
      <c r="DFW1057" s="8" t="s">
        <v>5017</v>
      </c>
      <c r="DFX1057" s="8" t="s">
        <v>5017</v>
      </c>
      <c r="DJT1057" s="8" t="s">
        <v>375</v>
      </c>
    </row>
    <row r="1058" spans="1:385 1355:2025 2072:3047 3080:4089 4136:4280">
      <c r="A1058" s="8" t="s">
        <v>9928</v>
      </c>
      <c r="B1058" s="10" t="s">
        <v>11193</v>
      </c>
      <c r="C1058" s="8">
        <v>-211.38</v>
      </c>
      <c r="D1058" s="15">
        <v>6.5</v>
      </c>
      <c r="H1058" s="8" t="s">
        <v>11193</v>
      </c>
      <c r="BCH1058" s="8" t="s">
        <v>390</v>
      </c>
      <c r="BKB1058" s="8" t="s">
        <v>4966</v>
      </c>
      <c r="BLX1058" s="8" t="s">
        <v>4966</v>
      </c>
      <c r="BLY1058" s="8" t="s">
        <v>4966</v>
      </c>
      <c r="CIQ1058" s="8" t="s">
        <v>2882</v>
      </c>
      <c r="CKM1058" s="8" t="s">
        <v>2614</v>
      </c>
      <c r="DLP1058" s="8" t="s">
        <v>376</v>
      </c>
      <c r="DLS1058" s="8" t="s">
        <v>5018</v>
      </c>
      <c r="DLT1058" s="8" t="s">
        <v>5018</v>
      </c>
    </row>
    <row r="1059" spans="1:385 1355:2025 2072:3047 3080:4089 4136:4280">
      <c r="A1059" s="8" t="s">
        <v>9928</v>
      </c>
      <c r="B1059" s="10" t="s">
        <v>11194</v>
      </c>
      <c r="C1059" s="8">
        <v>-39.5</v>
      </c>
      <c r="D1059" s="15">
        <v>3.01</v>
      </c>
      <c r="H1059" s="8" t="s">
        <v>11194</v>
      </c>
      <c r="BCX1059" s="8" t="s">
        <v>391</v>
      </c>
      <c r="BVD1059" s="8" t="s">
        <v>4967</v>
      </c>
      <c r="BWZ1059" s="8" t="s">
        <v>4967</v>
      </c>
      <c r="BXA1059" s="8" t="s">
        <v>4967</v>
      </c>
      <c r="CTD1059" s="8" t="s">
        <v>2883</v>
      </c>
      <c r="CUZ1059" s="8" t="s">
        <v>2615</v>
      </c>
      <c r="DUV1059" s="8" t="s">
        <v>377</v>
      </c>
      <c r="EEN1059" s="8" t="s">
        <v>5019</v>
      </c>
      <c r="EEO1059" s="8" t="s">
        <v>5019</v>
      </c>
    </row>
    <row r="1060" spans="1:385 1355:2025 2072:3047 3080:4089 4136:4280">
      <c r="A1060" s="8" t="s">
        <v>9928</v>
      </c>
      <c r="B1060" s="10" t="s">
        <v>11195</v>
      </c>
      <c r="C1060" s="8">
        <v>5.01</v>
      </c>
      <c r="D1060" s="15">
        <v>19.420000000000002</v>
      </c>
      <c r="AF1060" s="8" t="s">
        <v>11195</v>
      </c>
      <c r="BDG1060" s="8" t="s">
        <v>392</v>
      </c>
      <c r="BWZ1060" s="8" t="s">
        <v>4968</v>
      </c>
      <c r="BXA1060" s="8" t="s">
        <v>4968</v>
      </c>
      <c r="BYV1060" s="8" t="s">
        <v>4968</v>
      </c>
      <c r="BYW1060" s="8" t="s">
        <v>4968</v>
      </c>
      <c r="DKI1060" s="8" t="s">
        <v>2884</v>
      </c>
      <c r="DME1060" s="8" t="s">
        <v>2616</v>
      </c>
      <c r="DWX1060" s="8" t="s">
        <v>378</v>
      </c>
      <c r="EFR1060" s="8" t="s">
        <v>5020</v>
      </c>
      <c r="EFS1060" s="8" t="s">
        <v>5020</v>
      </c>
    </row>
    <row r="1061" spans="1:385 1355:2025 2072:3047 3080:4089 4136:4280">
      <c r="A1061" s="8" t="s">
        <v>9928</v>
      </c>
      <c r="B1061" s="10" t="s">
        <v>11196</v>
      </c>
      <c r="C1061" s="8">
        <v>208.5</v>
      </c>
      <c r="D1061" s="15">
        <v>1.63</v>
      </c>
      <c r="HJ1061" s="8" t="s">
        <v>11196</v>
      </c>
      <c r="BEN1061" s="8" t="s">
        <v>393</v>
      </c>
      <c r="BYV1061" s="8" t="s">
        <v>4969</v>
      </c>
      <c r="BYW1061" s="8" t="s">
        <v>4969</v>
      </c>
      <c r="CAR1061" s="8" t="s">
        <v>4969</v>
      </c>
      <c r="CAS1061" s="8" t="s">
        <v>4969</v>
      </c>
      <c r="EFX1061" s="8" t="s">
        <v>5021</v>
      </c>
      <c r="EFY1061" s="8" t="s">
        <v>5021</v>
      </c>
      <c r="EJT1061" s="8" t="s">
        <v>2885</v>
      </c>
      <c r="EJV1061" s="8" t="s">
        <v>379</v>
      </c>
      <c r="ELP1061" s="8" t="s">
        <v>2617</v>
      </c>
    </row>
    <row r="1062" spans="1:385 1355:2025 2072:3047 3080:4089 4136:4280">
      <c r="A1062" s="8" t="s">
        <v>9928</v>
      </c>
      <c r="B1062" s="10" t="s">
        <v>11227</v>
      </c>
      <c r="C1062" s="8">
        <v>211.46</v>
      </c>
      <c r="D1062" s="15">
        <v>9.75</v>
      </c>
      <c r="HU1062" s="8" t="s">
        <v>11227</v>
      </c>
      <c r="BEN1062" s="8" t="s">
        <v>394</v>
      </c>
      <c r="CCN1062" s="8" t="s">
        <v>4970</v>
      </c>
      <c r="CCO1062" s="8" t="s">
        <v>4970</v>
      </c>
      <c r="CEJ1062" s="8" t="s">
        <v>4970</v>
      </c>
      <c r="CEK1062" s="8" t="s">
        <v>4970</v>
      </c>
      <c r="EHT1062" s="8" t="s">
        <v>5022</v>
      </c>
      <c r="EHU1062" s="8" t="s">
        <v>5022</v>
      </c>
      <c r="EKE1062" s="8" t="s">
        <v>2886</v>
      </c>
      <c r="ELL1062" s="8" t="s">
        <v>380</v>
      </c>
      <c r="EMA1062" s="8" t="s">
        <v>2618</v>
      </c>
    </row>
    <row r="1063" spans="1:385 1355:2025 2072:3047 3080:4089 4136:4280">
      <c r="A1063" s="8" t="s">
        <v>9928</v>
      </c>
      <c r="B1063" s="10" t="s">
        <v>11197</v>
      </c>
      <c r="C1063" s="8">
        <v>222.54</v>
      </c>
      <c r="D1063" s="15">
        <v>3.25</v>
      </c>
      <c r="HZ1063" s="8" t="s">
        <v>11197</v>
      </c>
      <c r="BFO1063" s="8" t="s">
        <v>395</v>
      </c>
      <c r="CEJ1063" s="8" t="s">
        <v>4971</v>
      </c>
      <c r="CEK1063" s="8" t="s">
        <v>4971</v>
      </c>
      <c r="CGF1063" s="8" t="s">
        <v>4971</v>
      </c>
      <c r="CGG1063" s="8" t="s">
        <v>4971</v>
      </c>
      <c r="EJP1063" s="8" t="s">
        <v>5023</v>
      </c>
      <c r="EJQ1063" s="8" t="s">
        <v>5023</v>
      </c>
      <c r="ENH1063" s="8" t="s">
        <v>381</v>
      </c>
      <c r="EXC1063" s="8" t="s">
        <v>2887</v>
      </c>
      <c r="EYY1063" s="8" t="s">
        <v>2619</v>
      </c>
    </row>
    <row r="1064" spans="1:385 1355:2025 2072:3047 3080:4089 4136:4280">
      <c r="A1064" s="8" t="s">
        <v>9928</v>
      </c>
      <c r="B1064" s="10" t="s">
        <v>11198</v>
      </c>
      <c r="C1064" s="8">
        <v>227.13</v>
      </c>
      <c r="D1064" s="15">
        <v>2.2799999999999998</v>
      </c>
      <c r="IC1064" s="8" t="s">
        <v>11198</v>
      </c>
      <c r="BGJ1064" s="8" t="s">
        <v>396</v>
      </c>
      <c r="CNP1064" s="8" t="s">
        <v>4972</v>
      </c>
      <c r="CPL1064" s="8" t="s">
        <v>4972</v>
      </c>
      <c r="CPM1064" s="8" t="s">
        <v>4972</v>
      </c>
      <c r="ELL1064" s="8" t="s">
        <v>5024</v>
      </c>
      <c r="ELM1064" s="8" t="s">
        <v>5024</v>
      </c>
      <c r="EPD1064" s="8" t="s">
        <v>382</v>
      </c>
      <c r="FFT1064" s="8" t="s">
        <v>2888</v>
      </c>
      <c r="FHP1064" s="8" t="s">
        <v>2620</v>
      </c>
    </row>
    <row r="1065" spans="1:385 1355:2025 2072:3047 3080:4089 4136:4280">
      <c r="A1065" s="8" t="s">
        <v>9928</v>
      </c>
      <c r="B1065" s="10" t="s">
        <v>11199</v>
      </c>
      <c r="C1065" s="8">
        <v>242</v>
      </c>
      <c r="D1065" s="15">
        <v>16.25</v>
      </c>
      <c r="JF1065" s="8" t="s">
        <v>11199</v>
      </c>
      <c r="BPV1065" s="8" t="s">
        <v>397</v>
      </c>
      <c r="CPR1065" s="8" t="s">
        <v>4973</v>
      </c>
      <c r="CPS1065" s="8" t="s">
        <v>4973</v>
      </c>
      <c r="CRN1065" s="8" t="s">
        <v>4973</v>
      </c>
      <c r="CRO1065" s="8" t="s">
        <v>4973</v>
      </c>
      <c r="ENH1065" s="8" t="s">
        <v>5025</v>
      </c>
      <c r="ENI1065" s="8" t="s">
        <v>5025</v>
      </c>
      <c r="EQZ1065" s="8" t="s">
        <v>383</v>
      </c>
    </row>
    <row r="1066" spans="1:385 1355:2025 2072:3047 3080:4089 4136:4280">
      <c r="A1066" s="8" t="s">
        <v>9928</v>
      </c>
      <c r="B1066" s="10" t="s">
        <v>11200</v>
      </c>
      <c r="C1066" s="8">
        <v>261.88</v>
      </c>
      <c r="D1066" s="15">
        <v>0.62</v>
      </c>
      <c r="JJ1066" s="8" t="s">
        <v>11200</v>
      </c>
      <c r="BRL1066" s="8" t="s">
        <v>398</v>
      </c>
      <c r="DCP1066" s="8" t="s">
        <v>4974</v>
      </c>
      <c r="DCQ1066" s="8" t="s">
        <v>4974</v>
      </c>
      <c r="DEL1066" s="8" t="s">
        <v>4974</v>
      </c>
      <c r="DEM1066" s="8" t="s">
        <v>4974</v>
      </c>
      <c r="EPD1066" s="8" t="s">
        <v>5026</v>
      </c>
      <c r="EPE1066" s="8" t="s">
        <v>5026</v>
      </c>
      <c r="ESV1066" s="8" t="s">
        <v>384</v>
      </c>
    </row>
    <row r="1067" spans="1:385 1355:2025 2072:3047 3080:4089 4136:4280">
      <c r="A1067" s="8" t="s">
        <v>9928</v>
      </c>
      <c r="B1067" s="10" t="s">
        <v>11201</v>
      </c>
      <c r="C1067" s="8">
        <v>289</v>
      </c>
      <c r="D1067" s="15">
        <v>2.52</v>
      </c>
      <c r="KN1067" s="8" t="s">
        <v>11201</v>
      </c>
      <c r="BRL1067" s="8" t="s">
        <v>399</v>
      </c>
      <c r="DEF1067" s="8" t="s">
        <v>4975</v>
      </c>
      <c r="DEG1067" s="8" t="s">
        <v>4975</v>
      </c>
      <c r="DGB1067" s="8" t="s">
        <v>4975</v>
      </c>
      <c r="DGC1067" s="8" t="s">
        <v>4975</v>
      </c>
      <c r="EUR1067" s="8" t="s">
        <v>5027</v>
      </c>
      <c r="EUS1067" s="8" t="s">
        <v>5027</v>
      </c>
    </row>
    <row r="1068" spans="1:385 1355:2025 2072:3047 3080:4089 4136:4280">
      <c r="A1068" s="8" t="s">
        <v>9928</v>
      </c>
      <c r="B1068" s="10" t="s">
        <v>14126</v>
      </c>
      <c r="C1068" s="8">
        <v>289</v>
      </c>
      <c r="D1068" s="15">
        <v>32.5</v>
      </c>
      <c r="LR1068" s="8" t="s">
        <v>14126</v>
      </c>
      <c r="BRT1068" s="8" t="s">
        <v>400</v>
      </c>
      <c r="DGB1068" s="8" t="s">
        <v>4976</v>
      </c>
      <c r="DGC1068" s="8" t="s">
        <v>4976</v>
      </c>
      <c r="DHX1068" s="8" t="s">
        <v>4976</v>
      </c>
      <c r="DHY1068" s="8" t="s">
        <v>4976</v>
      </c>
      <c r="EWN1068" s="8" t="s">
        <v>5028</v>
      </c>
      <c r="EWO1068" s="8" t="s">
        <v>5028</v>
      </c>
    </row>
    <row r="1069" spans="1:385 1355:2025 2072:3047 3080:4089 4136:4280">
      <c r="A1069" s="8" t="s">
        <v>9928</v>
      </c>
      <c r="B1069" s="10" t="s">
        <v>14127</v>
      </c>
      <c r="C1069" s="8">
        <v>327.25</v>
      </c>
      <c r="D1069" s="15">
        <v>9.75</v>
      </c>
      <c r="MG1069" s="8" t="s">
        <v>14127</v>
      </c>
      <c r="BTH1069" s="8" t="s">
        <v>401</v>
      </c>
      <c r="DHX1069" s="8" t="s">
        <v>4977</v>
      </c>
      <c r="DHY1069" s="8" t="s">
        <v>4977</v>
      </c>
      <c r="DJT1069" s="8" t="s">
        <v>4977</v>
      </c>
      <c r="DJU1069" s="8" t="s">
        <v>4977</v>
      </c>
      <c r="EYJ1069" s="8" t="s">
        <v>5029</v>
      </c>
      <c r="EYK1069" s="8" t="s">
        <v>5029</v>
      </c>
    </row>
    <row r="1070" spans="1:385 1355:2025 2072:3047 3080:4089 4136:4280">
      <c r="A1070" s="8" t="s">
        <v>9928</v>
      </c>
      <c r="B1070" s="10" t="s">
        <v>11202</v>
      </c>
      <c r="C1070" s="8">
        <v>338</v>
      </c>
      <c r="D1070" s="15">
        <v>3.25</v>
      </c>
      <c r="MK1070" s="8" t="s">
        <v>11202</v>
      </c>
      <c r="BUA1070" s="8" t="s">
        <v>402</v>
      </c>
      <c r="DJT1070" s="8" t="s">
        <v>4978</v>
      </c>
      <c r="DJU1070" s="8" t="s">
        <v>4978</v>
      </c>
      <c r="DLP1070" s="8" t="s">
        <v>4978</v>
      </c>
      <c r="DLQ1070" s="8" t="s">
        <v>4978</v>
      </c>
      <c r="FAF1070" s="8" t="s">
        <v>5030</v>
      </c>
      <c r="FAG1070" s="8" t="s">
        <v>5030</v>
      </c>
    </row>
    <row r="1071" spans="1:385 1355:2025 2072:3047 3080:4089 4136:4280">
      <c r="A1071" s="8" t="s">
        <v>9928</v>
      </c>
      <c r="B1071" s="10" t="s">
        <v>11203</v>
      </c>
      <c r="C1071" s="8">
        <v>342.25</v>
      </c>
      <c r="D1071" s="15">
        <v>1.06</v>
      </c>
      <c r="MM1071" s="8" t="s">
        <v>11203</v>
      </c>
      <c r="BVN1071" s="8" t="s">
        <v>403</v>
      </c>
      <c r="DLP1071" s="8" t="s">
        <v>4979</v>
      </c>
      <c r="DLQ1071" s="8" t="s">
        <v>4979</v>
      </c>
      <c r="DNL1071" s="8" t="s">
        <v>4979</v>
      </c>
      <c r="DNM1071" s="8" t="s">
        <v>4979</v>
      </c>
      <c r="FCB1071" s="8" t="s">
        <v>5031</v>
      </c>
      <c r="FCC1071" s="8" t="s">
        <v>5031</v>
      </c>
    </row>
    <row r="1072" spans="1:385 1355:2025 2072:3047 3080:4089 4136:4280">
      <c r="A1072" s="8" t="s">
        <v>9928</v>
      </c>
      <c r="B1072" s="10" t="s">
        <v>11204</v>
      </c>
      <c r="C1072" s="8">
        <v>344.97</v>
      </c>
      <c r="D1072" s="15">
        <v>32.5</v>
      </c>
      <c r="NU1072" s="8" t="s">
        <v>11204</v>
      </c>
      <c r="AZC1072" s="8" t="s">
        <v>4159</v>
      </c>
      <c r="BAY1072" s="8" t="s">
        <v>3851</v>
      </c>
      <c r="BEQ1072" s="8" t="s">
        <v>3434</v>
      </c>
      <c r="CCN1072" s="8" t="s">
        <v>404</v>
      </c>
      <c r="EJP1072" s="8" t="s">
        <v>4980</v>
      </c>
      <c r="EJQ1072" s="8" t="s">
        <v>4980</v>
      </c>
      <c r="ELL1072" s="8" t="s">
        <v>4980</v>
      </c>
      <c r="ELM1072" s="8" t="s">
        <v>4980</v>
      </c>
      <c r="FFT1072" s="8" t="s">
        <v>5032</v>
      </c>
      <c r="FFU1072" s="8" t="s">
        <v>5032</v>
      </c>
    </row>
    <row r="1073" spans="1:724 1351:2024 2072:3032 3080:4041 4232:4283">
      <c r="A1073" s="8" t="s">
        <v>9928</v>
      </c>
      <c r="B1073" s="10" t="s">
        <v>14128</v>
      </c>
      <c r="C1073" s="8">
        <v>385</v>
      </c>
      <c r="D1073" s="15">
        <v>4.55</v>
      </c>
      <c r="OH1073" s="8" t="s">
        <v>14128</v>
      </c>
      <c r="AYZ1073" s="8" t="s">
        <v>4160</v>
      </c>
      <c r="BAV1073" s="8" t="s">
        <v>3501</v>
      </c>
      <c r="BEN1073" s="8" t="s">
        <v>3435</v>
      </c>
      <c r="CDK1073" s="8" t="s">
        <v>405</v>
      </c>
      <c r="EUR1073" s="8" t="s">
        <v>4981</v>
      </c>
      <c r="EUS1073" s="8" t="s">
        <v>4981</v>
      </c>
      <c r="EWN1073" s="8" t="s">
        <v>4981</v>
      </c>
      <c r="EWO1073" s="8" t="s">
        <v>4981</v>
      </c>
      <c r="FFT1073" s="8" t="s">
        <v>5033</v>
      </c>
      <c r="FFU1073" s="8" t="s">
        <v>5033</v>
      </c>
    </row>
    <row r="1074" spans="1:724 1351:2024 2072:3032 3080:4041 4232:4283">
      <c r="A1074" s="8" t="s">
        <v>9928</v>
      </c>
      <c r="B1074" s="10" t="s">
        <v>11207</v>
      </c>
      <c r="C1074" s="8">
        <v>392.83</v>
      </c>
      <c r="D1074" s="15">
        <v>9.75</v>
      </c>
      <c r="OU1074" s="8" t="s">
        <v>11207</v>
      </c>
      <c r="BAC1074" s="8" t="s">
        <v>4161</v>
      </c>
      <c r="BBY1074" s="8" t="s">
        <v>3852</v>
      </c>
      <c r="BEQ1074" s="8" t="s">
        <v>3434</v>
      </c>
      <c r="BFP1074" s="8" t="s">
        <v>345</v>
      </c>
      <c r="BFQ1074" s="8" t="s">
        <v>3436</v>
      </c>
      <c r="BGM1074" s="8" t="s">
        <v>3434</v>
      </c>
      <c r="BHL1074" s="8" t="s">
        <v>345</v>
      </c>
      <c r="CIW1074" s="8" t="s">
        <v>406</v>
      </c>
      <c r="EWN1074" s="8" t="s">
        <v>4982</v>
      </c>
      <c r="EWO1074" s="8" t="s">
        <v>4982</v>
      </c>
      <c r="EYJ1074" s="8" t="s">
        <v>4982</v>
      </c>
      <c r="EYK1074" s="8" t="s">
        <v>4982</v>
      </c>
    </row>
    <row r="1075" spans="1:724 1351:2024 2072:3032 3080:4041 4232:4283">
      <c r="A1075" s="8" t="s">
        <v>9928</v>
      </c>
      <c r="B1075" s="10" t="s">
        <v>11205</v>
      </c>
      <c r="C1075" s="8">
        <v>396.99</v>
      </c>
      <c r="D1075" s="15">
        <v>6.42</v>
      </c>
      <c r="OU1075" s="8" t="s">
        <v>11205</v>
      </c>
      <c r="AYZ1075" s="8" t="s">
        <v>4609</v>
      </c>
      <c r="BAV1075" s="8" t="s">
        <v>4162</v>
      </c>
      <c r="BCR1075" s="8" t="s">
        <v>3853</v>
      </c>
      <c r="BEN1075" s="8" t="s">
        <v>3435</v>
      </c>
      <c r="BGJ1075" s="8" t="s">
        <v>3437</v>
      </c>
      <c r="BIF1075" s="8" t="s">
        <v>346</v>
      </c>
      <c r="DCJ1075" s="8" t="s">
        <v>407</v>
      </c>
    </row>
    <row r="1076" spans="1:724 1351:2024 2072:3032 3080:4041 4232:4283">
      <c r="A1076" s="8" t="s">
        <v>9928</v>
      </c>
      <c r="B1076" s="10" t="s">
        <v>11206</v>
      </c>
      <c r="C1076" s="8">
        <v>404.41</v>
      </c>
      <c r="D1076" s="15">
        <v>6.5</v>
      </c>
      <c r="PC1076" s="8" t="s">
        <v>11206</v>
      </c>
      <c r="AZQ1076" s="8" t="s">
        <v>388</v>
      </c>
      <c r="BAA1076" s="8" t="s">
        <v>1034</v>
      </c>
      <c r="BAV1076" s="8" t="s">
        <v>4610</v>
      </c>
      <c r="BCR1076" s="8" t="s">
        <v>4163</v>
      </c>
      <c r="BEN1076" s="8" t="s">
        <v>3854</v>
      </c>
      <c r="BFQ1076" s="8" t="s">
        <v>3436</v>
      </c>
      <c r="BHM1076" s="8" t="s">
        <v>3436</v>
      </c>
      <c r="BHZ1076" s="8" t="s">
        <v>347</v>
      </c>
      <c r="BIF1076" s="8" t="s">
        <v>3438</v>
      </c>
      <c r="BJV1076" s="8" t="s">
        <v>347</v>
      </c>
      <c r="DHM1076" s="8" t="s">
        <v>408</v>
      </c>
    </row>
    <row r="1077" spans="1:724 1351:2024 2072:3032 3080:4041 4232:4283">
      <c r="A1077" s="8" t="s">
        <v>9928</v>
      </c>
      <c r="B1077" s="10" t="s">
        <v>14129</v>
      </c>
      <c r="C1077" s="8">
        <v>412.81</v>
      </c>
      <c r="D1077" s="15">
        <v>4.87</v>
      </c>
      <c r="PJ1077" s="8" t="s">
        <v>14129</v>
      </c>
      <c r="AYY1077" s="8" t="s">
        <v>1035</v>
      </c>
      <c r="AZK1077" s="8" t="s">
        <v>6442</v>
      </c>
      <c r="BAA1077" s="8" t="s">
        <v>389</v>
      </c>
      <c r="BAU1077" s="8" t="s">
        <v>1035</v>
      </c>
      <c r="BGJ1077" s="8" t="s">
        <v>3437</v>
      </c>
      <c r="BIF1077" s="8" t="s">
        <v>3437</v>
      </c>
      <c r="BIQ1077" s="8" t="s">
        <v>4611</v>
      </c>
      <c r="BKM1077" s="8" t="s">
        <v>4164</v>
      </c>
      <c r="BMI1077" s="8" t="s">
        <v>3855</v>
      </c>
      <c r="BQA1077" s="8" t="s">
        <v>3439</v>
      </c>
      <c r="BVD1077" s="8" t="s">
        <v>348</v>
      </c>
      <c r="BWZ1077" s="8" t="s">
        <v>348</v>
      </c>
      <c r="DID1077" s="8" t="s">
        <v>409</v>
      </c>
    </row>
    <row r="1078" spans="1:724 1351:2024 2072:3032 3080:4041 4232:4283">
      <c r="A1078" s="8" t="s">
        <v>9928</v>
      </c>
      <c r="B1078" s="10" t="s">
        <v>14130</v>
      </c>
      <c r="C1078" s="8">
        <v>418.68</v>
      </c>
      <c r="D1078" s="15">
        <v>3.25</v>
      </c>
      <c r="PN1078" s="8" t="s">
        <v>14130</v>
      </c>
      <c r="BAL1078" s="8" t="s">
        <v>1036</v>
      </c>
      <c r="BAU1078" s="8" t="s">
        <v>1036</v>
      </c>
      <c r="BAV1078" s="8" t="s">
        <v>6443</v>
      </c>
      <c r="BBO1078" s="8" t="s">
        <v>390</v>
      </c>
      <c r="BCH1078" s="8" t="s">
        <v>1036</v>
      </c>
      <c r="BIF1078" s="8" t="s">
        <v>3438</v>
      </c>
      <c r="BKB1078" s="8" t="s">
        <v>4612</v>
      </c>
      <c r="BLX1078" s="8" t="s">
        <v>4165</v>
      </c>
      <c r="BNT1078" s="8" t="s">
        <v>3856</v>
      </c>
      <c r="BRL1078" s="8" t="s">
        <v>3440</v>
      </c>
      <c r="CLT1078" s="8" t="s">
        <v>349</v>
      </c>
      <c r="CNP1078" s="8" t="s">
        <v>349</v>
      </c>
    </row>
    <row r="1079" spans="1:724 1351:2024 2072:3032 3080:4041 4232:4283">
      <c r="A1079" s="8" t="s">
        <v>9928</v>
      </c>
      <c r="B1079" s="10" t="s">
        <v>14131</v>
      </c>
      <c r="C1079" s="8">
        <v>422.93</v>
      </c>
      <c r="D1079" s="15">
        <v>2.27</v>
      </c>
      <c r="PQ1079" s="8" t="s">
        <v>14131</v>
      </c>
      <c r="BAB1079" s="17" t="s">
        <v>391</v>
      </c>
      <c r="BAL1079" s="8" t="s">
        <v>1037</v>
      </c>
      <c r="BBB1079" s="8" t="s">
        <v>1037</v>
      </c>
      <c r="BCH1079" s="8" t="s">
        <v>391</v>
      </c>
      <c r="BCR1079" s="8" t="s">
        <v>6444</v>
      </c>
      <c r="BCX1079" s="8" t="s">
        <v>1037</v>
      </c>
      <c r="BLX1079" s="8" t="s">
        <v>4613</v>
      </c>
      <c r="BNT1079" s="8" t="s">
        <v>4166</v>
      </c>
      <c r="BPP1079" s="8" t="s">
        <v>3857</v>
      </c>
      <c r="BQA1079" s="8" t="s">
        <v>3439</v>
      </c>
      <c r="BRW1079" s="8" t="s">
        <v>3439</v>
      </c>
      <c r="BTH1079" s="8" t="s">
        <v>3480</v>
      </c>
      <c r="CYU1079" s="8" t="s">
        <v>350</v>
      </c>
      <c r="DAQ1079" s="8" t="s">
        <v>350</v>
      </c>
    </row>
    <row r="1080" spans="1:724 1351:2024 2072:3032 3080:4041 4232:4283">
      <c r="A1080" s="8" t="s">
        <v>9928</v>
      </c>
      <c r="B1080" s="10" t="s">
        <v>11208</v>
      </c>
      <c r="C1080" s="8">
        <v>426.21</v>
      </c>
      <c r="D1080" s="15">
        <v>3.12</v>
      </c>
      <c r="PU1080" s="8" t="s">
        <v>11208</v>
      </c>
      <c r="AYZ1080" s="8" t="s">
        <v>359</v>
      </c>
      <c r="BBK1080" s="8" t="s">
        <v>1038</v>
      </c>
      <c r="BCX1080" s="8" t="s">
        <v>1038</v>
      </c>
      <c r="BDE1080" s="8" t="s">
        <v>392</v>
      </c>
      <c r="BDG1080" s="8" t="s">
        <v>1038</v>
      </c>
      <c r="BGJ1080" s="8" t="s">
        <v>4614</v>
      </c>
      <c r="BNT1080" s="8" t="s">
        <v>6445</v>
      </c>
      <c r="BRL1080" s="8" t="s">
        <v>3440</v>
      </c>
      <c r="BTH1080" s="8" t="s">
        <v>3440</v>
      </c>
      <c r="BWZ1080" s="8" t="s">
        <v>4614</v>
      </c>
      <c r="BYV1080" s="8" t="s">
        <v>4167</v>
      </c>
      <c r="CAR1080" s="8" t="s">
        <v>3858</v>
      </c>
      <c r="CEJ1080" s="8" t="s">
        <v>3481</v>
      </c>
      <c r="DGE1080" s="8" t="s">
        <v>351</v>
      </c>
      <c r="DIA1080" s="8" t="s">
        <v>351</v>
      </c>
    </row>
    <row r="1081" spans="1:724 1351:2024 2072:3032 3080:4041 4232:4283">
      <c r="A1081" s="8" t="s">
        <v>9928</v>
      </c>
      <c r="B1081" s="10" t="s">
        <v>14132</v>
      </c>
      <c r="C1081" s="8">
        <v>630.54999999999995</v>
      </c>
      <c r="D1081" s="15">
        <v>3.09</v>
      </c>
      <c r="XR1081" s="8" t="s">
        <v>14132</v>
      </c>
      <c r="AYZ1081" s="8" t="s">
        <v>360</v>
      </c>
      <c r="AZK1081" s="8" t="s">
        <v>4997</v>
      </c>
      <c r="AZL1081" s="17" t="s">
        <v>4997</v>
      </c>
      <c r="AZM1081" s="8" t="s">
        <v>4997</v>
      </c>
      <c r="BAB1081" s="17" t="s">
        <v>393</v>
      </c>
      <c r="BAV1081" s="8" t="s">
        <v>360</v>
      </c>
      <c r="BBK1081" s="8" t="s">
        <v>1039</v>
      </c>
      <c r="BCR1081" s="8" t="s">
        <v>1039</v>
      </c>
      <c r="BDG1081" s="8" t="s">
        <v>393</v>
      </c>
      <c r="BEN1081" s="8" t="s">
        <v>1039</v>
      </c>
      <c r="CGF1081" s="8" t="s">
        <v>4615</v>
      </c>
      <c r="CNP1081" s="8" t="s">
        <v>6446</v>
      </c>
      <c r="CWV1081" s="8" t="s">
        <v>4615</v>
      </c>
      <c r="CYR1081" s="8" t="s">
        <v>4168</v>
      </c>
      <c r="DAN1081" s="8" t="s">
        <v>3859</v>
      </c>
      <c r="DEF1081" s="8" t="s">
        <v>3441</v>
      </c>
      <c r="DGB1081" s="8" t="s">
        <v>3441</v>
      </c>
      <c r="DLP1081" s="8" t="s">
        <v>352</v>
      </c>
      <c r="DNL1081" s="8" t="s">
        <v>352</v>
      </c>
    </row>
    <row r="1082" spans="1:724 1351:2024 2072:3032 3080:4041 4232:4283">
      <c r="A1082" s="8" t="s">
        <v>9928</v>
      </c>
      <c r="B1082" s="10" t="s">
        <v>11209</v>
      </c>
      <c r="C1082" s="8">
        <v>634.64</v>
      </c>
      <c r="D1082" s="15">
        <v>0.98</v>
      </c>
      <c r="XT1082" s="17" t="s">
        <v>11209</v>
      </c>
      <c r="AYZ1082" s="8" t="s">
        <v>395</v>
      </c>
      <c r="BAO1082" s="8" t="s">
        <v>4998</v>
      </c>
      <c r="BAP1082" s="8" t="s">
        <v>4998</v>
      </c>
      <c r="BAQ1082" s="8" t="s">
        <v>4998</v>
      </c>
      <c r="BCK1082" s="8" t="s">
        <v>361</v>
      </c>
      <c r="BCR1082" s="8" t="s">
        <v>1040</v>
      </c>
      <c r="BDA1082" s="8" t="s">
        <v>395</v>
      </c>
      <c r="BDS1082" s="8" t="s">
        <v>1040</v>
      </c>
      <c r="BEN1082" s="8" t="s">
        <v>395</v>
      </c>
      <c r="BFO1082" s="8" t="s">
        <v>1040</v>
      </c>
      <c r="CJX1082" s="8" t="s">
        <v>4616</v>
      </c>
      <c r="CRH1082" s="8" t="s">
        <v>6447</v>
      </c>
      <c r="DAN1082" s="8" t="s">
        <v>4616</v>
      </c>
      <c r="DCJ1082" s="8" t="s">
        <v>4169</v>
      </c>
      <c r="DEF1082" s="8" t="s">
        <v>3860</v>
      </c>
      <c r="DHX1082" s="8" t="s">
        <v>3442</v>
      </c>
      <c r="DJT1082" s="8" t="s">
        <v>3442</v>
      </c>
      <c r="DUY1082" s="8" t="s">
        <v>353</v>
      </c>
      <c r="DWU1082" s="8" t="s">
        <v>353</v>
      </c>
    </row>
    <row r="1083" spans="1:724 1351:2024 2072:3032 3080:4041 4232:4283">
      <c r="A1083" s="8" t="s">
        <v>9928</v>
      </c>
      <c r="B1083" s="10" t="s">
        <v>11210</v>
      </c>
      <c r="C1083" s="8">
        <v>636.61</v>
      </c>
      <c r="D1083" s="15">
        <v>2.68</v>
      </c>
      <c r="XW1083" s="8" t="s">
        <v>11210</v>
      </c>
      <c r="AZX1083" s="8" t="s">
        <v>5656</v>
      </c>
      <c r="BAA1083" s="8" t="s">
        <v>396</v>
      </c>
      <c r="BAF1083" s="8" t="s">
        <v>362</v>
      </c>
      <c r="BBR1083" s="8" t="s">
        <v>4999</v>
      </c>
      <c r="BBT1083" s="8" t="s">
        <v>4999</v>
      </c>
      <c r="BCB1083" s="8" t="s">
        <v>362</v>
      </c>
      <c r="BDX1083" s="8" t="s">
        <v>362</v>
      </c>
      <c r="BEN1083" s="8" t="s">
        <v>1041</v>
      </c>
      <c r="BFO1083" s="8" t="s">
        <v>1041</v>
      </c>
      <c r="BFZ1083" s="8" t="s">
        <v>396</v>
      </c>
      <c r="BGJ1083" s="8" t="s">
        <v>1041</v>
      </c>
      <c r="CUZ1083" s="8" t="s">
        <v>4617</v>
      </c>
      <c r="DCJ1083" s="8" t="s">
        <v>6448</v>
      </c>
      <c r="DLP1083" s="8" t="s">
        <v>4617</v>
      </c>
      <c r="DNL1083" s="8" t="s">
        <v>4170</v>
      </c>
      <c r="DPH1083" s="8" t="s">
        <v>3861</v>
      </c>
      <c r="DSZ1083" s="8" t="s">
        <v>3443</v>
      </c>
      <c r="DUV1083" s="8" t="s">
        <v>3443</v>
      </c>
      <c r="FFW1083" s="8" t="s">
        <v>1331</v>
      </c>
      <c r="FHS1083" s="8" t="s">
        <v>1331</v>
      </c>
    </row>
    <row r="1084" spans="1:724 1351:2024 2072:3032 3080:4041 4232:4283">
      <c r="A1084" s="8" t="s">
        <v>9928</v>
      </c>
      <c r="B1084" s="10" t="s">
        <v>11211</v>
      </c>
      <c r="C1084" s="8">
        <v>640.29</v>
      </c>
      <c r="D1084" s="15">
        <v>3.75</v>
      </c>
      <c r="YB1084" s="8" t="s">
        <v>11211</v>
      </c>
      <c r="AZQ1084" s="8" t="s">
        <v>363</v>
      </c>
      <c r="BAV1084" s="8" t="s">
        <v>397</v>
      </c>
      <c r="BBA1084" s="8" t="s">
        <v>5657</v>
      </c>
      <c r="BBB1084" s="8" t="s">
        <v>5657</v>
      </c>
      <c r="BBM1084" s="8" t="s">
        <v>363</v>
      </c>
      <c r="BCV1084" s="8" t="s">
        <v>5000</v>
      </c>
      <c r="BCW1084" s="8" t="s">
        <v>5000</v>
      </c>
      <c r="BCX1084" s="8" t="s">
        <v>5000</v>
      </c>
      <c r="BDI1084" s="8" t="s">
        <v>363</v>
      </c>
      <c r="BFE1084" s="8" t="s">
        <v>363</v>
      </c>
      <c r="BGJ1084" s="8" t="s">
        <v>397</v>
      </c>
      <c r="BNZ1084" s="8" t="s">
        <v>1042</v>
      </c>
      <c r="BPV1084" s="8" t="s">
        <v>1042</v>
      </c>
      <c r="DJT1084" s="8" t="s">
        <v>4618</v>
      </c>
      <c r="DRD1084" s="8" t="s">
        <v>6449</v>
      </c>
      <c r="EAJ1084" s="8" t="s">
        <v>4618</v>
      </c>
      <c r="ECF1084" s="8" t="s">
        <v>4171</v>
      </c>
      <c r="EEB1084" s="8" t="s">
        <v>3862</v>
      </c>
      <c r="EHT1084" s="8" t="s">
        <v>3444</v>
      </c>
      <c r="EJP1084" s="8" t="s">
        <v>3444</v>
      </c>
    </row>
    <row r="1085" spans="1:724 1351:2024 2072:3032 3080:4041 4232:4283">
      <c r="A1085" s="8" t="s">
        <v>9928</v>
      </c>
      <c r="B1085" s="10" t="s">
        <v>11212</v>
      </c>
      <c r="C1085" s="8">
        <v>645.04</v>
      </c>
      <c r="D1085" s="15">
        <v>3.12</v>
      </c>
      <c r="YF1085" s="8" t="s">
        <v>11212</v>
      </c>
      <c r="BAV1085" s="8" t="s">
        <v>364</v>
      </c>
      <c r="BCR1085" s="8" t="s">
        <v>5383</v>
      </c>
      <c r="BEM1085" s="8" t="s">
        <v>5001</v>
      </c>
      <c r="BEN1085" s="8" t="s">
        <v>5001</v>
      </c>
      <c r="BEO1085" s="8" t="s">
        <v>5001</v>
      </c>
      <c r="BGJ1085" s="8" t="s">
        <v>364</v>
      </c>
      <c r="BKH1085" s="8" t="s">
        <v>398</v>
      </c>
      <c r="BNT1085" s="8" t="s">
        <v>398</v>
      </c>
      <c r="BNZ1085" s="8" t="s">
        <v>1043</v>
      </c>
      <c r="BPP1085" s="8" t="s">
        <v>1043</v>
      </c>
      <c r="BPV1085" s="8" t="s">
        <v>398</v>
      </c>
      <c r="BRL1085" s="8" t="s">
        <v>1043</v>
      </c>
    </row>
    <row r="1086" spans="1:724 1351:2024 2072:3032 3080:4041 4232:4283">
      <c r="A1086" s="8" t="s">
        <v>9928</v>
      </c>
      <c r="B1086" s="10" t="s">
        <v>11213</v>
      </c>
      <c r="C1086" s="8">
        <v>662.45</v>
      </c>
      <c r="D1086" s="15">
        <v>6.5</v>
      </c>
      <c r="ZA1086" s="8" t="s">
        <v>11213</v>
      </c>
      <c r="BBX1086" s="8" t="s">
        <v>365</v>
      </c>
      <c r="BDT1086" s="8" t="s">
        <v>365</v>
      </c>
      <c r="BFP1086" s="8" t="s">
        <v>365</v>
      </c>
      <c r="BGM1086" s="8" t="s">
        <v>5658</v>
      </c>
      <c r="BGN1086" s="8" t="s">
        <v>5658</v>
      </c>
      <c r="BHL1086" s="8" t="s">
        <v>365</v>
      </c>
      <c r="BIH1086" s="8" t="s">
        <v>5002</v>
      </c>
      <c r="BII1086" s="8" t="s">
        <v>5002</v>
      </c>
      <c r="BIJ1086" s="8" t="s">
        <v>5002</v>
      </c>
      <c r="BLX1086" s="8" t="s">
        <v>399</v>
      </c>
      <c r="BPP1086" s="8" t="s">
        <v>1044</v>
      </c>
      <c r="BRL1086" s="8" t="s">
        <v>1044</v>
      </c>
    </row>
    <row r="1087" spans="1:724 1351:2024 2072:3032 3080:4041 4232:4283">
      <c r="A1087" s="8" t="s">
        <v>9928</v>
      </c>
      <c r="B1087" s="10" t="s">
        <v>14133</v>
      </c>
      <c r="C1087" s="8">
        <v>691.63</v>
      </c>
      <c r="D1087" s="15">
        <v>6.5</v>
      </c>
      <c r="AAD1087" s="8" t="s">
        <v>14133</v>
      </c>
      <c r="AYZ1087" s="8" t="s">
        <v>1633</v>
      </c>
      <c r="BCR1087" s="8" t="s">
        <v>366</v>
      </c>
      <c r="BEN1087" s="8" t="s">
        <v>366</v>
      </c>
      <c r="BGJ1087" s="8" t="s">
        <v>366</v>
      </c>
      <c r="BIF1087" s="8" t="s">
        <v>366</v>
      </c>
      <c r="BLX1087" s="8" t="s">
        <v>400</v>
      </c>
      <c r="BPX1087" s="8" t="s">
        <v>1045</v>
      </c>
      <c r="BRL1087" s="8" t="s">
        <v>1045</v>
      </c>
      <c r="BRT1087" s="8" t="s">
        <v>1045</v>
      </c>
      <c r="BSM1087" s="8" t="s">
        <v>400</v>
      </c>
      <c r="BTC1087" s="8" t="s">
        <v>5659</v>
      </c>
      <c r="BTD1087" s="8" t="s">
        <v>5659</v>
      </c>
      <c r="BUX1087" s="8" t="s">
        <v>5003</v>
      </c>
      <c r="BUY1087" s="8" t="s">
        <v>5003</v>
      </c>
      <c r="BUZ1087" s="8" t="s">
        <v>5003</v>
      </c>
    </row>
    <row r="1088" spans="1:724 1351:2024 2072:3032 3080:4041 4232:4283">
      <c r="A1088" s="8" t="s">
        <v>9928</v>
      </c>
      <c r="B1088" s="10" t="s">
        <v>11214</v>
      </c>
      <c r="C1088" s="8">
        <v>710.94</v>
      </c>
      <c r="D1088" s="15">
        <v>4.87</v>
      </c>
      <c r="AAV1088" s="19" t="s">
        <v>11214</v>
      </c>
      <c r="BBB1088" s="8" t="s">
        <v>2062</v>
      </c>
      <c r="BBM1088" s="8" t="s">
        <v>11225</v>
      </c>
      <c r="BCX1088" s="8" t="s">
        <v>1634</v>
      </c>
      <c r="BDI1088" s="8" t="s">
        <v>10346</v>
      </c>
      <c r="BGP1088" s="8" t="s">
        <v>367</v>
      </c>
      <c r="BIL1088" s="8" t="s">
        <v>367</v>
      </c>
      <c r="BKH1088" s="8" t="s">
        <v>367</v>
      </c>
      <c r="BMD1088" s="8" t="s">
        <v>367</v>
      </c>
      <c r="BMF1088" s="8" t="s">
        <v>401</v>
      </c>
      <c r="BOV1088" s="8" t="s">
        <v>401</v>
      </c>
      <c r="BPX1088" s="8" t="s">
        <v>1046</v>
      </c>
      <c r="BRL1088" s="8" t="s">
        <v>1046</v>
      </c>
      <c r="BRT1088" s="8" t="s">
        <v>401</v>
      </c>
      <c r="BTH1088" s="8" t="s">
        <v>1046</v>
      </c>
      <c r="BUM1088" s="8" t="s">
        <v>5660</v>
      </c>
      <c r="BWG1088" s="8" t="s">
        <v>5004</v>
      </c>
      <c r="BWI1088" s="8" t="s">
        <v>5004</v>
      </c>
    </row>
    <row r="1089" spans="1:1022 1105:3038 3086:4088 4102:4232 5931:5966">
      <c r="A1089" s="8" t="s">
        <v>9928</v>
      </c>
      <c r="B1089" s="10" t="s">
        <v>11215</v>
      </c>
      <c r="C1089" s="8">
        <v>729.17</v>
      </c>
      <c r="D1089" s="15">
        <v>3.13</v>
      </c>
      <c r="ABL1089" s="17" t="s">
        <v>11215</v>
      </c>
      <c r="BCP1089" s="8" t="s">
        <v>2063</v>
      </c>
      <c r="BCR1089" s="8" t="s">
        <v>11226</v>
      </c>
      <c r="BEL1089" s="8" t="s">
        <v>1635</v>
      </c>
      <c r="BEN1089" s="8" t="s">
        <v>10347</v>
      </c>
      <c r="BID1089" s="8" t="s">
        <v>368</v>
      </c>
      <c r="BJZ1089" s="8" t="s">
        <v>368</v>
      </c>
      <c r="BLV1089" s="8" t="s">
        <v>368</v>
      </c>
      <c r="BNR1089" s="8" t="s">
        <v>368</v>
      </c>
      <c r="BNT1089" s="8" t="s">
        <v>402</v>
      </c>
      <c r="BRL1089" s="8" t="s">
        <v>1047</v>
      </c>
      <c r="BSE1089" s="8" t="s">
        <v>1047</v>
      </c>
      <c r="BTH1089" s="8" t="s">
        <v>402</v>
      </c>
      <c r="BUA1089" s="8" t="s">
        <v>1047</v>
      </c>
      <c r="BVP1089" s="8" t="s">
        <v>5661</v>
      </c>
      <c r="BVQ1089" s="8" t="s">
        <v>5661</v>
      </c>
      <c r="BXK1089" s="8" t="s">
        <v>5005</v>
      </c>
      <c r="BXL1089" s="8" t="s">
        <v>5005</v>
      </c>
      <c r="BXM1089" s="8" t="s">
        <v>5005</v>
      </c>
    </row>
    <row r="1090" spans="1:1022 1105:3038 3086:4088 4102:4232 5931:5966">
      <c r="A1090" s="8" t="s">
        <v>9928</v>
      </c>
      <c r="B1090" s="10" t="s">
        <v>11216</v>
      </c>
      <c r="C1090" s="8">
        <v>733.29</v>
      </c>
      <c r="D1090" s="15">
        <v>5.23</v>
      </c>
      <c r="ABS1090" s="8" t="s">
        <v>11216</v>
      </c>
      <c r="BKB1090" s="8" t="s">
        <v>11227</v>
      </c>
      <c r="BLX1090" s="8" t="s">
        <v>10348</v>
      </c>
      <c r="BOM1090" s="8" t="s">
        <v>403</v>
      </c>
      <c r="BPP1090" s="8" t="s">
        <v>369</v>
      </c>
      <c r="BRL1090" s="8" t="s">
        <v>369</v>
      </c>
      <c r="BTH1090" s="8" t="s">
        <v>369</v>
      </c>
      <c r="BTR1090" s="8" t="s">
        <v>1048</v>
      </c>
      <c r="BUA1090" s="8" t="s">
        <v>1048</v>
      </c>
      <c r="BUJ1090" s="8" t="s">
        <v>403</v>
      </c>
      <c r="BVD1090" s="8" t="s">
        <v>369</v>
      </c>
      <c r="BVN1090" s="8" t="s">
        <v>1048</v>
      </c>
      <c r="BWT1090" s="8" t="s">
        <v>5662</v>
      </c>
      <c r="BWU1090" s="8" t="s">
        <v>5662</v>
      </c>
      <c r="BYO1090" s="8" t="s">
        <v>5006</v>
      </c>
      <c r="BYP1090" s="8" t="s">
        <v>5006</v>
      </c>
      <c r="BYQ1090" s="8" t="s">
        <v>5006</v>
      </c>
    </row>
    <row r="1091" spans="1:1022 1105:3038 3086:4088 4102:4232 5931:5966">
      <c r="A1091" s="8" t="s">
        <v>9928</v>
      </c>
      <c r="B1091" s="10" t="s">
        <v>14134</v>
      </c>
      <c r="C1091" s="8">
        <v>760.13</v>
      </c>
      <c r="D1091" s="15">
        <v>1.87</v>
      </c>
      <c r="ACP1091" s="8" t="s">
        <v>14134</v>
      </c>
      <c r="BKB1091" s="8" t="s">
        <v>2064</v>
      </c>
      <c r="BLX1091" s="8" t="s">
        <v>1636</v>
      </c>
      <c r="BOD1091" s="8" t="s">
        <v>1049</v>
      </c>
      <c r="BON1091" s="8" t="s">
        <v>11228</v>
      </c>
      <c r="BPA1091" s="8" t="s">
        <v>404</v>
      </c>
      <c r="BPP1091" s="8" t="s">
        <v>370</v>
      </c>
      <c r="BPZ1091" s="8" t="s">
        <v>404</v>
      </c>
      <c r="BQJ1091" s="8" t="s">
        <v>10349</v>
      </c>
      <c r="BRL1091" s="8" t="s">
        <v>370</v>
      </c>
      <c r="BTH1091" s="8" t="s">
        <v>370</v>
      </c>
      <c r="BVD1091" s="8" t="s">
        <v>370</v>
      </c>
      <c r="BVN1091" s="8" t="s">
        <v>404</v>
      </c>
      <c r="BXX1091" s="8" t="s">
        <v>5663</v>
      </c>
      <c r="BZR1091" s="8" t="s">
        <v>5007</v>
      </c>
      <c r="BZT1091" s="8" t="s">
        <v>5007</v>
      </c>
      <c r="CAR1091" s="8" t="s">
        <v>1049</v>
      </c>
      <c r="CCN1091" s="8" t="s">
        <v>1049</v>
      </c>
    </row>
    <row r="1092" spans="1:1022 1105:3038 3086:4088 4102:4232 5931:5966">
      <c r="A1092" s="8" t="s">
        <v>9928</v>
      </c>
      <c r="B1092" s="10" t="s">
        <v>14135</v>
      </c>
      <c r="C1092" s="8">
        <v>764.38</v>
      </c>
      <c r="D1092" s="15">
        <v>1.06</v>
      </c>
      <c r="ACS1092" s="8" t="s">
        <v>14135</v>
      </c>
      <c r="BMB1092" s="8" t="s">
        <v>2065</v>
      </c>
      <c r="BNX1092" s="8" t="s">
        <v>1637</v>
      </c>
      <c r="BPU1092" s="8" t="s">
        <v>11229</v>
      </c>
      <c r="BRP1092" s="8" t="s">
        <v>372</v>
      </c>
      <c r="BRQ1092" s="8" t="s">
        <v>10350</v>
      </c>
      <c r="BTL1092" s="8" t="s">
        <v>372</v>
      </c>
      <c r="BVH1092" s="8" t="s">
        <v>372</v>
      </c>
      <c r="BWZ1092" s="8" t="s">
        <v>405</v>
      </c>
      <c r="BXD1092" s="8" t="s">
        <v>372</v>
      </c>
      <c r="BZA1092" s="8" t="s">
        <v>5664</v>
      </c>
      <c r="BZB1092" s="8" t="s">
        <v>5664</v>
      </c>
      <c r="BZU1092" s="8" t="s">
        <v>405</v>
      </c>
      <c r="CAR1092" s="8" t="s">
        <v>1050</v>
      </c>
      <c r="CAV1092" s="8" t="s">
        <v>5008</v>
      </c>
      <c r="CAW1092" s="8" t="s">
        <v>5008</v>
      </c>
      <c r="CAX1092" s="8" t="s">
        <v>5008</v>
      </c>
      <c r="CBO1092" s="8" t="s">
        <v>1050</v>
      </c>
      <c r="CCN1092" s="8" t="s">
        <v>405</v>
      </c>
      <c r="CDK1092" s="8" t="s">
        <v>1050</v>
      </c>
    </row>
    <row r="1093" spans="1:1022 1105:3038 3086:4088 4102:4232 5931:5966">
      <c r="A1093" s="8" t="s">
        <v>9928</v>
      </c>
      <c r="B1093" s="10" t="s">
        <v>11217</v>
      </c>
      <c r="C1093" s="8">
        <v>766.44</v>
      </c>
      <c r="D1093" s="15">
        <v>1.56</v>
      </c>
      <c r="ACV1093" s="8" t="s">
        <v>11217</v>
      </c>
      <c r="BMK1093" s="8" t="s">
        <v>2066</v>
      </c>
      <c r="BOG1093" s="8" t="s">
        <v>1638</v>
      </c>
      <c r="BRI1093" s="8" t="s">
        <v>11230</v>
      </c>
      <c r="BRY1093" s="8" t="s">
        <v>373</v>
      </c>
      <c r="BTE1093" s="8" t="s">
        <v>10351</v>
      </c>
      <c r="BTU1093" s="8" t="s">
        <v>373</v>
      </c>
      <c r="BVQ1093" s="8" t="s">
        <v>373</v>
      </c>
      <c r="BXM1093" s="8" t="s">
        <v>373</v>
      </c>
      <c r="BXW1093" s="8" t="s">
        <v>406</v>
      </c>
      <c r="BZS1093" s="8" t="s">
        <v>1051</v>
      </c>
      <c r="CAC1093" s="8" t="s">
        <v>406</v>
      </c>
      <c r="CAR1093" s="8" t="s">
        <v>5665</v>
      </c>
      <c r="CAS1093" s="8" t="s">
        <v>5665</v>
      </c>
      <c r="CCM1093" s="8" t="s">
        <v>5009</v>
      </c>
      <c r="CCN1093" s="8" t="s">
        <v>5009</v>
      </c>
      <c r="CCO1093" s="8" t="s">
        <v>5009</v>
      </c>
      <c r="CDK1093" s="8" t="s">
        <v>406</v>
      </c>
      <c r="CHA1093" s="8" t="s">
        <v>1051</v>
      </c>
      <c r="CIW1093" s="8" t="s">
        <v>1051</v>
      </c>
    </row>
    <row r="1094" spans="1:1022 1105:3038 3086:4088 4102:4232 5931:5966">
      <c r="A1094" s="8" t="s">
        <v>9928</v>
      </c>
      <c r="B1094" s="10" t="s">
        <v>14136</v>
      </c>
      <c r="C1094" s="8">
        <v>810.12</v>
      </c>
      <c r="D1094" s="15">
        <v>1.63</v>
      </c>
      <c r="AEN1094" s="19" t="s">
        <v>14136</v>
      </c>
      <c r="AYZ1094" s="8" t="s">
        <v>2621</v>
      </c>
      <c r="BNB1094" s="8" t="s">
        <v>2067</v>
      </c>
      <c r="BOO1094" s="8" t="s">
        <v>1052</v>
      </c>
      <c r="BOW1094" s="8" t="s">
        <v>407</v>
      </c>
      <c r="BOX1094" s="8" t="s">
        <v>1639</v>
      </c>
      <c r="BRL1094" s="8" t="s">
        <v>11231</v>
      </c>
      <c r="BSP1094" s="8" t="s">
        <v>371</v>
      </c>
      <c r="BTH1094" s="8" t="s">
        <v>10352</v>
      </c>
      <c r="BUL1094" s="8" t="s">
        <v>371</v>
      </c>
      <c r="BWH1094" s="8" t="s">
        <v>371</v>
      </c>
      <c r="BYD1094" s="8" t="s">
        <v>371</v>
      </c>
      <c r="CCN1094" s="8" t="s">
        <v>5666</v>
      </c>
      <c r="CCO1094" s="8" t="s">
        <v>5666</v>
      </c>
      <c r="CDI1094" s="8" t="s">
        <v>407</v>
      </c>
      <c r="CEI1094" s="8" t="s">
        <v>5010</v>
      </c>
      <c r="CEJ1094" s="8" t="s">
        <v>5010</v>
      </c>
      <c r="CEK1094" s="8" t="s">
        <v>5010</v>
      </c>
      <c r="CIW1094" s="8" t="s">
        <v>407</v>
      </c>
      <c r="DAN1094" s="8" t="s">
        <v>1052</v>
      </c>
      <c r="DCJ1094" s="8" t="s">
        <v>1052</v>
      </c>
    </row>
    <row r="1095" spans="1:1022 1105:3038 3086:4088 4102:4232 5931:5966">
      <c r="A1095" s="8" t="s">
        <v>9928</v>
      </c>
      <c r="B1095" s="10" t="s">
        <v>14137</v>
      </c>
      <c r="C1095" s="8">
        <v>812.75</v>
      </c>
      <c r="D1095" s="15">
        <v>2.36</v>
      </c>
      <c r="AEQ1095" s="8" t="s">
        <v>14137</v>
      </c>
      <c r="AYZ1095" s="8" t="s">
        <v>2622</v>
      </c>
      <c r="AZX1095" s="8" t="s">
        <v>1053</v>
      </c>
      <c r="BWZ1095" s="8" t="s">
        <v>11232</v>
      </c>
      <c r="BYV1095" s="8" t="s">
        <v>10353</v>
      </c>
      <c r="CCZ1095" s="8" t="s">
        <v>5667</v>
      </c>
      <c r="CDA1095" s="8" t="s">
        <v>5667</v>
      </c>
      <c r="CEU1095" s="8" t="s">
        <v>5011</v>
      </c>
      <c r="CEV1095" s="8" t="s">
        <v>5011</v>
      </c>
      <c r="CEW1095" s="8" t="s">
        <v>5011</v>
      </c>
      <c r="CIB1095" s="8" t="s">
        <v>2068</v>
      </c>
      <c r="CJX1095" s="8" t="s">
        <v>1640</v>
      </c>
      <c r="CNP1095" s="8" t="s">
        <v>374</v>
      </c>
      <c r="CPL1095" s="8" t="s">
        <v>374</v>
      </c>
      <c r="CRH1095" s="8" t="s">
        <v>374</v>
      </c>
      <c r="CTD1095" s="8" t="s">
        <v>374</v>
      </c>
      <c r="CWV1095" s="8" t="s">
        <v>408</v>
      </c>
      <c r="CYR1095" s="8" t="s">
        <v>1053</v>
      </c>
      <c r="CYY1095" s="8" t="s">
        <v>408</v>
      </c>
      <c r="DCJ1095" s="8" t="s">
        <v>408</v>
      </c>
      <c r="DFQ1095" s="8" t="s">
        <v>1053</v>
      </c>
      <c r="DHM1095" s="8" t="s">
        <v>1053</v>
      </c>
    </row>
    <row r="1096" spans="1:1022 1105:3038 3086:4088 4102:4232 5931:5966">
      <c r="A1096" s="8" t="s">
        <v>9928</v>
      </c>
      <c r="B1096" s="10" t="s">
        <v>11218</v>
      </c>
      <c r="C1096" s="8">
        <v>862.91</v>
      </c>
      <c r="D1096" s="15">
        <v>1.0900000000000001</v>
      </c>
      <c r="AGN1096" s="8" t="s">
        <v>11218</v>
      </c>
      <c r="AYZ1096" s="8" t="s">
        <v>2889</v>
      </c>
      <c r="BAP1096" s="8" t="s">
        <v>409</v>
      </c>
      <c r="BAV1096" s="8" t="s">
        <v>2623</v>
      </c>
      <c r="BBN1096" s="8" t="s">
        <v>409</v>
      </c>
      <c r="BCL1096" s="8" t="s">
        <v>1054</v>
      </c>
      <c r="CBZ1096" s="8" t="s">
        <v>11233</v>
      </c>
      <c r="CDV1096" s="8" t="s">
        <v>10354</v>
      </c>
      <c r="CEJ1096" s="8" t="s">
        <v>5668</v>
      </c>
      <c r="CEK1096" s="8" t="s">
        <v>5668</v>
      </c>
      <c r="CGE1096" s="8" t="s">
        <v>5012</v>
      </c>
      <c r="CGF1096" s="8" t="s">
        <v>5012</v>
      </c>
      <c r="CGG1096" s="8" t="s">
        <v>5012</v>
      </c>
      <c r="CJX1096" s="8" t="s">
        <v>2069</v>
      </c>
      <c r="CLT1096" s="8" t="s">
        <v>1641</v>
      </c>
      <c r="CPL1096" s="8" t="s">
        <v>375</v>
      </c>
      <c r="CRH1096" s="8" t="s">
        <v>375</v>
      </c>
      <c r="CTD1096" s="8" t="s">
        <v>375</v>
      </c>
      <c r="CUZ1096" s="8" t="s">
        <v>375</v>
      </c>
      <c r="DBY1096" s="8" t="s">
        <v>409</v>
      </c>
      <c r="DFH1096" s="8" t="s">
        <v>409</v>
      </c>
      <c r="DFQ1096" s="8" t="s">
        <v>1054</v>
      </c>
      <c r="DGH1096" s="8" t="s">
        <v>1054</v>
      </c>
      <c r="DHM1096" s="8" t="s">
        <v>409</v>
      </c>
      <c r="DID1096" s="8" t="s">
        <v>1054</v>
      </c>
    </row>
    <row r="1097" spans="1:1022 1105:3038 3086:4088 4102:4232 5931:5966">
      <c r="A1097" s="8" t="s">
        <v>9928</v>
      </c>
      <c r="B1097" s="10" t="s">
        <v>11219</v>
      </c>
      <c r="C1097" s="8">
        <v>879.71</v>
      </c>
      <c r="D1097" s="15">
        <v>15.63</v>
      </c>
      <c r="AHS1097" s="8" t="s">
        <v>11219</v>
      </c>
      <c r="BAY1097" s="8" t="s">
        <v>410</v>
      </c>
      <c r="BBW1097" s="8" t="s">
        <v>410</v>
      </c>
      <c r="BCU1097" s="8" t="s">
        <v>1274</v>
      </c>
      <c r="BKB1097" s="8" t="s">
        <v>2890</v>
      </c>
      <c r="BLX1097" s="8" t="s">
        <v>2624</v>
      </c>
      <c r="CGF1097" s="8" t="s">
        <v>5669</v>
      </c>
      <c r="CGG1097" s="8" t="s">
        <v>5669</v>
      </c>
      <c r="CIA1097" s="8" t="s">
        <v>5013</v>
      </c>
      <c r="CIB1097" s="8" t="s">
        <v>5013</v>
      </c>
      <c r="CIC1097" s="8" t="s">
        <v>5013</v>
      </c>
      <c r="CPL1097" s="8" t="s">
        <v>2070</v>
      </c>
      <c r="CRH1097" s="8" t="s">
        <v>11234</v>
      </c>
      <c r="CTD1097" s="8" t="s">
        <v>10355</v>
      </c>
      <c r="CUZ1097" s="8" t="s">
        <v>376</v>
      </c>
      <c r="CWV1097" s="8" t="s">
        <v>376</v>
      </c>
      <c r="CYR1097" s="8" t="s">
        <v>376</v>
      </c>
      <c r="DAN1097" s="8" t="s">
        <v>376</v>
      </c>
      <c r="DCP1097" s="8" t="s">
        <v>410</v>
      </c>
      <c r="DID1097" s="8" t="s">
        <v>410</v>
      </c>
      <c r="HTC1097" s="8" t="s">
        <v>410</v>
      </c>
      <c r="HUL1097" s="8" t="s">
        <v>1274</v>
      </c>
    </row>
    <row r="1098" spans="1:1022 1105:3038 3086:4088 4102:4232 5931:5966">
      <c r="A1098" s="8" t="s">
        <v>9928</v>
      </c>
      <c r="B1098" s="10" t="s">
        <v>14138</v>
      </c>
      <c r="C1098" s="8">
        <v>908.75</v>
      </c>
      <c r="D1098" s="15">
        <v>3.25</v>
      </c>
      <c r="AIJ1098" s="8" t="s">
        <v>14138</v>
      </c>
      <c r="BLX1098" s="8" t="s">
        <v>2891</v>
      </c>
      <c r="BNT1098" s="8" t="s">
        <v>2625</v>
      </c>
      <c r="CQC1098" s="8" t="s">
        <v>5670</v>
      </c>
      <c r="CQD1098" s="8" t="s">
        <v>5670</v>
      </c>
      <c r="CRH1098" s="8" t="s">
        <v>2071</v>
      </c>
      <c r="CRX1098" s="8" t="s">
        <v>5014</v>
      </c>
      <c r="CRZ1098" s="8" t="s">
        <v>5014</v>
      </c>
      <c r="CTD1098" s="8" t="s">
        <v>1642</v>
      </c>
      <c r="CWV1098" s="8" t="s">
        <v>377</v>
      </c>
      <c r="CYR1098" s="8" t="s">
        <v>377</v>
      </c>
      <c r="DAN1098" s="8" t="s">
        <v>377</v>
      </c>
      <c r="DCJ1098" s="8" t="s">
        <v>377</v>
      </c>
      <c r="EAE1098" s="8" t="s">
        <v>11235</v>
      </c>
      <c r="ECA1098" s="8" t="s">
        <v>10356</v>
      </c>
    </row>
    <row r="1099" spans="1:1022 1105:3038 3086:4088 4102:4232 5931:5966">
      <c r="A1099" s="8" t="s">
        <v>9928</v>
      </c>
      <c r="B1099" s="10" t="s">
        <v>11220</v>
      </c>
      <c r="C1099" s="8">
        <v>947.88</v>
      </c>
      <c r="D1099" s="15">
        <v>1.63</v>
      </c>
      <c r="AJV1099" s="8" t="s">
        <v>11220</v>
      </c>
      <c r="BTS1099" s="8" t="s">
        <v>2892</v>
      </c>
      <c r="BVO1099" s="8" t="s">
        <v>2626</v>
      </c>
      <c r="CTD1099" s="8" t="s">
        <v>5671</v>
      </c>
      <c r="CTE1099" s="8" t="s">
        <v>5671</v>
      </c>
      <c r="CUY1099" s="8" t="s">
        <v>5015</v>
      </c>
      <c r="CUZ1099" s="8" t="s">
        <v>5015</v>
      </c>
      <c r="CVA1099" s="8" t="s">
        <v>5015</v>
      </c>
      <c r="CWV1099" s="8" t="s">
        <v>2072</v>
      </c>
      <c r="CYR1099" s="8" t="s">
        <v>1643</v>
      </c>
      <c r="DCJ1099" s="8" t="s">
        <v>1390</v>
      </c>
      <c r="DEF1099" s="8" t="s">
        <v>1390</v>
      </c>
      <c r="DGB1099" s="8" t="s">
        <v>1390</v>
      </c>
      <c r="DHX1099" s="8" t="s">
        <v>1390</v>
      </c>
      <c r="EFX1099" s="8" t="s">
        <v>11236</v>
      </c>
      <c r="EHT1099" s="8" t="s">
        <v>10357</v>
      </c>
    </row>
    <row r="1100" spans="1:1022 1105:3038 3086:4088 4102:4232 5931:5966">
      <c r="A1100" s="8" t="s">
        <v>9928</v>
      </c>
      <c r="B1100" s="10" t="s">
        <v>11221</v>
      </c>
      <c r="C1100" s="8">
        <v>950.5</v>
      </c>
      <c r="D1100" s="15">
        <v>31.25</v>
      </c>
      <c r="ALB1100" s="8" t="s">
        <v>11221</v>
      </c>
      <c r="CUZ1100" s="8" t="s">
        <v>5672</v>
      </c>
      <c r="CVA1100" s="8" t="s">
        <v>5672</v>
      </c>
      <c r="CWU1100" s="8" t="s">
        <v>5016</v>
      </c>
      <c r="CWV1100" s="8" t="s">
        <v>5016</v>
      </c>
      <c r="CWW1100" s="8" t="s">
        <v>5016</v>
      </c>
      <c r="CYR1100" s="8" t="s">
        <v>1644</v>
      </c>
      <c r="DCJ1100" s="8" t="s">
        <v>1391</v>
      </c>
      <c r="DEF1100" s="8" t="s">
        <v>1391</v>
      </c>
      <c r="DGB1100" s="8" t="s">
        <v>1391</v>
      </c>
      <c r="DHX1100" s="8" t="s">
        <v>2893</v>
      </c>
      <c r="DJT1100" s="8" t="s">
        <v>2627</v>
      </c>
      <c r="EYX1100" s="8" t="s">
        <v>11237</v>
      </c>
      <c r="FAT1100" s="8" t="s">
        <v>10358</v>
      </c>
    </row>
    <row r="1101" spans="1:1022 1105:3038 3086:4088 4102:4232 5931:5966">
      <c r="A1101" s="8" t="s">
        <v>9928</v>
      </c>
      <c r="B1101" s="10" t="s">
        <v>11222</v>
      </c>
      <c r="C1101" s="8">
        <v>982.75</v>
      </c>
      <c r="D1101" s="15">
        <v>31.25</v>
      </c>
      <c r="AMH1101" s="8" t="s">
        <v>11222</v>
      </c>
      <c r="DAN1101" s="8" t="s">
        <v>2073</v>
      </c>
      <c r="DCJ1101" s="8" t="s">
        <v>1645</v>
      </c>
      <c r="DGB1101" s="8" t="s">
        <v>378</v>
      </c>
      <c r="DHX1101" s="8" t="s">
        <v>378</v>
      </c>
      <c r="DIA1101" s="8" t="s">
        <v>5673</v>
      </c>
      <c r="DIB1101" s="8" t="s">
        <v>5673</v>
      </c>
      <c r="DJT1101" s="8" t="s">
        <v>378</v>
      </c>
      <c r="DJV1101" s="8" t="s">
        <v>5018</v>
      </c>
      <c r="DJW1101" s="8" t="s">
        <v>5018</v>
      </c>
      <c r="DJX1101" s="8" t="s">
        <v>5018</v>
      </c>
      <c r="DLP1101" s="8" t="s">
        <v>378</v>
      </c>
      <c r="DWR1101" s="8" t="s">
        <v>2894</v>
      </c>
      <c r="DYN1101" s="8" t="s">
        <v>2628</v>
      </c>
      <c r="FAF1101" s="8" t="s">
        <v>11238</v>
      </c>
      <c r="FCB1101" s="8" t="s">
        <v>10359</v>
      </c>
    </row>
    <row r="1102" spans="1:1022 1105:3038 3086:4088 4102:4232 5931:5966">
      <c r="A1102" s="8" t="s">
        <v>9928</v>
      </c>
      <c r="B1102" s="10" t="s">
        <v>11223</v>
      </c>
      <c r="C1102" s="8">
        <v>1091.0899999999999</v>
      </c>
      <c r="D1102" s="15">
        <v>6.25</v>
      </c>
      <c r="APM1102" s="8" t="s">
        <v>11223</v>
      </c>
      <c r="DCP1102" s="8" t="s">
        <v>2074</v>
      </c>
      <c r="DEL1102" s="8" t="s">
        <v>1646</v>
      </c>
      <c r="DID1102" s="8" t="s">
        <v>379</v>
      </c>
      <c r="DJZ1102" s="8" t="s">
        <v>379</v>
      </c>
      <c r="DLV1102" s="8" t="s">
        <v>379</v>
      </c>
      <c r="DNR1102" s="8" t="s">
        <v>379</v>
      </c>
      <c r="EAV1102" s="8" t="s">
        <v>5674</v>
      </c>
      <c r="EAW1102" s="8" t="s">
        <v>5674</v>
      </c>
      <c r="ECQ1102" s="8" t="s">
        <v>5019</v>
      </c>
      <c r="ECR1102" s="8" t="s">
        <v>5019</v>
      </c>
      <c r="ECS1102" s="8" t="s">
        <v>5019</v>
      </c>
      <c r="ELL1102" s="8" t="s">
        <v>2895</v>
      </c>
      <c r="ENH1102" s="8" t="s">
        <v>2629</v>
      </c>
      <c r="FDT1102" s="8" t="s">
        <v>11239</v>
      </c>
      <c r="FFP1102" s="8" t="s">
        <v>10360</v>
      </c>
    </row>
    <row r="1103" spans="1:1022 1105:3038 3086:4088 4102:4232 5931:5966">
      <c r="A1103" s="8" t="s">
        <v>9928</v>
      </c>
      <c r="B1103" s="10" t="s">
        <v>11224</v>
      </c>
      <c r="C1103" s="8">
        <v>1102.44</v>
      </c>
      <c r="D1103" s="15">
        <v>1.56</v>
      </c>
      <c r="APT1103" s="8" t="s">
        <v>11224</v>
      </c>
      <c r="DPN1103" s="8" t="s">
        <v>2075</v>
      </c>
      <c r="DRJ1103" s="8" t="s">
        <v>1647</v>
      </c>
      <c r="DVB1103" s="8" t="s">
        <v>380</v>
      </c>
      <c r="DWX1103" s="8" t="s">
        <v>380</v>
      </c>
      <c r="DYT1103" s="8" t="s">
        <v>380</v>
      </c>
      <c r="EAP1103" s="8" t="s">
        <v>380</v>
      </c>
      <c r="EBZ1103" s="8" t="s">
        <v>5675</v>
      </c>
      <c r="ECA1103" s="8" t="s">
        <v>5675</v>
      </c>
      <c r="EDU1103" s="8" t="s">
        <v>5020</v>
      </c>
      <c r="EDV1103" s="8" t="s">
        <v>5020</v>
      </c>
      <c r="EDW1103" s="8" t="s">
        <v>5020</v>
      </c>
      <c r="FDX1103" s="8" t="s">
        <v>11240</v>
      </c>
      <c r="FFT1103" s="8" t="s">
        <v>10361</v>
      </c>
    </row>
    <row r="1104" spans="1:1022 1105:3038 3086:4088 4102:4232 5931:5966">
      <c r="A1104" s="8" t="s">
        <v>9928</v>
      </c>
      <c r="B1104" s="10" t="s">
        <v>11225</v>
      </c>
      <c r="C1104" s="8">
        <v>1255.78</v>
      </c>
      <c r="D1104" s="15">
        <v>9.3800000000000008</v>
      </c>
      <c r="AVY1104" s="8" t="s">
        <v>11225</v>
      </c>
      <c r="DRD1104" s="8" t="s">
        <v>2076</v>
      </c>
      <c r="DSZ1104" s="8" t="s">
        <v>1648</v>
      </c>
      <c r="DWR1104" s="8" t="s">
        <v>381</v>
      </c>
      <c r="DYN1104" s="8" t="s">
        <v>381</v>
      </c>
      <c r="EAJ1104" s="8" t="s">
        <v>381</v>
      </c>
      <c r="ECF1104" s="8" t="s">
        <v>5676</v>
      </c>
      <c r="ECG1104" s="8" t="s">
        <v>5676</v>
      </c>
      <c r="EEA1104" s="8" t="s">
        <v>5021</v>
      </c>
      <c r="EEB1104" s="8" t="s">
        <v>5021</v>
      </c>
      <c r="EEC1104" s="8" t="s">
        <v>5021</v>
      </c>
    </row>
    <row r="1105" spans="1:4 1304:1962 2168:2682 3169:4089 4136:4280">
      <c r="A1105" s="8" t="s">
        <v>9928</v>
      </c>
      <c r="B1105" s="10" t="s">
        <v>11226</v>
      </c>
      <c r="C1105" s="8">
        <v>1289.75</v>
      </c>
      <c r="D1105" s="15">
        <v>6.25</v>
      </c>
      <c r="AXD1105" s="8" t="s">
        <v>11226</v>
      </c>
      <c r="DSZ1105" s="8" t="s">
        <v>2077</v>
      </c>
      <c r="DUV1105" s="8" t="s">
        <v>1649</v>
      </c>
      <c r="DYN1105" s="8" t="s">
        <v>382</v>
      </c>
      <c r="EAJ1105" s="8" t="s">
        <v>382</v>
      </c>
      <c r="ECF1105" s="8" t="s">
        <v>382</v>
      </c>
      <c r="EEB1105" s="8" t="s">
        <v>5677</v>
      </c>
      <c r="EEC1105" s="8" t="s">
        <v>5677</v>
      </c>
      <c r="EFW1105" s="8" t="s">
        <v>5022</v>
      </c>
      <c r="EFX1105" s="8" t="s">
        <v>5022</v>
      </c>
      <c r="EFY1105" s="8" t="s">
        <v>5022</v>
      </c>
    </row>
    <row r="1106" spans="1:4 1304:1962 2168:2682 3169:4089 4136:4280">
      <c r="A1106" s="8" t="s">
        <v>9928</v>
      </c>
      <c r="B1106" s="10" t="s">
        <v>14139</v>
      </c>
      <c r="C1106" s="8">
        <v>1484.75</v>
      </c>
      <c r="D1106" s="15">
        <v>3.25</v>
      </c>
      <c r="BEN1106" s="8" t="s">
        <v>14139</v>
      </c>
      <c r="BGJ1106" s="8" t="s">
        <v>681</v>
      </c>
      <c r="DUV1106" s="8" t="s">
        <v>2078</v>
      </c>
      <c r="DWR1106" s="8" t="s">
        <v>1650</v>
      </c>
      <c r="EAJ1106" s="8" t="s">
        <v>383</v>
      </c>
      <c r="ECF1106" s="8" t="s">
        <v>383</v>
      </c>
      <c r="EEB1106" s="8" t="s">
        <v>383</v>
      </c>
      <c r="EFX1106" s="8" t="s">
        <v>5678</v>
      </c>
      <c r="EFY1106" s="8" t="s">
        <v>5678</v>
      </c>
      <c r="EHS1106" s="8" t="s">
        <v>5023</v>
      </c>
      <c r="EHT1106" s="8" t="s">
        <v>5023</v>
      </c>
      <c r="EHU1106" s="8" t="s">
        <v>5023</v>
      </c>
    </row>
    <row r="1107" spans="1:4 1304:1962 2168:2682 3169:4089 4136:4280">
      <c r="A1107" s="8" t="s">
        <v>9928</v>
      </c>
      <c r="B1107" s="10" t="s">
        <v>14140</v>
      </c>
      <c r="C1107" s="8">
        <v>1571.83</v>
      </c>
      <c r="D1107" s="15">
        <v>32.5</v>
      </c>
      <c r="BIF1107" s="8" t="s">
        <v>414</v>
      </c>
      <c r="BIZ1107" s="8" t="s">
        <v>14140</v>
      </c>
      <c r="DWR1107" s="8" t="s">
        <v>2079</v>
      </c>
      <c r="DYN1107" s="8" t="s">
        <v>1651</v>
      </c>
      <c r="ECF1107" s="8" t="s">
        <v>384</v>
      </c>
      <c r="EEB1107" s="8" t="s">
        <v>384</v>
      </c>
      <c r="EFX1107" s="8" t="s">
        <v>384</v>
      </c>
      <c r="EHT1107" s="8" t="s">
        <v>5679</v>
      </c>
      <c r="EHU1107" s="8" t="s">
        <v>5679</v>
      </c>
      <c r="EJO1107" s="8" t="s">
        <v>5024</v>
      </c>
      <c r="EJP1107" s="8" t="s">
        <v>5024</v>
      </c>
      <c r="EJQ1107" s="8" t="s">
        <v>5024</v>
      </c>
    </row>
    <row r="1108" spans="1:4 1304:1962 2168:2682 3169:4089 4136:4280">
      <c r="A1108" s="8" t="s">
        <v>9928</v>
      </c>
      <c r="B1108" s="10" t="s">
        <v>11229</v>
      </c>
      <c r="C1108" s="8">
        <v>1605.33</v>
      </c>
      <c r="D1108" s="15">
        <v>31.25</v>
      </c>
      <c r="BKG1108" s="8" t="s">
        <v>11229</v>
      </c>
      <c r="BRL1108" s="8" t="s">
        <v>415</v>
      </c>
      <c r="DYN1108" s="8" t="s">
        <v>2080</v>
      </c>
      <c r="EAJ1108" s="8" t="s">
        <v>1652</v>
      </c>
      <c r="EEB1108" s="8" t="s">
        <v>385</v>
      </c>
      <c r="EFX1108" s="8" t="s">
        <v>385</v>
      </c>
      <c r="EHT1108" s="8" t="s">
        <v>385</v>
      </c>
      <c r="EJP1108" s="8" t="s">
        <v>5680</v>
      </c>
      <c r="EJQ1108" s="8" t="s">
        <v>5680</v>
      </c>
      <c r="ELK1108" s="8" t="s">
        <v>5025</v>
      </c>
      <c r="ELL1108" s="8" t="s">
        <v>5025</v>
      </c>
      <c r="ELM1108" s="8" t="s">
        <v>5025</v>
      </c>
    </row>
    <row r="1109" spans="1:4 1304:1962 2168:2682 3169:4089 4136:4280">
      <c r="A1109" s="8" t="s">
        <v>9928</v>
      </c>
      <c r="B1109" s="10" t="s">
        <v>14141</v>
      </c>
      <c r="C1109" s="8">
        <v>1613.31</v>
      </c>
      <c r="D1109" s="15">
        <v>3.25</v>
      </c>
      <c r="BJM1109" s="8" t="s">
        <v>14141</v>
      </c>
      <c r="BRL1109" s="8" t="s">
        <v>416</v>
      </c>
      <c r="EJP1109" s="8" t="s">
        <v>2081</v>
      </c>
      <c r="ELL1109" s="8" t="s">
        <v>5681</v>
      </c>
      <c r="ELM1109" s="8" t="s">
        <v>5681</v>
      </c>
      <c r="ENG1109" s="8" t="s">
        <v>5026</v>
      </c>
      <c r="ENH1109" s="8" t="s">
        <v>5026</v>
      </c>
      <c r="ENI1109" s="8" t="s">
        <v>5026</v>
      </c>
      <c r="EPD1109" s="8" t="s">
        <v>1392</v>
      </c>
      <c r="EQZ1109" s="8" t="s">
        <v>1392</v>
      </c>
      <c r="ESV1109" s="8" t="s">
        <v>1392</v>
      </c>
      <c r="EUR1109" s="8" t="s">
        <v>1392</v>
      </c>
    </row>
    <row r="1110" spans="1:4 1304:1962 2168:2682 3169:4089 4136:4280">
      <c r="A1110" s="8" t="s">
        <v>9928</v>
      </c>
      <c r="B1110" s="10" t="s">
        <v>14142</v>
      </c>
      <c r="C1110" s="8">
        <v>1676.79</v>
      </c>
      <c r="D1110" s="15">
        <v>0.65</v>
      </c>
      <c r="BLU1110" s="8" t="s">
        <v>14142</v>
      </c>
      <c r="BRM1110" s="8" t="s">
        <v>417</v>
      </c>
      <c r="EQZ1110" s="8" t="s">
        <v>5682</v>
      </c>
      <c r="ERA1110" s="8" t="s">
        <v>5682</v>
      </c>
      <c r="ESU1110" s="8" t="s">
        <v>5027</v>
      </c>
      <c r="ESV1110" s="8" t="s">
        <v>5027</v>
      </c>
      <c r="ESW1110" s="8" t="s">
        <v>5027</v>
      </c>
      <c r="EWN1110" s="8" t="s">
        <v>2082</v>
      </c>
      <c r="EYJ1110" s="8" t="s">
        <v>1653</v>
      </c>
      <c r="FCB1110" s="8" t="s">
        <v>1332</v>
      </c>
      <c r="FDX1110" s="8" t="s">
        <v>1332</v>
      </c>
      <c r="FFT1110" s="8" t="s">
        <v>1332</v>
      </c>
      <c r="FHP1110" s="8" t="s">
        <v>1332</v>
      </c>
    </row>
    <row r="1111" spans="1:4 1304:1962 2168:2682 3169:4089 4136:4280">
      <c r="A1111" s="8" t="s">
        <v>9928</v>
      </c>
      <c r="B1111" s="10" t="s">
        <v>11231</v>
      </c>
      <c r="C1111" s="8">
        <v>1678.44</v>
      </c>
      <c r="D1111" s="15">
        <v>1.56</v>
      </c>
      <c r="BAA1111" s="8" t="s">
        <v>388</v>
      </c>
      <c r="BLX1111" s="8" t="s">
        <v>11231</v>
      </c>
      <c r="BSW1111" s="8" t="s">
        <v>418</v>
      </c>
      <c r="ESV1111" s="8" t="s">
        <v>5683</v>
      </c>
      <c r="ESW1111" s="8" t="s">
        <v>5683</v>
      </c>
      <c r="EUQ1111" s="8" t="s">
        <v>5028</v>
      </c>
      <c r="EUR1111" s="8" t="s">
        <v>5028</v>
      </c>
      <c r="EUS1111" s="8" t="s">
        <v>5028</v>
      </c>
    </row>
    <row r="1112" spans="1:4 1304:1962 2168:2682 3169:4089 4136:4280">
      <c r="A1112" s="8" t="s">
        <v>9928</v>
      </c>
      <c r="B1112" s="10" t="s">
        <v>11232</v>
      </c>
      <c r="C1112" s="8">
        <v>1822.44</v>
      </c>
      <c r="D1112" s="15">
        <v>1.56</v>
      </c>
      <c r="BAU1112" s="8" t="s">
        <v>389</v>
      </c>
      <c r="BRL1112" s="8" t="s">
        <v>11232</v>
      </c>
      <c r="BUF1112" s="8" t="s">
        <v>419</v>
      </c>
      <c r="EUR1112" s="8" t="s">
        <v>5684</v>
      </c>
      <c r="EUS1112" s="8" t="s">
        <v>5684</v>
      </c>
      <c r="EWM1112" s="8" t="s">
        <v>5029</v>
      </c>
      <c r="EWN1112" s="8" t="s">
        <v>5029</v>
      </c>
      <c r="EWO1112" s="8" t="s">
        <v>5029</v>
      </c>
    </row>
    <row r="1113" spans="1:4 1304:1962 2168:2682 3169:4089 4136:4280">
      <c r="A1113" s="8" t="s">
        <v>9928</v>
      </c>
      <c r="B1113" s="10" t="s">
        <v>14143</v>
      </c>
      <c r="C1113" s="8">
        <v>1918.38</v>
      </c>
      <c r="D1113" s="15">
        <v>1.63</v>
      </c>
      <c r="BCH1113" s="8" t="s">
        <v>390</v>
      </c>
      <c r="BVD1113" s="8" t="s">
        <v>14143</v>
      </c>
      <c r="BWI1113" s="8" t="s">
        <v>420</v>
      </c>
      <c r="EWN1113" s="8" t="s">
        <v>5685</v>
      </c>
      <c r="EWO1113" s="8" t="s">
        <v>5685</v>
      </c>
      <c r="EYI1113" s="8" t="s">
        <v>5030</v>
      </c>
      <c r="EYJ1113" s="8" t="s">
        <v>5030</v>
      </c>
      <c r="EYK1113" s="8" t="s">
        <v>5030</v>
      </c>
    </row>
    <row r="1114" spans="1:4 1304:1962 2168:2682 3169:4089 4136:4280">
      <c r="A1114" s="8" t="s">
        <v>9928</v>
      </c>
      <c r="B1114" s="10" t="s">
        <v>11233</v>
      </c>
      <c r="C1114" s="8">
        <v>1923.02</v>
      </c>
      <c r="D1114" s="15">
        <v>31.25</v>
      </c>
      <c r="BCX1114" s="8" t="s">
        <v>391</v>
      </c>
      <c r="BVI1114" s="8" t="s">
        <v>421</v>
      </c>
      <c r="BWL1114" s="8" t="s">
        <v>11233</v>
      </c>
      <c r="EYJ1114" s="8" t="s">
        <v>5686</v>
      </c>
      <c r="EYK1114" s="8" t="s">
        <v>5686</v>
      </c>
      <c r="FAE1114" s="8" t="s">
        <v>5031</v>
      </c>
      <c r="FAF1114" s="8" t="s">
        <v>5031</v>
      </c>
      <c r="FAG1114" s="8" t="s">
        <v>5031</v>
      </c>
    </row>
    <row r="1115" spans="1:4 1304:1962 2168:2682 3169:4089 4136:4280">
      <c r="A1115" s="8" t="s">
        <v>9928</v>
      </c>
      <c r="B1115" s="10" t="s">
        <v>11234</v>
      </c>
      <c r="C1115" s="8">
        <v>2348.88</v>
      </c>
      <c r="D1115" s="15">
        <v>3.13</v>
      </c>
      <c r="BDG1115" s="8" t="s">
        <v>392</v>
      </c>
      <c r="CEJ1115" s="8" t="s">
        <v>422</v>
      </c>
      <c r="CLT1115" s="8" t="s">
        <v>11234</v>
      </c>
      <c r="FCB1115" s="8" t="s">
        <v>5687</v>
      </c>
      <c r="FCC1115" s="8" t="s">
        <v>5687</v>
      </c>
      <c r="FDW1115" s="8" t="s">
        <v>5032</v>
      </c>
      <c r="FDX1115" s="8" t="s">
        <v>5032</v>
      </c>
      <c r="FDY1115" s="8" t="s">
        <v>5032</v>
      </c>
    </row>
    <row r="1116" spans="1:4 1304:1962 2168:2682 3169:4089 4136:4280">
      <c r="A1116" s="8" t="s">
        <v>9928</v>
      </c>
      <c r="B1116" s="10" t="s">
        <v>14144</v>
      </c>
      <c r="C1116" s="8">
        <v>2671.1</v>
      </c>
      <c r="D1116" s="15">
        <v>3.25</v>
      </c>
      <c r="BEN1116" s="8" t="s">
        <v>393</v>
      </c>
      <c r="CEJ1116" s="8" t="s">
        <v>423</v>
      </c>
      <c r="CYD1116" s="8" t="s">
        <v>14144</v>
      </c>
      <c r="FCB1116" s="8" t="s">
        <v>5688</v>
      </c>
      <c r="FCC1116" s="8" t="s">
        <v>5688</v>
      </c>
      <c r="FDW1116" s="8" t="s">
        <v>5033</v>
      </c>
      <c r="FDX1116" s="8" t="s">
        <v>5033</v>
      </c>
      <c r="FDY1116" s="8" t="s">
        <v>5033</v>
      </c>
    </row>
    <row r="1117" spans="1:4 1304:1962 2168:2682 3169:4089 4136:4280">
      <c r="A1117" s="8" t="s">
        <v>9928</v>
      </c>
      <c r="B1117" s="10" t="s">
        <v>14145</v>
      </c>
      <c r="C1117" s="8">
        <v>3157.4</v>
      </c>
      <c r="D1117" s="15">
        <v>3.25</v>
      </c>
      <c r="BEN1117" s="8" t="s">
        <v>394</v>
      </c>
      <c r="CGQ1117" s="8" t="s">
        <v>424</v>
      </c>
      <c r="DQW1117" s="8" t="s">
        <v>14145</v>
      </c>
    </row>
    <row r="1118" spans="1:4 1304:1962 2168:2682 3169:4089 4136:4280">
      <c r="A1118" s="8" t="s">
        <v>9928</v>
      </c>
      <c r="B1118" s="10" t="s">
        <v>11235</v>
      </c>
      <c r="C1118" s="8">
        <v>3252.96</v>
      </c>
      <c r="D1118" s="15">
        <v>6.25</v>
      </c>
      <c r="BDU1118" s="8" t="s">
        <v>5039</v>
      </c>
      <c r="BDV1118" s="8" t="s">
        <v>5039</v>
      </c>
      <c r="BFO1118" s="8" t="s">
        <v>395</v>
      </c>
      <c r="CHT1118" s="8" t="s">
        <v>425</v>
      </c>
      <c r="DUQ1118" s="8" t="s">
        <v>11235</v>
      </c>
    </row>
    <row r="1119" spans="1:4 1304:1962 2168:2682 3169:4089 4136:4280">
      <c r="A1119" s="8" t="s">
        <v>9928</v>
      </c>
      <c r="B1119" s="10" t="s">
        <v>11236</v>
      </c>
      <c r="C1119" s="8">
        <v>3402.22</v>
      </c>
      <c r="D1119" s="15">
        <v>6.25</v>
      </c>
      <c r="AYZ1119" s="8" t="s">
        <v>358</v>
      </c>
      <c r="BEE1119" s="8" t="s">
        <v>5040</v>
      </c>
      <c r="BEF1119" s="8" t="s">
        <v>5040</v>
      </c>
      <c r="BGJ1119" s="8" t="s">
        <v>396</v>
      </c>
      <c r="CMF1119" s="8" t="s">
        <v>426</v>
      </c>
      <c r="EAJ1119" s="8" t="s">
        <v>11236</v>
      </c>
    </row>
    <row r="1120" spans="1:4 1304:1962 2168:2682 3169:4089 4136:4280">
      <c r="A1120" s="8" t="s">
        <v>9928</v>
      </c>
      <c r="B1120" s="10" t="s">
        <v>14146</v>
      </c>
      <c r="C1120" s="8">
        <v>3734.25</v>
      </c>
      <c r="D1120" s="15">
        <v>9.75</v>
      </c>
      <c r="AYZ1120" s="8" t="s">
        <v>359</v>
      </c>
      <c r="BAV1120" s="8" t="s">
        <v>359</v>
      </c>
      <c r="BEZ1120" s="8" t="s">
        <v>5041</v>
      </c>
      <c r="BFA1120" s="8" t="s">
        <v>5041</v>
      </c>
      <c r="BPV1120" s="8" t="s">
        <v>397</v>
      </c>
      <c r="CNJ1120" s="8" t="s">
        <v>427</v>
      </c>
      <c r="ENH1120" s="8" t="s">
        <v>14146</v>
      </c>
    </row>
    <row r="1121" spans="1:79 1352:2037 2054:3056 3085:4040">
      <c r="A1121" s="8" t="s">
        <v>9928</v>
      </c>
      <c r="B1121" s="10" t="s">
        <v>14147</v>
      </c>
      <c r="C1121" s="8">
        <v>3899.09</v>
      </c>
      <c r="D1121" s="15">
        <v>3.41</v>
      </c>
      <c r="BAV1121" s="8" t="s">
        <v>360</v>
      </c>
      <c r="BBQ1121" s="8" t="s">
        <v>4983</v>
      </c>
      <c r="BCR1121" s="8" t="s">
        <v>360</v>
      </c>
      <c r="BDM1121" s="8" t="s">
        <v>4983</v>
      </c>
      <c r="BDN1121" s="8" t="s">
        <v>4983</v>
      </c>
      <c r="BGJ1121" s="8" t="s">
        <v>5042</v>
      </c>
      <c r="BGK1121" s="8" t="s">
        <v>5042</v>
      </c>
      <c r="BRL1121" s="8" t="s">
        <v>398</v>
      </c>
      <c r="CON1121" s="8" t="s">
        <v>428</v>
      </c>
      <c r="ETJ1121" s="8" t="s">
        <v>14147</v>
      </c>
    </row>
    <row r="1122" spans="1:79 1352:2037 2054:3056 3085:4040">
      <c r="A1122" s="8" t="s">
        <v>9928</v>
      </c>
      <c r="B1122" s="10" t="s">
        <v>11238</v>
      </c>
      <c r="C1122" s="8">
        <v>3903.5</v>
      </c>
      <c r="D1122" s="15">
        <v>32.5</v>
      </c>
      <c r="BCK1122" s="8" t="s">
        <v>361</v>
      </c>
      <c r="BDO1122" s="8" t="s">
        <v>4984</v>
      </c>
      <c r="BEG1122" s="8" t="s">
        <v>361</v>
      </c>
      <c r="BFK1122" s="8" t="s">
        <v>4984</v>
      </c>
      <c r="BFL1122" s="8" t="s">
        <v>4984</v>
      </c>
      <c r="BHO1122" s="8" t="s">
        <v>5043</v>
      </c>
      <c r="BHP1122" s="8" t="s">
        <v>5043</v>
      </c>
      <c r="BRL1122" s="8" t="s">
        <v>399</v>
      </c>
      <c r="CPQ1122" s="8" t="s">
        <v>429</v>
      </c>
      <c r="EUR1122" s="8" t="s">
        <v>11238</v>
      </c>
    </row>
    <row r="1123" spans="1:79 1352:2037 2054:3056 3085:4040">
      <c r="A1123" s="8" t="s">
        <v>9928</v>
      </c>
      <c r="B1123" s="10" t="s">
        <v>11239</v>
      </c>
      <c r="C1123" s="8">
        <v>4022.23</v>
      </c>
      <c r="D1123" s="15">
        <v>5.53</v>
      </c>
      <c r="BDX1123" s="8" t="s">
        <v>362</v>
      </c>
      <c r="BFT1123" s="8" t="s">
        <v>362</v>
      </c>
      <c r="BIQ1123" s="8" t="s">
        <v>5045</v>
      </c>
      <c r="BIR1123" s="8" t="s">
        <v>5045</v>
      </c>
      <c r="BKB1123" s="8" t="s">
        <v>4985</v>
      </c>
      <c r="BLX1123" s="8" t="s">
        <v>4985</v>
      </c>
      <c r="BLY1123" s="8" t="s">
        <v>4985</v>
      </c>
      <c r="BRT1123" s="8" t="s">
        <v>400</v>
      </c>
      <c r="CVC1123" s="8" t="s">
        <v>430</v>
      </c>
      <c r="EYF1123" s="8" t="s">
        <v>11239</v>
      </c>
    </row>
    <row r="1124" spans="1:79 1352:2037 2054:3056 3085:4040">
      <c r="A1124" s="8" t="s">
        <v>9928</v>
      </c>
      <c r="B1124" s="10" t="s">
        <v>14148</v>
      </c>
      <c r="C1124" s="8">
        <v>4028.75</v>
      </c>
      <c r="D1124" s="15">
        <v>3.25</v>
      </c>
      <c r="BEN1124" s="8" t="s">
        <v>1055</v>
      </c>
      <c r="BFE1124" s="8" t="s">
        <v>363</v>
      </c>
      <c r="BGJ1124" s="8" t="s">
        <v>1055</v>
      </c>
      <c r="BHA1124" s="8" t="s">
        <v>363</v>
      </c>
      <c r="BKB1124" s="8" t="s">
        <v>5046</v>
      </c>
      <c r="BKC1124" s="8" t="s">
        <v>5046</v>
      </c>
      <c r="BTH1124" s="8" t="s">
        <v>401</v>
      </c>
      <c r="BVD1124" s="8" t="s">
        <v>4986</v>
      </c>
      <c r="BWZ1124" s="8" t="s">
        <v>4986</v>
      </c>
      <c r="BXA1124" s="8" t="s">
        <v>4986</v>
      </c>
      <c r="DHS1124" s="8" t="s">
        <v>431</v>
      </c>
      <c r="EYJ1124" s="8" t="s">
        <v>14148</v>
      </c>
    </row>
    <row r="1125" spans="1:79 1352:2037 2054:3056 3085:4040">
      <c r="A1125" s="8" t="s">
        <v>9929</v>
      </c>
      <c r="B1125" s="10" t="s">
        <v>11241</v>
      </c>
      <c r="C1125" s="8">
        <v>-191</v>
      </c>
      <c r="D1125" s="15">
        <v>10.89</v>
      </c>
      <c r="H1125" s="8" t="s">
        <v>11241</v>
      </c>
      <c r="BAV1125" s="8" t="s">
        <v>414</v>
      </c>
      <c r="BEN1125" s="8" t="s">
        <v>1056</v>
      </c>
      <c r="BFL1125" s="8" t="s">
        <v>414</v>
      </c>
      <c r="BGJ1125" s="8" t="s">
        <v>364</v>
      </c>
      <c r="BIF1125" s="8" t="s">
        <v>364</v>
      </c>
      <c r="BLX1125" s="8" t="s">
        <v>5047</v>
      </c>
      <c r="BLY1125" s="8" t="s">
        <v>5047</v>
      </c>
      <c r="BUA1125" s="8" t="s">
        <v>402</v>
      </c>
      <c r="CAG1125" s="8" t="s">
        <v>4987</v>
      </c>
      <c r="CCC1125" s="8" t="s">
        <v>4987</v>
      </c>
      <c r="CCD1125" s="8" t="s">
        <v>4987</v>
      </c>
      <c r="DJC1125" s="8" t="s">
        <v>432</v>
      </c>
    </row>
    <row r="1126" spans="1:79 1352:2037 2054:3056 3085:4040">
      <c r="A1126" s="8" t="s">
        <v>9929</v>
      </c>
      <c r="B1126" s="10" t="s">
        <v>11242</v>
      </c>
      <c r="C1126" s="8">
        <v>-176.65</v>
      </c>
      <c r="D1126" s="15">
        <v>16.739999999999998</v>
      </c>
      <c r="H1126" s="8" t="s">
        <v>11242</v>
      </c>
      <c r="AYZ1126" s="8" t="s">
        <v>1057</v>
      </c>
      <c r="BCR1126" s="8" t="s">
        <v>415</v>
      </c>
      <c r="BHL1126" s="8" t="s">
        <v>365</v>
      </c>
      <c r="BIF1126" s="8" t="s">
        <v>415</v>
      </c>
      <c r="BJH1126" s="8" t="s">
        <v>365</v>
      </c>
      <c r="BPP1126" s="8" t="s">
        <v>1057</v>
      </c>
      <c r="BQB1126" s="8" t="s">
        <v>5049</v>
      </c>
      <c r="BQC1126" s="8" t="s">
        <v>5049</v>
      </c>
      <c r="BRL1126" s="8" t="s">
        <v>1057</v>
      </c>
      <c r="BVN1126" s="8" t="s">
        <v>403</v>
      </c>
      <c r="CAX1126" s="8" t="s">
        <v>4988</v>
      </c>
      <c r="CAY1126" s="8" t="s">
        <v>4988</v>
      </c>
      <c r="CCT1126" s="8" t="s">
        <v>4988</v>
      </c>
      <c r="CCU1126" s="8" t="s">
        <v>4988</v>
      </c>
      <c r="DKF1126" s="8" t="s">
        <v>433</v>
      </c>
    </row>
    <row r="1127" spans="1:79 1352:2037 2054:3056 3085:4040">
      <c r="A1127" s="8" t="s">
        <v>9929</v>
      </c>
      <c r="B1127" s="10" t="s">
        <v>11243</v>
      </c>
      <c r="C1127" s="8">
        <v>-151.38999999999999</v>
      </c>
      <c r="D1127" s="15">
        <v>6.5</v>
      </c>
      <c r="H1127" s="8" t="s">
        <v>11243</v>
      </c>
      <c r="BIF1127" s="8" t="s">
        <v>366</v>
      </c>
      <c r="BKB1127" s="8" t="s">
        <v>366</v>
      </c>
      <c r="BLX1127" s="8" t="s">
        <v>416</v>
      </c>
      <c r="BPP1127" s="8" t="s">
        <v>1058</v>
      </c>
      <c r="BQH1127" s="8" t="s">
        <v>5050</v>
      </c>
      <c r="BQI1127" s="8" t="s">
        <v>5050</v>
      </c>
      <c r="BRL1127" s="8" t="s">
        <v>1058</v>
      </c>
      <c r="CCN1127" s="8" t="s">
        <v>404</v>
      </c>
      <c r="DAN1127" s="8" t="s">
        <v>4989</v>
      </c>
      <c r="DCJ1127" s="8" t="s">
        <v>4989</v>
      </c>
      <c r="DCK1127" s="8" t="s">
        <v>4989</v>
      </c>
      <c r="DLJ1127" s="8" t="s">
        <v>434</v>
      </c>
    </row>
    <row r="1128" spans="1:79 1352:2037 2054:3056 3085:4040">
      <c r="A1128" s="8" t="s">
        <v>9929</v>
      </c>
      <c r="B1128" s="10" t="s">
        <v>11244</v>
      </c>
      <c r="C1128" s="8">
        <v>-143</v>
      </c>
      <c r="D1128" s="15">
        <v>3.25</v>
      </c>
      <c r="H1128" s="8" t="s">
        <v>11244</v>
      </c>
      <c r="BLX1128" s="8" t="s">
        <v>417</v>
      </c>
      <c r="BMD1128" s="8" t="s">
        <v>367</v>
      </c>
      <c r="BNZ1128" s="8" t="s">
        <v>367</v>
      </c>
      <c r="BPQ1128" s="8" t="s">
        <v>1059</v>
      </c>
      <c r="BRL1128" s="8" t="s">
        <v>5051</v>
      </c>
      <c r="BRM1128" s="8" t="s">
        <v>5051</v>
      </c>
      <c r="BSR1128" s="8" t="s">
        <v>417</v>
      </c>
      <c r="CDK1128" s="8" t="s">
        <v>405</v>
      </c>
      <c r="DMN1128" s="8" t="s">
        <v>435</v>
      </c>
      <c r="ELL1128" s="8" t="s">
        <v>4990</v>
      </c>
      <c r="ELM1128" s="8" t="s">
        <v>4990</v>
      </c>
      <c r="ENH1128" s="8" t="s">
        <v>4990</v>
      </c>
      <c r="ENI1128" s="8" t="s">
        <v>4990</v>
      </c>
    </row>
    <row r="1129" spans="1:79 1352:2037 2054:3056 3085:4040">
      <c r="A1129" s="8" t="s">
        <v>9929</v>
      </c>
      <c r="B1129" s="10" t="s">
        <v>11245</v>
      </c>
      <c r="C1129" s="8">
        <v>-95</v>
      </c>
      <c r="D1129" s="15">
        <v>3.25</v>
      </c>
      <c r="H1129" s="8" t="s">
        <v>11245</v>
      </c>
      <c r="BLY1129" s="8" t="s">
        <v>418</v>
      </c>
      <c r="BNR1129" s="8" t="s">
        <v>368</v>
      </c>
      <c r="BNY1129" s="8" t="s">
        <v>418</v>
      </c>
      <c r="BPN1129" s="8" t="s">
        <v>368</v>
      </c>
      <c r="BPQ1129" s="8" t="s">
        <v>1060</v>
      </c>
      <c r="BRA1129" s="8" t="s">
        <v>1060</v>
      </c>
      <c r="BRM1129" s="8" t="s">
        <v>418</v>
      </c>
      <c r="BSW1129" s="8" t="s">
        <v>1060</v>
      </c>
      <c r="BTH1129" s="8" t="s">
        <v>5052</v>
      </c>
      <c r="BTI1129" s="8" t="s">
        <v>5052</v>
      </c>
      <c r="CIW1129" s="8" t="s">
        <v>406</v>
      </c>
      <c r="DNQ1129" s="8" t="s">
        <v>436</v>
      </c>
      <c r="EPD1129" s="8" t="s">
        <v>4991</v>
      </c>
      <c r="EQZ1129" s="8" t="s">
        <v>4991</v>
      </c>
      <c r="ERA1129" s="8" t="s">
        <v>4991</v>
      </c>
    </row>
    <row r="1130" spans="1:79 1352:2037 2054:3056 3085:4040">
      <c r="A1130" s="8" t="s">
        <v>9929</v>
      </c>
      <c r="B1130" s="10" t="s">
        <v>11248</v>
      </c>
      <c r="C1130" s="8">
        <v>-47</v>
      </c>
      <c r="D1130" s="15">
        <v>6.5</v>
      </c>
      <c r="H1130" s="8" t="s">
        <v>11248</v>
      </c>
      <c r="BNI1130" s="8" t="s">
        <v>419</v>
      </c>
      <c r="BSJ1130" s="8" t="s">
        <v>1061</v>
      </c>
      <c r="BSW1130" s="8" t="s">
        <v>1061</v>
      </c>
      <c r="BTH1130" s="8" t="s">
        <v>5053</v>
      </c>
      <c r="BTI1130" s="8" t="s">
        <v>5053</v>
      </c>
      <c r="BUF1130" s="8" t="s">
        <v>1061</v>
      </c>
      <c r="BVD1130" s="8" t="s">
        <v>369</v>
      </c>
      <c r="BWZ1130" s="8" t="s">
        <v>369</v>
      </c>
      <c r="DCJ1130" s="8" t="s">
        <v>407</v>
      </c>
      <c r="DPH1130" s="8" t="s">
        <v>437</v>
      </c>
      <c r="EUR1130" s="8" t="s">
        <v>4992</v>
      </c>
      <c r="EWN1130" s="8" t="s">
        <v>4992</v>
      </c>
      <c r="EWO1130" s="8" t="s">
        <v>4992</v>
      </c>
    </row>
    <row r="1131" spans="1:79 1352:2037 2054:3056 3085:4040">
      <c r="A1131" s="8" t="s">
        <v>9929</v>
      </c>
      <c r="B1131" s="10" t="s">
        <v>11246</v>
      </c>
      <c r="C1131" s="8">
        <v>-26.67</v>
      </c>
      <c r="D1131" s="15">
        <v>3.25</v>
      </c>
      <c r="H1131" s="8" t="s">
        <v>11246</v>
      </c>
      <c r="BOR1131" s="8" t="s">
        <v>420</v>
      </c>
      <c r="BPC1131" s="8" t="s">
        <v>420</v>
      </c>
      <c r="BQN1131" s="8" t="s">
        <v>1062</v>
      </c>
      <c r="BUF1131" s="8" t="s">
        <v>420</v>
      </c>
      <c r="BUJ1131" s="8" t="s">
        <v>5054</v>
      </c>
      <c r="BUK1131" s="8" t="s">
        <v>5054</v>
      </c>
      <c r="BUM1131" s="8" t="s">
        <v>1062</v>
      </c>
      <c r="BVD1131" s="8" t="s">
        <v>370</v>
      </c>
      <c r="BWI1131" s="8" t="s">
        <v>1062</v>
      </c>
      <c r="BWZ1131" s="8" t="s">
        <v>370</v>
      </c>
      <c r="DHM1131" s="8" t="s">
        <v>408</v>
      </c>
      <c r="DRD1131" s="8" t="s">
        <v>438</v>
      </c>
    </row>
    <row r="1132" spans="1:79 1352:2037 2054:3056 3085:4040">
      <c r="A1132" s="8" t="s">
        <v>9929</v>
      </c>
      <c r="B1132" s="10" t="s">
        <v>11247</v>
      </c>
      <c r="C1132" s="8">
        <v>-22.42</v>
      </c>
      <c r="D1132" s="15">
        <v>9.75</v>
      </c>
      <c r="H1132" s="8" t="s">
        <v>11247</v>
      </c>
      <c r="BQU1132" s="8" t="s">
        <v>421</v>
      </c>
      <c r="BTM1132" s="8" t="s">
        <v>1063</v>
      </c>
      <c r="BVI1132" s="8" t="s">
        <v>1063</v>
      </c>
      <c r="BWI1132" s="8" t="s">
        <v>421</v>
      </c>
      <c r="BWZ1132" s="8" t="s">
        <v>5056</v>
      </c>
      <c r="BXA1132" s="8" t="s">
        <v>5056</v>
      </c>
      <c r="BXD1132" s="8" t="s">
        <v>372</v>
      </c>
      <c r="BYD1132" s="8" t="s">
        <v>371</v>
      </c>
      <c r="BYE1132" s="8" t="s">
        <v>1063</v>
      </c>
      <c r="BYW1132" s="8" t="s">
        <v>421</v>
      </c>
      <c r="BZZ1132" s="8" t="s">
        <v>371</v>
      </c>
      <c r="DID1132" s="8" t="s">
        <v>409</v>
      </c>
      <c r="DSZ1132" s="8" t="s">
        <v>439</v>
      </c>
    </row>
    <row r="1133" spans="1:79 1352:2037 2054:3056 3085:4040">
      <c r="A1133" s="8" t="s">
        <v>9929</v>
      </c>
      <c r="B1133" s="10" t="s">
        <v>11249</v>
      </c>
      <c r="C1133" s="8">
        <v>17.91</v>
      </c>
      <c r="D1133" s="15">
        <v>7.48</v>
      </c>
      <c r="AG1133" s="8" t="s">
        <v>11249</v>
      </c>
      <c r="BLX1133" s="8" t="s">
        <v>422</v>
      </c>
      <c r="BMC1133" s="8" t="s">
        <v>1064</v>
      </c>
      <c r="BPU1133" s="8" t="s">
        <v>422</v>
      </c>
      <c r="BVI1133" s="8" t="s">
        <v>422</v>
      </c>
      <c r="BXD1133" s="8" t="s">
        <v>372</v>
      </c>
      <c r="BXM1133" s="8" t="s">
        <v>373</v>
      </c>
      <c r="BYZ1133" s="8" t="s">
        <v>372</v>
      </c>
      <c r="CCN1133" s="8" t="s">
        <v>1064</v>
      </c>
      <c r="CEJ1133" s="8" t="s">
        <v>1064</v>
      </c>
      <c r="CEN1133" s="8" t="s">
        <v>5058</v>
      </c>
      <c r="CEO1133" s="8" t="s">
        <v>5058</v>
      </c>
      <c r="DUV1133" s="8" t="s">
        <v>440</v>
      </c>
    </row>
    <row r="1134" spans="1:79 1352:2037 2054:3056 3085:4040">
      <c r="A1134" s="8" t="s">
        <v>9929</v>
      </c>
      <c r="B1134" s="10" t="s">
        <v>11254</v>
      </c>
      <c r="C1134" s="8">
        <v>17.91</v>
      </c>
      <c r="D1134" s="15">
        <v>4.88</v>
      </c>
      <c r="AE1134" s="8" t="s">
        <v>11254</v>
      </c>
      <c r="BXM1134" s="8" t="s">
        <v>373</v>
      </c>
      <c r="BYD1134" s="8" t="s">
        <v>371</v>
      </c>
      <c r="BYV1134" s="8" t="s">
        <v>423</v>
      </c>
      <c r="BZI1134" s="8" t="s">
        <v>373</v>
      </c>
      <c r="CCN1134" s="8" t="s">
        <v>1065</v>
      </c>
      <c r="CEJ1134" s="8" t="s">
        <v>1065</v>
      </c>
      <c r="CFN1134" s="8" t="s">
        <v>5059</v>
      </c>
      <c r="CFO1134" s="8" t="s">
        <v>5059</v>
      </c>
      <c r="EES1134" s="8" t="s">
        <v>441</v>
      </c>
    </row>
    <row r="1135" spans="1:79 1352:2037 2054:3056 3085:4040">
      <c r="A1135" s="8" t="s">
        <v>9929</v>
      </c>
      <c r="B1135" s="10" t="s">
        <v>11252</v>
      </c>
      <c r="C1135" s="8">
        <v>42.47</v>
      </c>
      <c r="D1135" s="15">
        <v>3.25</v>
      </c>
      <c r="BB1135" s="8" t="s">
        <v>11252</v>
      </c>
      <c r="BYV1135" s="8" t="s">
        <v>424</v>
      </c>
      <c r="CCN1135" s="8" t="s">
        <v>1066</v>
      </c>
      <c r="CCY1135" s="8" t="s">
        <v>424</v>
      </c>
      <c r="CEJ1135" s="8" t="s">
        <v>424</v>
      </c>
      <c r="CEU1135" s="8" t="s">
        <v>1066</v>
      </c>
      <c r="CGF1135" s="8" t="s">
        <v>5060</v>
      </c>
      <c r="CGG1135" s="8" t="s">
        <v>5060</v>
      </c>
      <c r="CGQ1135" s="8" t="s">
        <v>1066</v>
      </c>
      <c r="CTD1135" s="8" t="s">
        <v>374</v>
      </c>
      <c r="CUZ1135" s="8" t="s">
        <v>374</v>
      </c>
      <c r="EHT1135" s="8" t="s">
        <v>442</v>
      </c>
    </row>
    <row r="1136" spans="1:79 1352:2037 2054:3056 3085:4040">
      <c r="A1136" s="8" t="s">
        <v>9929</v>
      </c>
      <c r="B1136" s="10" t="s">
        <v>11259</v>
      </c>
      <c r="C1136" s="8">
        <v>68.209999999999994</v>
      </c>
      <c r="D1136" s="15">
        <v>3.25</v>
      </c>
      <c r="CA1136" s="8" t="s">
        <v>11259</v>
      </c>
      <c r="CBC1136" s="8" t="s">
        <v>425</v>
      </c>
      <c r="CEB1136" s="8" t="s">
        <v>425</v>
      </c>
      <c r="CEU1136" s="8" t="s">
        <v>1067</v>
      </c>
      <c r="CFX1136" s="8" t="s">
        <v>1067</v>
      </c>
      <c r="CGQ1136" s="8" t="s">
        <v>425</v>
      </c>
      <c r="CHT1136" s="8" t="s">
        <v>1067</v>
      </c>
      <c r="CIB1136" s="8" t="s">
        <v>5061</v>
      </c>
      <c r="CIC1136" s="8" t="s">
        <v>5061</v>
      </c>
      <c r="CUZ1136" s="8" t="s">
        <v>375</v>
      </c>
      <c r="CWV1136" s="8" t="s">
        <v>375</v>
      </c>
      <c r="EJP1136" s="8" t="s">
        <v>443</v>
      </c>
    </row>
    <row r="1137" spans="1:409 1397:1616 2112:3056 3080:3995 4280:4328">
      <c r="A1137" s="8" t="s">
        <v>9929</v>
      </c>
      <c r="B1137" s="10" t="s">
        <v>11256</v>
      </c>
      <c r="C1137" s="8">
        <v>68.209999999999994</v>
      </c>
      <c r="D1137" s="15">
        <v>6.5</v>
      </c>
      <c r="CE1137" s="8" t="s">
        <v>11256</v>
      </c>
      <c r="CCF1137" s="8" t="s">
        <v>426</v>
      </c>
      <c r="CEB1137" s="8" t="s">
        <v>1068</v>
      </c>
      <c r="CEV1137" s="8" t="s">
        <v>426</v>
      </c>
      <c r="CHT1137" s="8" t="s">
        <v>426</v>
      </c>
      <c r="CJX1137" s="8" t="s">
        <v>5062</v>
      </c>
      <c r="CJY1137" s="8" t="s">
        <v>5062</v>
      </c>
      <c r="CKJ1137" s="8" t="s">
        <v>1068</v>
      </c>
      <c r="CMF1137" s="8" t="s">
        <v>1068</v>
      </c>
      <c r="DAN1137" s="8" t="s">
        <v>376</v>
      </c>
      <c r="DCJ1137" s="8" t="s">
        <v>376</v>
      </c>
      <c r="EWQ1137" s="8" t="s">
        <v>444</v>
      </c>
    </row>
    <row r="1138" spans="1:409 1397:1616 2112:3056 3080:3995 4280:4328">
      <c r="A1138" s="8" t="s">
        <v>9929</v>
      </c>
      <c r="B1138" s="10" t="s">
        <v>11257</v>
      </c>
      <c r="C1138" s="8">
        <v>71.459999999999994</v>
      </c>
      <c r="D1138" s="15">
        <v>6.5</v>
      </c>
      <c r="CH1138" s="8" t="s">
        <v>11257</v>
      </c>
      <c r="CGR1138" s="8" t="s">
        <v>427</v>
      </c>
      <c r="CJR1138" s="8" t="s">
        <v>427</v>
      </c>
      <c r="CKJ1138" s="8" t="s">
        <v>5329</v>
      </c>
      <c r="CKK1138" s="8" t="s">
        <v>5329</v>
      </c>
      <c r="CLN1138" s="8" t="s">
        <v>1069</v>
      </c>
      <c r="CMF1138" s="8" t="s">
        <v>427</v>
      </c>
      <c r="CNJ1138" s="8" t="s">
        <v>1069</v>
      </c>
      <c r="DCJ1138" s="8" t="s">
        <v>377</v>
      </c>
      <c r="DEF1138" s="8" t="s">
        <v>377</v>
      </c>
    </row>
    <row r="1139" spans="1:409 1397:1616 2112:3056 3080:3995 4280:4328">
      <c r="A1139" s="8" t="s">
        <v>9929</v>
      </c>
      <c r="B1139" s="10" t="s">
        <v>11258</v>
      </c>
      <c r="C1139" s="8">
        <v>78.959999999999994</v>
      </c>
      <c r="D1139" s="15">
        <v>3.25</v>
      </c>
      <c r="CL1139" s="8" t="s">
        <v>11258</v>
      </c>
      <c r="CHV1139" s="8" t="s">
        <v>428</v>
      </c>
      <c r="CLT1139" s="8" t="s">
        <v>5063</v>
      </c>
      <c r="CLU1139" s="8" t="s">
        <v>5063</v>
      </c>
      <c r="CMR1139" s="8" t="s">
        <v>1070</v>
      </c>
      <c r="CNJ1139" s="8" t="s">
        <v>1070</v>
      </c>
      <c r="CON1139" s="8" t="s">
        <v>1070</v>
      </c>
      <c r="DLP1139" s="8" t="s">
        <v>378</v>
      </c>
      <c r="DNL1139" s="8" t="s">
        <v>378</v>
      </c>
    </row>
    <row r="1140" spans="1:409 1397:1616 2112:3056 3080:3995 4280:4328">
      <c r="A1140" s="8" t="s">
        <v>9929</v>
      </c>
      <c r="B1140" s="10" t="s">
        <v>11250</v>
      </c>
      <c r="C1140" s="8">
        <v>112.5</v>
      </c>
      <c r="D1140" s="15">
        <v>9.75</v>
      </c>
      <c r="DZ1140" s="8" t="s">
        <v>11250</v>
      </c>
      <c r="CIZ1140" s="8" t="s">
        <v>429</v>
      </c>
      <c r="CLY1140" s="8" t="s">
        <v>429</v>
      </c>
      <c r="CMR1140" s="8" t="s">
        <v>1071</v>
      </c>
      <c r="CNU1140" s="8" t="s">
        <v>1071</v>
      </c>
      <c r="CON1140" s="8" t="s">
        <v>429</v>
      </c>
      <c r="CPQ1140" s="8" t="s">
        <v>1071</v>
      </c>
      <c r="CQK1140" s="8" t="s">
        <v>5064</v>
      </c>
      <c r="CQL1140" s="8" t="s">
        <v>5064</v>
      </c>
      <c r="DNR1140" s="8" t="s">
        <v>379</v>
      </c>
      <c r="DPN1140" s="8" t="s">
        <v>379</v>
      </c>
    </row>
    <row r="1141" spans="1:409 1397:1616 2112:3056 3080:3995 4280:4328">
      <c r="A1141" s="8" t="s">
        <v>9929</v>
      </c>
      <c r="B1141" s="10" t="s">
        <v>11251</v>
      </c>
      <c r="C1141" s="8">
        <v>123.25</v>
      </c>
      <c r="D1141" s="15">
        <v>23.56</v>
      </c>
      <c r="EY1141" s="8" t="s">
        <v>11251</v>
      </c>
      <c r="CKA1141" s="8" t="s">
        <v>430</v>
      </c>
      <c r="CKC1141" s="8" t="s">
        <v>430</v>
      </c>
      <c r="CPQ1141" s="8" t="s">
        <v>430</v>
      </c>
      <c r="CRH1141" s="8" t="s">
        <v>5065</v>
      </c>
      <c r="CRI1141" s="8" t="s">
        <v>5065</v>
      </c>
      <c r="CTG1141" s="8" t="s">
        <v>1072</v>
      </c>
      <c r="CVC1141" s="8" t="s">
        <v>1072</v>
      </c>
      <c r="EAP1141" s="8" t="s">
        <v>380</v>
      </c>
      <c r="ECL1141" s="8" t="s">
        <v>380</v>
      </c>
    </row>
    <row r="1142" spans="1:409 1397:1616 2112:3056 3080:3995 4280:4328">
      <c r="A1142" s="8" t="s">
        <v>9929</v>
      </c>
      <c r="B1142" s="10" t="s">
        <v>11253</v>
      </c>
      <c r="C1142" s="8">
        <v>152.06</v>
      </c>
      <c r="D1142" s="15">
        <v>4.88</v>
      </c>
      <c r="FI1142" s="8" t="s">
        <v>11253</v>
      </c>
      <c r="CHW1142" s="8" t="s">
        <v>431</v>
      </c>
      <c r="CIE1142" s="8" t="s">
        <v>1073</v>
      </c>
      <c r="CPO1142" s="8" t="s">
        <v>431</v>
      </c>
      <c r="CRT1142" s="8" t="s">
        <v>5066</v>
      </c>
      <c r="CRU1142" s="8" t="s">
        <v>5066</v>
      </c>
      <c r="CVC1142" s="8" t="s">
        <v>431</v>
      </c>
      <c r="DFW1142" s="8" t="s">
        <v>1073</v>
      </c>
      <c r="DHS1142" s="8" t="s">
        <v>1073</v>
      </c>
      <c r="ECF1142" s="8" t="s">
        <v>381</v>
      </c>
      <c r="EEB1142" s="8" t="s">
        <v>381</v>
      </c>
    </row>
    <row r="1143" spans="1:409 1397:1616 2112:3056 3080:3995 4280:4328">
      <c r="A1143" s="8" t="s">
        <v>9929</v>
      </c>
      <c r="B1143" s="10" t="s">
        <v>11255</v>
      </c>
      <c r="C1143" s="8">
        <v>163.81</v>
      </c>
      <c r="D1143" s="15">
        <v>1.02</v>
      </c>
      <c r="FQ1143" s="8" t="s">
        <v>11255</v>
      </c>
      <c r="BAS1143" s="8" t="s">
        <v>432</v>
      </c>
      <c r="BBQ1143" s="8" t="s">
        <v>432</v>
      </c>
      <c r="BCO1143" s="8" t="s">
        <v>1074</v>
      </c>
      <c r="CTD1143" s="8" t="s">
        <v>5067</v>
      </c>
      <c r="CTE1143" s="8" t="s">
        <v>5067</v>
      </c>
      <c r="DCE1143" s="8" t="s">
        <v>432</v>
      </c>
      <c r="DHG1143" s="8" t="s">
        <v>1074</v>
      </c>
      <c r="DHS1143" s="8" t="s">
        <v>1074</v>
      </c>
      <c r="DJC1143" s="8" t="s">
        <v>1074</v>
      </c>
      <c r="EEB1143" s="8" t="s">
        <v>382</v>
      </c>
      <c r="EFX1143" s="8" t="s">
        <v>382</v>
      </c>
    </row>
    <row r="1144" spans="1:409 1397:1616 2112:3056 3080:3995 4280:4328">
      <c r="A1144" s="8" t="s">
        <v>9929</v>
      </c>
      <c r="B1144" s="10" t="s">
        <v>14149</v>
      </c>
      <c r="C1144" s="8">
        <v>189.33</v>
      </c>
      <c r="D1144" s="15">
        <v>3.25</v>
      </c>
      <c r="GS1144" s="8" t="s">
        <v>14149</v>
      </c>
      <c r="BBK1144" s="8" t="s">
        <v>433</v>
      </c>
      <c r="BCI1144" s="8" t="s">
        <v>433</v>
      </c>
      <c r="BDG1144" s="8" t="s">
        <v>1075</v>
      </c>
      <c r="CWV1144" s="8" t="s">
        <v>5068</v>
      </c>
      <c r="CWW1144" s="8" t="s">
        <v>5068</v>
      </c>
      <c r="DDO1144" s="8" t="s">
        <v>433</v>
      </c>
      <c r="DGN1144" s="8" t="s">
        <v>433</v>
      </c>
      <c r="DHG1144" s="8" t="s">
        <v>1075</v>
      </c>
      <c r="DIJ1144" s="8" t="s">
        <v>1075</v>
      </c>
      <c r="DJC1144" s="8" t="s">
        <v>433</v>
      </c>
      <c r="DKF1144" s="8" t="s">
        <v>1075</v>
      </c>
      <c r="EFX1144" s="8" t="s">
        <v>383</v>
      </c>
      <c r="EHT1144" s="8" t="s">
        <v>383</v>
      </c>
    </row>
    <row r="1145" spans="1:409 1397:1616 2112:3056 3080:3995 4280:4328">
      <c r="A1145" s="8" t="s">
        <v>9929</v>
      </c>
      <c r="B1145" s="10" t="s">
        <v>11260</v>
      </c>
      <c r="C1145" s="8">
        <v>193.58</v>
      </c>
      <c r="D1145" s="15">
        <v>16.25</v>
      </c>
      <c r="HJ1145" s="8" t="s">
        <v>11260</v>
      </c>
      <c r="BBZ1145" s="8" t="s">
        <v>434</v>
      </c>
      <c r="BCX1145" s="8" t="s">
        <v>434</v>
      </c>
      <c r="BDV1145" s="8" t="s">
        <v>1076</v>
      </c>
      <c r="DER1145" s="8" t="s">
        <v>434</v>
      </c>
      <c r="DGD1145" s="8" t="s">
        <v>5069</v>
      </c>
      <c r="DGE1145" s="8" t="s">
        <v>5069</v>
      </c>
      <c r="DHR1145" s="8" t="s">
        <v>434</v>
      </c>
      <c r="DIJ1145" s="8" t="s">
        <v>1076</v>
      </c>
      <c r="DJN1145" s="8" t="s">
        <v>1076</v>
      </c>
      <c r="DKF1145" s="8" t="s">
        <v>434</v>
      </c>
      <c r="DLJ1145" s="8" t="s">
        <v>1076</v>
      </c>
      <c r="EHT1145" s="8" t="s">
        <v>384</v>
      </c>
      <c r="EJP1145" s="8" t="s">
        <v>384</v>
      </c>
    </row>
    <row r="1146" spans="1:409 1397:1616 2112:3056 3080:3995 4280:4328">
      <c r="A1146" s="8" t="s">
        <v>9929</v>
      </c>
      <c r="B1146" s="10" t="s">
        <v>14150</v>
      </c>
      <c r="C1146" s="8">
        <v>242</v>
      </c>
      <c r="D1146" s="15">
        <v>9.3699999999999992</v>
      </c>
      <c r="IY1146" s="8" t="s">
        <v>14150</v>
      </c>
      <c r="BCO1146" s="8" t="s">
        <v>435</v>
      </c>
      <c r="BDM1146" s="8" t="s">
        <v>435</v>
      </c>
      <c r="BEK1146" s="8" t="s">
        <v>1077</v>
      </c>
      <c r="DFV1146" s="8" t="s">
        <v>435</v>
      </c>
      <c r="DHZ1146" s="8" t="s">
        <v>5044</v>
      </c>
      <c r="DIA1146" s="8" t="s">
        <v>5044</v>
      </c>
      <c r="DKR1146" s="8" t="s">
        <v>1077</v>
      </c>
      <c r="DLJ1146" s="8" t="s">
        <v>1077</v>
      </c>
      <c r="DMN1146" s="8" t="s">
        <v>1077</v>
      </c>
      <c r="EJP1146" s="8" t="s">
        <v>385</v>
      </c>
      <c r="ELL1146" s="8" t="s">
        <v>385</v>
      </c>
    </row>
    <row r="1147" spans="1:409 1397:1616 2112:3056 3080:3995 4280:4328">
      <c r="A1147" s="8" t="s">
        <v>9929</v>
      </c>
      <c r="B1147" s="10" t="s">
        <v>11261</v>
      </c>
      <c r="C1147" s="8">
        <v>252.38</v>
      </c>
      <c r="D1147" s="15">
        <v>8.1300000000000008</v>
      </c>
      <c r="JI1147" s="8" t="s">
        <v>11261</v>
      </c>
      <c r="BDD1147" s="8" t="s">
        <v>436</v>
      </c>
      <c r="BEB1147" s="8" t="s">
        <v>436</v>
      </c>
      <c r="BEZ1147" s="8" t="s">
        <v>1078</v>
      </c>
      <c r="DGZ1147" s="8" t="s">
        <v>436</v>
      </c>
      <c r="DJY1147" s="8" t="s">
        <v>436</v>
      </c>
      <c r="DKR1147" s="8" t="s">
        <v>1078</v>
      </c>
      <c r="DLU1147" s="8" t="s">
        <v>1078</v>
      </c>
      <c r="DMN1147" s="8" t="s">
        <v>436</v>
      </c>
      <c r="DNQ1147" s="8" t="s">
        <v>1078</v>
      </c>
      <c r="DQP1147" s="8" t="s">
        <v>5330</v>
      </c>
      <c r="DQQ1147" s="8" t="s">
        <v>5330</v>
      </c>
      <c r="FHP1147" s="8" t="s">
        <v>1332</v>
      </c>
      <c r="FJL1147" s="8" t="s">
        <v>1332</v>
      </c>
    </row>
    <row r="1148" spans="1:409 1397:1616 2112:3056 3080:3995 4280:4328">
      <c r="A1148" s="8" t="s">
        <v>9929</v>
      </c>
      <c r="B1148" s="10" t="s">
        <v>11262</v>
      </c>
      <c r="C1148" s="8">
        <v>261.5</v>
      </c>
      <c r="D1148" s="15">
        <v>9.75</v>
      </c>
      <c r="JS1148" s="8" t="s">
        <v>11262</v>
      </c>
      <c r="BDS1148" s="8" t="s">
        <v>437</v>
      </c>
      <c r="BEQ1148" s="8" t="s">
        <v>437</v>
      </c>
      <c r="BFO1148" s="8" t="s">
        <v>1079</v>
      </c>
      <c r="DIC1148" s="8" t="s">
        <v>437</v>
      </c>
      <c r="DLP1148" s="8" t="s">
        <v>437</v>
      </c>
      <c r="DLU1148" s="8" t="s">
        <v>1079</v>
      </c>
      <c r="DNL1148" s="8" t="s">
        <v>1079</v>
      </c>
      <c r="DNQ1148" s="8" t="s">
        <v>437</v>
      </c>
      <c r="DPH1148" s="8" t="s">
        <v>1079</v>
      </c>
      <c r="DQZ1148" s="8" t="s">
        <v>5070</v>
      </c>
      <c r="DRA1148" s="8" t="s">
        <v>5070</v>
      </c>
    </row>
    <row r="1149" spans="1:409 1397:1616 2112:3056 3080:3995 4280:4328">
      <c r="A1149" s="8" t="s">
        <v>9929</v>
      </c>
      <c r="B1149" s="10" t="s">
        <v>14151</v>
      </c>
      <c r="C1149" s="8">
        <v>337</v>
      </c>
      <c r="D1149" s="15">
        <v>9.75</v>
      </c>
      <c r="MQ1149" s="8" t="s">
        <v>14151</v>
      </c>
      <c r="BEN1149" s="8" t="s">
        <v>438</v>
      </c>
      <c r="BFL1149" s="8" t="s">
        <v>438</v>
      </c>
      <c r="BGJ1149" s="8" t="s">
        <v>1080</v>
      </c>
      <c r="DJT1149" s="8" t="s">
        <v>438</v>
      </c>
      <c r="DNL1149" s="8" t="s">
        <v>1080</v>
      </c>
      <c r="DPH1149" s="8" t="s">
        <v>1080</v>
      </c>
      <c r="DRD1149" s="8" t="s">
        <v>1080</v>
      </c>
      <c r="DRQ1149" s="8" t="s">
        <v>5071</v>
      </c>
      <c r="DRR1149" s="8" t="s">
        <v>5071</v>
      </c>
    </row>
    <row r="1150" spans="1:409 1397:1616 2112:3056 3080:3995 4280:4328">
      <c r="A1150" s="8" t="s">
        <v>9929</v>
      </c>
      <c r="B1150" s="10" t="s">
        <v>11263</v>
      </c>
      <c r="C1150" s="8">
        <v>350.59</v>
      </c>
      <c r="D1150" s="15">
        <v>6.5</v>
      </c>
      <c r="NA1150" s="8" t="s">
        <v>11263</v>
      </c>
      <c r="BFL1150" s="8" t="s">
        <v>439</v>
      </c>
      <c r="BGJ1150" s="8" t="s">
        <v>439</v>
      </c>
      <c r="BHH1150" s="8" t="s">
        <v>1081</v>
      </c>
      <c r="DLP1150" s="8" t="s">
        <v>439</v>
      </c>
      <c r="DPH1150" s="8" t="s">
        <v>1081</v>
      </c>
      <c r="DRD1150" s="8" t="s">
        <v>1081</v>
      </c>
      <c r="DSZ1150" s="8" t="s">
        <v>5055</v>
      </c>
      <c r="DTA1150" s="8" t="s">
        <v>5055</v>
      </c>
    </row>
    <row r="1151" spans="1:409 1397:1616 2112:3056 3080:3995 4280:4328">
      <c r="A1151" s="8" t="s">
        <v>9929</v>
      </c>
      <c r="B1151" s="10" t="s">
        <v>11269</v>
      </c>
      <c r="C1151" s="8">
        <v>355.91</v>
      </c>
      <c r="D1151" s="15">
        <v>3.12</v>
      </c>
      <c r="NC1151" s="8" t="s">
        <v>11269</v>
      </c>
      <c r="BGJ1151" s="8" t="s">
        <v>440</v>
      </c>
      <c r="BHH1151" s="8" t="s">
        <v>440</v>
      </c>
      <c r="BIF1151" s="8" t="s">
        <v>1082</v>
      </c>
      <c r="DNL1151" s="8" t="s">
        <v>440</v>
      </c>
      <c r="DRD1151" s="8" t="s">
        <v>1082</v>
      </c>
      <c r="DSZ1151" s="8" t="s">
        <v>5331</v>
      </c>
      <c r="DTA1151" s="8" t="s">
        <v>5331</v>
      </c>
      <c r="DUV1151" s="8" t="s">
        <v>1082</v>
      </c>
    </row>
    <row r="1152" spans="1:409 1397:1616 2112:3056 3080:3995 4280:4328">
      <c r="A1152" s="8" t="s">
        <v>9929</v>
      </c>
      <c r="B1152" s="10" t="s">
        <v>14152</v>
      </c>
      <c r="C1152" s="8">
        <v>385</v>
      </c>
      <c r="D1152" s="15">
        <v>16.25</v>
      </c>
      <c r="OS1152" s="8" t="s">
        <v>14152</v>
      </c>
      <c r="BHH1152" s="8" t="s">
        <v>441</v>
      </c>
      <c r="BIF1152" s="8" t="s">
        <v>441</v>
      </c>
      <c r="BJD1152" s="8" t="s">
        <v>1083</v>
      </c>
      <c r="DLP1152" s="8" t="s">
        <v>1083</v>
      </c>
      <c r="DMG1152" s="8" t="s">
        <v>441</v>
      </c>
      <c r="DPH1152" s="8" t="s">
        <v>441</v>
      </c>
      <c r="DUV1152" s="8" t="s">
        <v>5072</v>
      </c>
      <c r="DUW1152" s="8" t="s">
        <v>5072</v>
      </c>
      <c r="ECW1152" s="8" t="s">
        <v>1083</v>
      </c>
      <c r="EES1152" s="8" t="s">
        <v>1083</v>
      </c>
    </row>
    <row r="1153" spans="1:843 1352:2045 2056:2685 3320:3995 4232:4233 7916:7931">
      <c r="A1153" s="8" t="s">
        <v>9929</v>
      </c>
      <c r="B1153" s="10" t="s">
        <v>14153</v>
      </c>
      <c r="C1153" s="8">
        <v>402.25</v>
      </c>
      <c r="D1153" s="15">
        <v>9.67</v>
      </c>
      <c r="PD1153" s="17" t="s">
        <v>14153</v>
      </c>
      <c r="BMG1153" s="8" t="s">
        <v>442</v>
      </c>
      <c r="BNE1153" s="8" t="s">
        <v>442</v>
      </c>
      <c r="BOC1153" s="8" t="s">
        <v>1084</v>
      </c>
      <c r="DWR1153" s="8" t="s">
        <v>5073</v>
      </c>
      <c r="DWS1153" s="8" t="s">
        <v>5073</v>
      </c>
      <c r="DZE1153" s="8" t="s">
        <v>442</v>
      </c>
      <c r="EAJ1153" s="8" t="s">
        <v>442</v>
      </c>
      <c r="EBA1153" s="8" t="s">
        <v>1084</v>
      </c>
      <c r="EES1153" s="8" t="s">
        <v>442</v>
      </c>
      <c r="EFX1153" s="8" t="s">
        <v>1084</v>
      </c>
      <c r="EHT1153" s="8" t="s">
        <v>1084</v>
      </c>
    </row>
    <row r="1154" spans="1:843 1352:2045 2056:2685 3320:3995 4232:4233 7916:7931">
      <c r="A1154" s="8" t="s">
        <v>9929</v>
      </c>
      <c r="B1154" s="10" t="s">
        <v>14154</v>
      </c>
      <c r="C1154" s="8">
        <v>412.92</v>
      </c>
      <c r="D1154" s="15">
        <v>9.75</v>
      </c>
      <c r="PO1154" s="8" t="s">
        <v>14154</v>
      </c>
      <c r="AZN1154" s="8" t="s">
        <v>1393</v>
      </c>
      <c r="BBJ1154" s="8" t="s">
        <v>1393</v>
      </c>
      <c r="BDF1154" s="8" t="s">
        <v>1393</v>
      </c>
      <c r="BFB1154" s="8" t="s">
        <v>1393</v>
      </c>
      <c r="BNT1154" s="8" t="s">
        <v>443</v>
      </c>
      <c r="BOR1154" s="8" t="s">
        <v>443</v>
      </c>
      <c r="BPP1154" s="8" t="s">
        <v>1085</v>
      </c>
      <c r="EBI1154" s="8" t="s">
        <v>5048</v>
      </c>
      <c r="EBJ1154" s="8" t="s">
        <v>5048</v>
      </c>
      <c r="ECF1154" s="8" t="s">
        <v>443</v>
      </c>
      <c r="EFX1154" s="8" t="s">
        <v>1085</v>
      </c>
      <c r="EHT1154" s="8" t="s">
        <v>1085</v>
      </c>
      <c r="EJP1154" s="8" t="s">
        <v>1085</v>
      </c>
    </row>
    <row r="1155" spans="1:843 1352:2045 2056:2685 3320:3995 4232:4233 7916:7931">
      <c r="A1155" s="8" t="s">
        <v>9929</v>
      </c>
      <c r="B1155" s="10" t="s">
        <v>11264</v>
      </c>
      <c r="C1155" s="8">
        <v>642.25</v>
      </c>
      <c r="D1155" s="15">
        <v>3.25</v>
      </c>
      <c r="YD1155" s="8" t="s">
        <v>11264</v>
      </c>
      <c r="BBB1155" s="8" t="s">
        <v>398</v>
      </c>
      <c r="BCX1155" s="8" t="s">
        <v>398</v>
      </c>
      <c r="BET1155" s="8" t="s">
        <v>398</v>
      </c>
      <c r="BGP1155" s="8" t="s">
        <v>398</v>
      </c>
      <c r="BOR1155" s="8" t="s">
        <v>444</v>
      </c>
      <c r="BPP1155" s="8" t="s">
        <v>444</v>
      </c>
      <c r="BQN1155" s="8" t="s">
        <v>1086</v>
      </c>
      <c r="DWR1155" s="8" t="s">
        <v>1086</v>
      </c>
      <c r="DWU1155" s="8" t="s">
        <v>444</v>
      </c>
      <c r="EEB1155" s="8" t="s">
        <v>5074</v>
      </c>
      <c r="EEC1155" s="8" t="s">
        <v>5074</v>
      </c>
      <c r="EJP1155" s="8" t="s">
        <v>444</v>
      </c>
      <c r="EUU1155" s="8" t="s">
        <v>1086</v>
      </c>
      <c r="EWQ1155" s="8" t="s">
        <v>1086</v>
      </c>
    </row>
    <row r="1156" spans="1:843 1352:2045 2056:2685 3320:3995 4232:4233 7916:7931">
      <c r="A1156" s="8" t="s">
        <v>9929</v>
      </c>
      <c r="B1156" s="10" t="s">
        <v>11271</v>
      </c>
      <c r="C1156" s="8">
        <v>650.75</v>
      </c>
      <c r="D1156" s="15">
        <v>9.75</v>
      </c>
      <c r="YR1156" s="8" t="s">
        <v>11271</v>
      </c>
      <c r="AYZ1156" s="8" t="s">
        <v>1654</v>
      </c>
      <c r="BCR1156" s="8" t="s">
        <v>399</v>
      </c>
      <c r="BEN1156" s="8" t="s">
        <v>399</v>
      </c>
      <c r="BGJ1156" s="8" t="s">
        <v>399</v>
      </c>
      <c r="BIF1156" s="8" t="s">
        <v>399</v>
      </c>
      <c r="BVE1156" s="8" t="s">
        <v>445</v>
      </c>
      <c r="BWC1156" s="8" t="s">
        <v>445</v>
      </c>
      <c r="BXA1156" s="8" t="s">
        <v>1275</v>
      </c>
      <c r="EEB1156" s="8" t="s">
        <v>5057</v>
      </c>
      <c r="EEC1156" s="8" t="s">
        <v>5057</v>
      </c>
      <c r="ERC1156" s="8" t="s">
        <v>445</v>
      </c>
      <c r="EWQ1156" s="8" t="s">
        <v>445</v>
      </c>
      <c r="KRL1156" s="8" t="s">
        <v>445</v>
      </c>
      <c r="KSA1156" s="8" t="s">
        <v>1275</v>
      </c>
    </row>
    <row r="1157" spans="1:843 1352:2045 2056:2685 3320:3995 4232:4233 7916:7931">
      <c r="A1157" s="8" t="s">
        <v>9929</v>
      </c>
      <c r="B1157" s="10" t="s">
        <v>14155</v>
      </c>
      <c r="C1157" s="8">
        <v>665.75</v>
      </c>
      <c r="D1157" s="15">
        <v>3.25</v>
      </c>
      <c r="ZA1157" s="8" t="s">
        <v>14155</v>
      </c>
      <c r="AYZ1157" s="8" t="s">
        <v>1655</v>
      </c>
      <c r="BCR1157" s="8" t="s">
        <v>400</v>
      </c>
      <c r="BEN1157" s="8" t="s">
        <v>400</v>
      </c>
      <c r="BGJ1157" s="8" t="s">
        <v>400</v>
      </c>
      <c r="BIF1157" s="8" t="s">
        <v>400</v>
      </c>
      <c r="EFX1157" s="8" t="s">
        <v>5075</v>
      </c>
      <c r="EFY1157" s="8" t="s">
        <v>5075</v>
      </c>
    </row>
    <row r="1158" spans="1:843 1352:2045 2056:2685 3320:3995 4232:4233 7916:7931">
      <c r="A1158" s="8" t="s">
        <v>9929</v>
      </c>
      <c r="B1158" s="10" t="s">
        <v>11265</v>
      </c>
      <c r="C1158" s="8">
        <v>670</v>
      </c>
      <c r="D1158" s="15">
        <v>6.25</v>
      </c>
      <c r="ZH1158" s="8" t="s">
        <v>11265</v>
      </c>
      <c r="AZH1158" s="8" t="s">
        <v>1656</v>
      </c>
      <c r="BCZ1158" s="8" t="s">
        <v>401</v>
      </c>
      <c r="BEV1158" s="8" t="s">
        <v>401</v>
      </c>
      <c r="BGR1158" s="8" t="s">
        <v>401</v>
      </c>
      <c r="BIN1158" s="8" t="s">
        <v>401</v>
      </c>
      <c r="EFX1158" s="8" t="s">
        <v>5076</v>
      </c>
      <c r="EFY1158" s="8" t="s">
        <v>5076</v>
      </c>
    </row>
    <row r="1159" spans="1:843 1352:2045 2056:2685 3320:3995 4232:4233 7916:7931">
      <c r="A1159" s="8" t="s">
        <v>9929</v>
      </c>
      <c r="B1159" s="10" t="s">
        <v>14156</v>
      </c>
      <c r="C1159" s="8">
        <v>676.47</v>
      </c>
      <c r="D1159" s="15">
        <v>16.25</v>
      </c>
      <c r="ZY1159" s="8" t="s">
        <v>14156</v>
      </c>
      <c r="AYZ1159" s="8" t="s">
        <v>2083</v>
      </c>
      <c r="BAV1159" s="8" t="s">
        <v>1657</v>
      </c>
      <c r="BEN1159" s="8" t="s">
        <v>402</v>
      </c>
      <c r="BGJ1159" s="8" t="s">
        <v>402</v>
      </c>
      <c r="BIF1159" s="8" t="s">
        <v>402</v>
      </c>
      <c r="BKB1159" s="8" t="s">
        <v>402</v>
      </c>
      <c r="ERC1159" s="8" t="s">
        <v>5077</v>
      </c>
      <c r="ERD1159" s="8" t="s">
        <v>5077</v>
      </c>
    </row>
    <row r="1160" spans="1:843 1352:2045 2056:2685 3320:3995 4232:4233 7916:7931">
      <c r="A1160" s="8" t="s">
        <v>9929</v>
      </c>
      <c r="B1160" s="10" t="s">
        <v>14157</v>
      </c>
      <c r="C1160" s="8">
        <v>677.25</v>
      </c>
      <c r="D1160" s="15">
        <v>0.98</v>
      </c>
      <c r="ZJ1160" s="8" t="s">
        <v>14157</v>
      </c>
      <c r="AZS1160" s="8" t="s">
        <v>2084</v>
      </c>
      <c r="BBO1160" s="8" t="s">
        <v>1658</v>
      </c>
      <c r="BFG1160" s="8" t="s">
        <v>403</v>
      </c>
      <c r="BHC1160" s="8" t="s">
        <v>403</v>
      </c>
      <c r="BIY1160" s="8" t="s">
        <v>403</v>
      </c>
      <c r="BKU1160" s="8" t="s">
        <v>403</v>
      </c>
      <c r="ESV1160" s="8" t="s">
        <v>5332</v>
      </c>
      <c r="ESW1160" s="8" t="s">
        <v>5332</v>
      </c>
    </row>
    <row r="1161" spans="1:843 1352:2045 2056:2685 3320:3995 4232:4233 7916:7931">
      <c r="A1161" s="8" t="s">
        <v>9929</v>
      </c>
      <c r="B1161" s="10" t="s">
        <v>14158</v>
      </c>
      <c r="C1161" s="8">
        <v>679.22</v>
      </c>
      <c r="D1161" s="15">
        <v>6.5</v>
      </c>
      <c r="ZR1161" s="8" t="s">
        <v>14158</v>
      </c>
      <c r="AYZ1161" s="8" t="s">
        <v>4993</v>
      </c>
      <c r="AZA1161" s="8" t="s">
        <v>4993</v>
      </c>
      <c r="BBF1161" s="8" t="s">
        <v>2085</v>
      </c>
      <c r="BDB1161" s="8" t="s">
        <v>1659</v>
      </c>
      <c r="BGT1161" s="8" t="s">
        <v>404</v>
      </c>
      <c r="BIP1161" s="8" t="s">
        <v>404</v>
      </c>
      <c r="BKL1161" s="8" t="s">
        <v>404</v>
      </c>
      <c r="BMH1161" s="8" t="s">
        <v>404</v>
      </c>
      <c r="EUR1161" s="8" t="s">
        <v>5078</v>
      </c>
      <c r="EUS1161" s="8" t="s">
        <v>5078</v>
      </c>
    </row>
    <row r="1162" spans="1:843 1352:2045 2056:2685 3320:3995 4232:4233 7916:7931">
      <c r="A1162" s="8" t="s">
        <v>9929</v>
      </c>
      <c r="B1162" s="10" t="s">
        <v>11266</v>
      </c>
      <c r="C1162" s="8">
        <v>686.72</v>
      </c>
      <c r="D1162" s="15">
        <v>5.31</v>
      </c>
      <c r="ZX1162" s="8" t="s">
        <v>11266</v>
      </c>
      <c r="AYZ1162" s="8" t="s">
        <v>4994</v>
      </c>
      <c r="AZA1162" s="8" t="s">
        <v>4994</v>
      </c>
      <c r="BAD1162" s="8" t="s">
        <v>5689</v>
      </c>
      <c r="BBX1162" s="8" t="s">
        <v>5039</v>
      </c>
      <c r="BBZ1162" s="8" t="s">
        <v>5039</v>
      </c>
      <c r="BIF1162" s="8" t="s">
        <v>2086</v>
      </c>
      <c r="BKB1162" s="8" t="s">
        <v>1660</v>
      </c>
      <c r="BNT1162" s="8" t="s">
        <v>405</v>
      </c>
      <c r="BPP1162" s="8" t="s">
        <v>405</v>
      </c>
      <c r="BRL1162" s="8" t="s">
        <v>405</v>
      </c>
      <c r="BTH1162" s="8" t="s">
        <v>405</v>
      </c>
      <c r="FFT1162" s="8" t="s">
        <v>5333</v>
      </c>
      <c r="FFU1162" s="8" t="s">
        <v>5333</v>
      </c>
    </row>
    <row r="1163" spans="1:843 1352:2045 2056:2685 3320:3995 4232:4233 7916:7931">
      <c r="A1163" s="8" t="s">
        <v>9929</v>
      </c>
      <c r="B1163" s="10" t="s">
        <v>11267</v>
      </c>
      <c r="C1163" s="8">
        <v>693.04</v>
      </c>
      <c r="D1163" s="15">
        <v>16.25</v>
      </c>
      <c r="AAO1163" s="8" t="s">
        <v>11267</v>
      </c>
      <c r="AZK1163" s="8" t="s">
        <v>4995</v>
      </c>
      <c r="BAM1163" s="8" t="s">
        <v>5690</v>
      </c>
      <c r="BAN1163" s="8" t="s">
        <v>5690</v>
      </c>
      <c r="BBF1163" s="8" t="s">
        <v>4995</v>
      </c>
      <c r="BBG1163" s="8" t="s">
        <v>4995</v>
      </c>
      <c r="BCH1163" s="8" t="s">
        <v>5040</v>
      </c>
      <c r="BCI1163" s="8" t="s">
        <v>5040</v>
      </c>
      <c r="BCJ1163" s="8" t="s">
        <v>5040</v>
      </c>
      <c r="BGJ1163" s="8" t="s">
        <v>413</v>
      </c>
      <c r="BJC1163" s="8" t="s">
        <v>2087</v>
      </c>
      <c r="BKY1163" s="8" t="s">
        <v>1661</v>
      </c>
      <c r="BOQ1163" s="8" t="s">
        <v>406</v>
      </c>
      <c r="BQM1163" s="8" t="s">
        <v>406</v>
      </c>
      <c r="BSI1163" s="8" t="s">
        <v>406</v>
      </c>
      <c r="BUE1163" s="8" t="s">
        <v>406</v>
      </c>
      <c r="FFT1163" s="8" t="s">
        <v>5334</v>
      </c>
      <c r="FFU1163" s="8" t="s">
        <v>5334</v>
      </c>
    </row>
    <row r="1164" spans="1:843 1352:2045 2056:2685 3320:3995 4232:4233 7916:7931">
      <c r="A1164" s="8" t="s">
        <v>9929</v>
      </c>
      <c r="B1164" s="10" t="s">
        <v>14159</v>
      </c>
      <c r="C1164" s="8">
        <v>791.96</v>
      </c>
      <c r="D1164" s="15">
        <v>13.08</v>
      </c>
      <c r="AEG1164" s="8" t="s">
        <v>14159</v>
      </c>
      <c r="BAN1164" s="8" t="s">
        <v>4996</v>
      </c>
      <c r="BAO1164" s="8" t="s">
        <v>4996</v>
      </c>
      <c r="BBG1164" s="8" t="s">
        <v>5691</v>
      </c>
      <c r="BBH1164" s="8" t="s">
        <v>5691</v>
      </c>
      <c r="BCJ1164" s="8" t="s">
        <v>4996</v>
      </c>
      <c r="BCK1164" s="8" t="s">
        <v>4996</v>
      </c>
      <c r="BDC1164" s="8" t="s">
        <v>5041</v>
      </c>
      <c r="BDD1164" s="8" t="s">
        <v>5041</v>
      </c>
      <c r="BDE1164" s="8" t="s">
        <v>5041</v>
      </c>
      <c r="BIF1164" s="8" t="s">
        <v>414</v>
      </c>
      <c r="BOO1164" s="8" t="s">
        <v>2088</v>
      </c>
      <c r="BQK1164" s="8" t="s">
        <v>1662</v>
      </c>
      <c r="BUC1164" s="8" t="s">
        <v>407</v>
      </c>
      <c r="BVY1164" s="8" t="s">
        <v>407</v>
      </c>
      <c r="BXU1164" s="8" t="s">
        <v>407</v>
      </c>
      <c r="BZQ1164" s="8" t="s">
        <v>407</v>
      </c>
    </row>
    <row r="1165" spans="1:843 1352:2045 2056:2685 3320:3995 4232:4233 7916:7931">
      <c r="A1165" s="8" t="s">
        <v>9929</v>
      </c>
      <c r="B1165" s="10" t="s">
        <v>11272</v>
      </c>
      <c r="C1165" s="8">
        <v>806.04</v>
      </c>
      <c r="D1165" s="15">
        <v>3.13</v>
      </c>
      <c r="AEK1165" s="8" t="s">
        <v>11272</v>
      </c>
      <c r="BCR1165" s="8" t="s">
        <v>5692</v>
      </c>
      <c r="BEM1165" s="8" t="s">
        <v>5042</v>
      </c>
      <c r="BEN1165" s="8" t="s">
        <v>5042</v>
      </c>
      <c r="BEO1165" s="8" t="s">
        <v>5042</v>
      </c>
      <c r="BEZ1165" s="8" t="s">
        <v>4997</v>
      </c>
      <c r="BGV1165" s="8" t="s">
        <v>4997</v>
      </c>
      <c r="BGW1165" s="8" t="s">
        <v>4997</v>
      </c>
      <c r="BRL1165" s="8" t="s">
        <v>415</v>
      </c>
      <c r="CAB1165" s="8" t="s">
        <v>2089</v>
      </c>
      <c r="CBX1165" s="8" t="s">
        <v>1663</v>
      </c>
      <c r="CFP1165" s="8" t="s">
        <v>387</v>
      </c>
      <c r="CHL1165" s="8" t="s">
        <v>387</v>
      </c>
      <c r="CJH1165" s="8" t="s">
        <v>387</v>
      </c>
      <c r="CLD1165" s="8" t="s">
        <v>387</v>
      </c>
    </row>
    <row r="1166" spans="1:843 1352:2045 2056:2685 3320:3995 4232:4233 7916:7931">
      <c r="A1166" s="8" t="s">
        <v>9929</v>
      </c>
      <c r="B1166" s="10" t="s">
        <v>11270</v>
      </c>
      <c r="C1166" s="8">
        <v>810.16</v>
      </c>
      <c r="D1166" s="15">
        <v>12.5</v>
      </c>
      <c r="AEY1166" s="8" t="s">
        <v>11270</v>
      </c>
      <c r="BDW1166" s="8" t="s">
        <v>5693</v>
      </c>
      <c r="BFR1166" s="8" t="s">
        <v>5043</v>
      </c>
      <c r="BFS1166" s="8" t="s">
        <v>5043</v>
      </c>
      <c r="BFT1166" s="8" t="s">
        <v>5043</v>
      </c>
      <c r="BGD1166" s="8" t="s">
        <v>4998</v>
      </c>
      <c r="BHZ1166" s="8" t="s">
        <v>4998</v>
      </c>
      <c r="BIA1166" s="8" t="s">
        <v>4998</v>
      </c>
      <c r="BRL1166" s="8" t="s">
        <v>416</v>
      </c>
      <c r="CAJ1166" s="8" t="s">
        <v>2090</v>
      </c>
      <c r="CCF1166" s="8" t="s">
        <v>1664</v>
      </c>
      <c r="CFX1166" s="8" t="s">
        <v>386</v>
      </c>
      <c r="CHT1166" s="8" t="s">
        <v>386</v>
      </c>
      <c r="CJP1166" s="8" t="s">
        <v>386</v>
      </c>
      <c r="CLL1166" s="8" t="s">
        <v>386</v>
      </c>
    </row>
    <row r="1167" spans="1:843 1352:2045 2056:2685 3320:3995 4232:4233 7916:7931">
      <c r="A1167" s="8" t="s">
        <v>9929</v>
      </c>
      <c r="B1167" s="10" t="s">
        <v>11273</v>
      </c>
      <c r="C1167" s="8">
        <v>823.66</v>
      </c>
      <c r="D1167" s="15">
        <v>3.75</v>
      </c>
      <c r="AFC1167" s="8" t="s">
        <v>11273</v>
      </c>
      <c r="BEY1167" s="8" t="s">
        <v>5694</v>
      </c>
      <c r="BEZ1167" s="8" t="s">
        <v>5694</v>
      </c>
      <c r="BGT1167" s="8" t="s">
        <v>5045</v>
      </c>
      <c r="BGU1167" s="8" t="s">
        <v>5045</v>
      </c>
      <c r="BGV1167" s="8" t="s">
        <v>5045</v>
      </c>
      <c r="BHH1167" s="8" t="s">
        <v>4999</v>
      </c>
      <c r="BJC1167" s="8" t="s">
        <v>4999</v>
      </c>
      <c r="BJD1167" s="8" t="s">
        <v>4999</v>
      </c>
      <c r="BRM1167" s="8" t="s">
        <v>417</v>
      </c>
      <c r="CIB1167" s="8" t="s">
        <v>2091</v>
      </c>
      <c r="CJX1167" s="8" t="s">
        <v>1665</v>
      </c>
      <c r="CNP1167" s="8" t="s">
        <v>408</v>
      </c>
      <c r="CPL1167" s="8" t="s">
        <v>408</v>
      </c>
      <c r="CRH1167" s="8" t="s">
        <v>408</v>
      </c>
      <c r="CTD1167" s="8" t="s">
        <v>408</v>
      </c>
    </row>
    <row r="1168" spans="1:843 1352:2045 2056:2685 3320:3995 4232:4233 7916:7931">
      <c r="A1168" s="8" t="s">
        <v>9929</v>
      </c>
      <c r="B1168" s="10" t="s">
        <v>11268</v>
      </c>
      <c r="C1168" s="8">
        <v>828.41</v>
      </c>
      <c r="D1168" s="15">
        <v>6.5</v>
      </c>
      <c r="AFK1168" s="8" t="s">
        <v>11268</v>
      </c>
      <c r="BBW1168" s="8" t="s">
        <v>446</v>
      </c>
      <c r="BGJ1168" s="8" t="s">
        <v>5695</v>
      </c>
      <c r="BGK1168" s="8" t="s">
        <v>5695</v>
      </c>
      <c r="BIE1168" s="8" t="s">
        <v>5046</v>
      </c>
      <c r="BIF1168" s="8" t="s">
        <v>5046</v>
      </c>
      <c r="BIG1168" s="8" t="s">
        <v>5046</v>
      </c>
      <c r="BIK1168" s="8" t="s">
        <v>5000</v>
      </c>
      <c r="BKG1168" s="8" t="s">
        <v>5000</v>
      </c>
      <c r="BKH1168" s="8" t="s">
        <v>5000</v>
      </c>
      <c r="BSW1168" s="8" t="s">
        <v>418</v>
      </c>
      <c r="CNE1168" s="8" t="s">
        <v>2092</v>
      </c>
      <c r="CPA1168" s="8" t="s">
        <v>1666</v>
      </c>
      <c r="CSS1168" s="8" t="s">
        <v>409</v>
      </c>
      <c r="CUO1168" s="8" t="s">
        <v>409</v>
      </c>
      <c r="CWK1168" s="8" t="s">
        <v>409</v>
      </c>
      <c r="CYG1168" s="8" t="s">
        <v>409</v>
      </c>
    </row>
    <row r="1169" spans="1:986 1416:1981 2067:3026 3080:3368">
      <c r="A1169" s="8" t="s">
        <v>9929</v>
      </c>
      <c r="B1169" s="10" t="s">
        <v>11274</v>
      </c>
      <c r="C1169" s="8">
        <v>840.04</v>
      </c>
      <c r="D1169" s="15">
        <v>5.62</v>
      </c>
      <c r="AFV1169" s="8" t="s">
        <v>11274</v>
      </c>
      <c r="BCM1169" s="8" t="s">
        <v>447</v>
      </c>
      <c r="BIF1169" s="8" t="s">
        <v>5696</v>
      </c>
      <c r="BKA1169" s="8" t="s">
        <v>5047</v>
      </c>
      <c r="BKB1169" s="8" t="s">
        <v>5047</v>
      </c>
      <c r="BKC1169" s="8" t="s">
        <v>5047</v>
      </c>
      <c r="BLX1169" s="8" t="s">
        <v>5001</v>
      </c>
      <c r="BLY1169" s="8" t="s">
        <v>5001</v>
      </c>
      <c r="BUF1169" s="8" t="s">
        <v>419</v>
      </c>
      <c r="CNV1169" s="8" t="s">
        <v>2093</v>
      </c>
      <c r="CPR1169" s="8" t="s">
        <v>1667</v>
      </c>
      <c r="CTJ1169" s="8" t="s">
        <v>410</v>
      </c>
      <c r="CVF1169" s="8" t="s">
        <v>410</v>
      </c>
      <c r="CXB1169" s="8" t="s">
        <v>410</v>
      </c>
      <c r="CYX1169" s="8" t="s">
        <v>410</v>
      </c>
    </row>
    <row r="1170" spans="1:986 1416:1981 2067:3026 3080:3368">
      <c r="A1170" s="8" t="s">
        <v>9929</v>
      </c>
      <c r="B1170" s="10" t="s">
        <v>14160</v>
      </c>
      <c r="C1170" s="8">
        <v>846.35</v>
      </c>
      <c r="D1170" s="15">
        <v>3.25</v>
      </c>
      <c r="AFZ1170" s="8" t="s">
        <v>14160</v>
      </c>
      <c r="BDN1170" s="8" t="s">
        <v>448</v>
      </c>
      <c r="BMJ1170" s="8" t="s">
        <v>5697</v>
      </c>
      <c r="BMK1170" s="8" t="s">
        <v>5697</v>
      </c>
      <c r="BNW1170" s="8" t="s">
        <v>5002</v>
      </c>
      <c r="BOE1170" s="8" t="s">
        <v>5049</v>
      </c>
      <c r="BOF1170" s="8" t="s">
        <v>5049</v>
      </c>
      <c r="BOG1170" s="8" t="s">
        <v>5049</v>
      </c>
      <c r="BPS1170" s="8" t="s">
        <v>5002</v>
      </c>
      <c r="BPT1170" s="8" t="s">
        <v>5002</v>
      </c>
      <c r="BWI1170" s="8" t="s">
        <v>420</v>
      </c>
      <c r="DNL1170" s="8" t="s">
        <v>2094</v>
      </c>
      <c r="DPH1170" s="8" t="s">
        <v>1668</v>
      </c>
      <c r="DSZ1170" s="8" t="s">
        <v>1333</v>
      </c>
      <c r="DUV1170" s="8" t="s">
        <v>1333</v>
      </c>
      <c r="DWR1170" s="8" t="s">
        <v>1333</v>
      </c>
      <c r="DYN1170" s="8" t="s">
        <v>1333</v>
      </c>
    </row>
    <row r="1171" spans="1:986 1416:1981 2067:3026 3080:3368">
      <c r="A1171" s="8" t="s">
        <v>9929</v>
      </c>
      <c r="B1171" s="10" t="s">
        <v>11275</v>
      </c>
      <c r="C1171" s="8">
        <v>846.66</v>
      </c>
      <c r="D1171" s="15">
        <v>3.12</v>
      </c>
      <c r="AFZ1171" s="8" t="s">
        <v>11275</v>
      </c>
      <c r="BEB1171" s="8" t="s">
        <v>449</v>
      </c>
      <c r="BMP1171" s="8" t="s">
        <v>5698</v>
      </c>
      <c r="BOK1171" s="8" t="s">
        <v>5050</v>
      </c>
      <c r="BOL1171" s="8" t="s">
        <v>5050</v>
      </c>
      <c r="BOM1171" s="8" t="s">
        <v>5050</v>
      </c>
      <c r="BVI1171" s="8" t="s">
        <v>421</v>
      </c>
      <c r="CAM1171" s="8" t="s">
        <v>5003</v>
      </c>
      <c r="CCI1171" s="8" t="s">
        <v>5003</v>
      </c>
      <c r="CCJ1171" s="8" t="s">
        <v>5003</v>
      </c>
    </row>
    <row r="1172" spans="1:986 1416:1981 2067:3026 3080:3368">
      <c r="A1172" s="8" t="s">
        <v>9929</v>
      </c>
      <c r="B1172" s="10" t="s">
        <v>11276</v>
      </c>
      <c r="C1172" s="8">
        <v>850.79</v>
      </c>
      <c r="D1172" s="15">
        <v>6.5</v>
      </c>
      <c r="AGG1172" s="8" t="s">
        <v>11276</v>
      </c>
      <c r="BEN1172" s="8" t="s">
        <v>450</v>
      </c>
      <c r="BNT1172" s="8" t="s">
        <v>5699</v>
      </c>
      <c r="BNU1172" s="8" t="s">
        <v>5699</v>
      </c>
      <c r="BPO1172" s="8" t="s">
        <v>5051</v>
      </c>
      <c r="BPP1172" s="8" t="s">
        <v>5051</v>
      </c>
      <c r="BPQ1172" s="8" t="s">
        <v>5051</v>
      </c>
      <c r="CBW1172" s="8" t="s">
        <v>5004</v>
      </c>
      <c r="CDR1172" s="8" t="s">
        <v>5004</v>
      </c>
      <c r="CDS1172" s="8" t="s">
        <v>5004</v>
      </c>
      <c r="CEJ1172" s="8" t="s">
        <v>422</v>
      </c>
    </row>
    <row r="1173" spans="1:986 1416:1981 2067:3026 3080:3368">
      <c r="A1173" s="8" t="s">
        <v>9929</v>
      </c>
      <c r="B1173" s="10" t="s">
        <v>11277</v>
      </c>
      <c r="C1173" s="8">
        <v>858.29</v>
      </c>
      <c r="D1173" s="15">
        <v>3.25</v>
      </c>
      <c r="AGL1173" s="8" t="s">
        <v>11277</v>
      </c>
      <c r="BEN1173" s="8" t="s">
        <v>451</v>
      </c>
      <c r="BPP1173" s="8" t="s">
        <v>5700</v>
      </c>
      <c r="BPQ1173" s="8" t="s">
        <v>5700</v>
      </c>
      <c r="BRK1173" s="8" t="s">
        <v>5052</v>
      </c>
      <c r="BRL1173" s="8" t="s">
        <v>5052</v>
      </c>
      <c r="BRM1173" s="8" t="s">
        <v>5052</v>
      </c>
      <c r="CCZ1173" s="8" t="s">
        <v>5005</v>
      </c>
      <c r="CEJ1173" s="8" t="s">
        <v>423</v>
      </c>
      <c r="CEV1173" s="8" t="s">
        <v>5005</v>
      </c>
      <c r="CEW1173" s="8" t="s">
        <v>5005</v>
      </c>
    </row>
    <row r="1174" spans="1:986 1416:1981 2067:3026 3080:3368">
      <c r="A1174" s="8" t="s">
        <v>9929</v>
      </c>
      <c r="B1174" s="10" t="s">
        <v>11278</v>
      </c>
      <c r="C1174" s="8">
        <v>862.54</v>
      </c>
      <c r="D1174" s="15">
        <v>9.75</v>
      </c>
      <c r="AGV1174" s="8" t="s">
        <v>11278</v>
      </c>
      <c r="BEN1174" s="8" t="s">
        <v>452</v>
      </c>
      <c r="BPP1174" s="8" t="s">
        <v>5701</v>
      </c>
      <c r="BRK1174" s="8" t="s">
        <v>5053</v>
      </c>
      <c r="BRL1174" s="8" t="s">
        <v>5053</v>
      </c>
      <c r="BRM1174" s="8" t="s">
        <v>5053</v>
      </c>
      <c r="CED1174" s="8" t="s">
        <v>5006</v>
      </c>
      <c r="CFZ1174" s="8" t="s">
        <v>5006</v>
      </c>
      <c r="CGA1174" s="8" t="s">
        <v>5006</v>
      </c>
      <c r="CGQ1174" s="8" t="s">
        <v>424</v>
      </c>
    </row>
    <row r="1175" spans="1:986 1416:1981 2067:3026 3080:3368">
      <c r="A1175" s="8" t="s">
        <v>9929</v>
      </c>
      <c r="B1175" s="10" t="s">
        <v>11279</v>
      </c>
      <c r="C1175" s="8">
        <v>873.29</v>
      </c>
      <c r="D1175" s="15">
        <v>0.94</v>
      </c>
      <c r="AGX1175" s="8" t="s">
        <v>11279</v>
      </c>
      <c r="BEQ1175" s="8" t="s">
        <v>453</v>
      </c>
      <c r="BQQ1175" s="8" t="s">
        <v>5702</v>
      </c>
      <c r="BQR1175" s="8" t="s">
        <v>5702</v>
      </c>
      <c r="BSM1175" s="8" t="s">
        <v>5054</v>
      </c>
      <c r="BSO1175" s="8" t="s">
        <v>5054</v>
      </c>
      <c r="CFH1175" s="8" t="s">
        <v>5007</v>
      </c>
      <c r="CHC1175" s="8" t="s">
        <v>5007</v>
      </c>
      <c r="CHD1175" s="8" t="s">
        <v>5007</v>
      </c>
      <c r="CHT1175" s="8" t="s">
        <v>425</v>
      </c>
    </row>
    <row r="1176" spans="1:986 1416:1981 2067:3026 3080:3368">
      <c r="A1176" s="8" t="s">
        <v>9929</v>
      </c>
      <c r="B1176" s="10" t="s">
        <v>11280</v>
      </c>
      <c r="C1176" s="8">
        <v>875.23</v>
      </c>
      <c r="D1176" s="15">
        <v>3.12</v>
      </c>
      <c r="AHB1176" s="8" t="s">
        <v>11280</v>
      </c>
      <c r="BFI1176" s="8" t="s">
        <v>454</v>
      </c>
      <c r="BRX1176" s="8" t="s">
        <v>5703</v>
      </c>
      <c r="BRY1176" s="8" t="s">
        <v>5703</v>
      </c>
      <c r="BTS1176" s="8" t="s">
        <v>5367</v>
      </c>
      <c r="BTT1176" s="8" t="s">
        <v>5367</v>
      </c>
      <c r="BTU1176" s="8" t="s">
        <v>5367</v>
      </c>
      <c r="CGK1176" s="8" t="s">
        <v>5008</v>
      </c>
      <c r="CIG1176" s="8" t="s">
        <v>5008</v>
      </c>
      <c r="CIH1176" s="8" t="s">
        <v>5008</v>
      </c>
      <c r="CMF1176" s="8" t="s">
        <v>426</v>
      </c>
    </row>
    <row r="1177" spans="1:986 1416:1981 2067:3026 3080:3368">
      <c r="A1177" s="8" t="s">
        <v>9929</v>
      </c>
      <c r="B1177" s="10" t="s">
        <v>11281</v>
      </c>
      <c r="C1177" s="8">
        <v>879.35</v>
      </c>
      <c r="D1177" s="15">
        <v>3.12</v>
      </c>
      <c r="AHF1177" s="8" t="s">
        <v>11281</v>
      </c>
      <c r="BGJ1177" s="8" t="s">
        <v>455</v>
      </c>
      <c r="BTH1177" s="8" t="s">
        <v>5704</v>
      </c>
      <c r="BTI1177" s="8" t="s">
        <v>5704</v>
      </c>
      <c r="BVC1177" s="8" t="s">
        <v>5056</v>
      </c>
      <c r="BVD1177" s="8" t="s">
        <v>5056</v>
      </c>
      <c r="BVE1177" s="8" t="s">
        <v>5056</v>
      </c>
      <c r="CIB1177" s="8" t="s">
        <v>5009</v>
      </c>
      <c r="CJX1177" s="8" t="s">
        <v>5009</v>
      </c>
      <c r="CJY1177" s="8" t="s">
        <v>5009</v>
      </c>
      <c r="CNJ1177" s="8" t="s">
        <v>427</v>
      </c>
    </row>
    <row r="1178" spans="1:986 1416:1981 2067:3026 3080:3368">
      <c r="A1178" s="8" t="s">
        <v>9929</v>
      </c>
      <c r="B1178" s="10" t="s">
        <v>11282</v>
      </c>
      <c r="C1178" s="8">
        <v>883.48</v>
      </c>
      <c r="D1178" s="15">
        <v>6.25</v>
      </c>
      <c r="AHN1178" s="8" t="s">
        <v>11282</v>
      </c>
      <c r="BKB1178" s="8" t="s">
        <v>456</v>
      </c>
      <c r="CAV1178" s="8" t="s">
        <v>5705</v>
      </c>
      <c r="CAW1178" s="8" t="s">
        <v>5705</v>
      </c>
      <c r="CCQ1178" s="8" t="s">
        <v>5058</v>
      </c>
      <c r="CCR1178" s="8" t="s">
        <v>5058</v>
      </c>
      <c r="CCS1178" s="8" t="s">
        <v>5058</v>
      </c>
      <c r="CJX1178" s="8" t="s">
        <v>5010</v>
      </c>
      <c r="CLT1178" s="8" t="s">
        <v>5010</v>
      </c>
      <c r="CLU1178" s="8" t="s">
        <v>5010</v>
      </c>
      <c r="CON1178" s="8" t="s">
        <v>428</v>
      </c>
    </row>
    <row r="1179" spans="1:986 1416:1981 2067:3026 3080:3368">
      <c r="A1179" s="8" t="s">
        <v>9929</v>
      </c>
      <c r="B1179" s="10" t="s">
        <v>11283</v>
      </c>
      <c r="C1179" s="8">
        <v>890.72</v>
      </c>
      <c r="D1179" s="15">
        <v>14.95</v>
      </c>
      <c r="AID1179" s="8" t="s">
        <v>11283</v>
      </c>
      <c r="BNT1179" s="8" t="s">
        <v>457</v>
      </c>
      <c r="CBV1179" s="8" t="s">
        <v>5706</v>
      </c>
      <c r="CDQ1179" s="8" t="s">
        <v>5059</v>
      </c>
      <c r="CDR1179" s="8" t="s">
        <v>5059</v>
      </c>
      <c r="CDS1179" s="8" t="s">
        <v>5059</v>
      </c>
      <c r="CKJ1179" s="8" t="s">
        <v>5011</v>
      </c>
      <c r="CKK1179" s="8" t="s">
        <v>5011</v>
      </c>
      <c r="CMF1179" s="8" t="s">
        <v>5011</v>
      </c>
      <c r="CMG1179" s="8" t="s">
        <v>5011</v>
      </c>
      <c r="CPQ1179" s="8" t="s">
        <v>429</v>
      </c>
    </row>
    <row r="1180" spans="1:986 1416:1981 2067:3026 3080:3368">
      <c r="A1180" s="8" t="s">
        <v>9929</v>
      </c>
      <c r="B1180" s="10" t="s">
        <v>11284</v>
      </c>
      <c r="C1180" s="8">
        <v>906.67</v>
      </c>
      <c r="D1180" s="15">
        <v>6.5</v>
      </c>
      <c r="AIK1180" s="8" t="s">
        <v>11284</v>
      </c>
      <c r="BNW1180" s="8" t="s">
        <v>458</v>
      </c>
      <c r="CCN1180" s="8" t="s">
        <v>5707</v>
      </c>
      <c r="CEI1180" s="8" t="s">
        <v>5060</v>
      </c>
      <c r="CEJ1180" s="8" t="s">
        <v>5060</v>
      </c>
      <c r="CEK1180" s="8" t="s">
        <v>5060</v>
      </c>
      <c r="CLT1180" s="8" t="s">
        <v>5012</v>
      </c>
      <c r="CNP1180" s="8" t="s">
        <v>5012</v>
      </c>
      <c r="CNQ1180" s="8" t="s">
        <v>5012</v>
      </c>
      <c r="CVC1180" s="8" t="s">
        <v>430</v>
      </c>
    </row>
    <row r="1181" spans="1:986 1416:1981 2067:3026 3080:3368">
      <c r="A1181" s="8" t="s">
        <v>9929</v>
      </c>
      <c r="B1181" s="10" t="s">
        <v>11285</v>
      </c>
      <c r="C1181" s="8">
        <v>914.17</v>
      </c>
      <c r="D1181" s="15">
        <v>6.34</v>
      </c>
      <c r="AIS1181" s="8" t="s">
        <v>11285</v>
      </c>
      <c r="BPF1181" s="8" t="s">
        <v>459</v>
      </c>
      <c r="CEJ1181" s="8" t="s">
        <v>5708</v>
      </c>
      <c r="CEK1181" s="8" t="s">
        <v>5708</v>
      </c>
      <c r="CGE1181" s="8" t="s">
        <v>5061</v>
      </c>
      <c r="CGF1181" s="8" t="s">
        <v>5061</v>
      </c>
      <c r="CGG1181" s="8" t="s">
        <v>5061</v>
      </c>
      <c r="CNP1181" s="8" t="s">
        <v>5013</v>
      </c>
      <c r="CPL1181" s="8" t="s">
        <v>5013</v>
      </c>
      <c r="CPM1181" s="8" t="s">
        <v>5013</v>
      </c>
      <c r="DHS1181" s="8" t="s">
        <v>431</v>
      </c>
    </row>
    <row r="1182" spans="1:986 1416:1981 2067:3026 3080:3368">
      <c r="A1182" s="8" t="s">
        <v>9929</v>
      </c>
      <c r="B1182" s="10" t="s">
        <v>11286</v>
      </c>
      <c r="C1182" s="8">
        <v>921.51</v>
      </c>
      <c r="D1182" s="15">
        <v>12.5</v>
      </c>
      <c r="AJF1182" s="8" t="s">
        <v>11286</v>
      </c>
      <c r="BTH1182" s="8" t="s">
        <v>460</v>
      </c>
      <c r="CGF1182" s="8" t="s">
        <v>5709</v>
      </c>
      <c r="CGG1182" s="8" t="s">
        <v>5709</v>
      </c>
      <c r="CIA1182" s="8" t="s">
        <v>5062</v>
      </c>
      <c r="CIB1182" s="8" t="s">
        <v>5062</v>
      </c>
      <c r="CIC1182" s="8" t="s">
        <v>5062</v>
      </c>
      <c r="CXM1182" s="8" t="s">
        <v>5014</v>
      </c>
      <c r="CXN1182" s="8" t="s">
        <v>5014</v>
      </c>
      <c r="CZI1182" s="8" t="s">
        <v>5014</v>
      </c>
      <c r="CZJ1182" s="8" t="s">
        <v>5014</v>
      </c>
      <c r="DJC1182" s="8" t="s">
        <v>432</v>
      </c>
    </row>
    <row r="1183" spans="1:986 1416:1981 2067:3026 3080:3368">
      <c r="A1183" s="8" t="s">
        <v>9929</v>
      </c>
      <c r="B1183" s="10" t="s">
        <v>11287</v>
      </c>
      <c r="C1183" s="8">
        <v>967.26</v>
      </c>
      <c r="D1183" s="15">
        <v>6.25</v>
      </c>
      <c r="AKT1183" s="8" t="s">
        <v>11287</v>
      </c>
      <c r="BVD1183" s="8" t="s">
        <v>461</v>
      </c>
      <c r="CGR1183" s="8" t="s">
        <v>5710</v>
      </c>
      <c r="CGS1183" s="8" t="s">
        <v>5710</v>
      </c>
      <c r="CIM1183" s="8" t="s">
        <v>5329</v>
      </c>
      <c r="CIN1183" s="8" t="s">
        <v>5329</v>
      </c>
      <c r="CIO1183" s="8" t="s">
        <v>5329</v>
      </c>
      <c r="DAN1183" s="8" t="s">
        <v>5015</v>
      </c>
      <c r="DCJ1183" s="8" t="s">
        <v>5015</v>
      </c>
      <c r="DCK1183" s="8" t="s">
        <v>5015</v>
      </c>
      <c r="DKF1183" s="8" t="s">
        <v>433</v>
      </c>
    </row>
    <row r="1184" spans="1:986 1416:1981 2067:3026 3080:3368">
      <c r="A1184" s="8" t="s">
        <v>9929</v>
      </c>
      <c r="B1184" s="10" t="s">
        <v>11288</v>
      </c>
      <c r="C1184" s="8">
        <v>974.51</v>
      </c>
      <c r="D1184" s="15">
        <v>3.25</v>
      </c>
      <c r="AKX1184" s="8" t="s">
        <v>11288</v>
      </c>
      <c r="BBL1184" s="8" t="s">
        <v>11297</v>
      </c>
      <c r="BDH1184" s="8" t="s">
        <v>10362</v>
      </c>
      <c r="BXE1184" s="8" t="s">
        <v>462</v>
      </c>
      <c r="CIB1184" s="8" t="s">
        <v>5711</v>
      </c>
      <c r="CIC1184" s="8" t="s">
        <v>5711</v>
      </c>
      <c r="CJW1184" s="8" t="s">
        <v>5063</v>
      </c>
      <c r="CJX1184" s="8" t="s">
        <v>5063</v>
      </c>
      <c r="CJY1184" s="8" t="s">
        <v>5063</v>
      </c>
      <c r="DCJ1184" s="8" t="s">
        <v>5016</v>
      </c>
      <c r="DEF1184" s="8" t="s">
        <v>5016</v>
      </c>
      <c r="DEG1184" s="8" t="s">
        <v>5016</v>
      </c>
      <c r="DLJ1184" s="8" t="s">
        <v>434</v>
      </c>
    </row>
    <row r="1185" spans="1:1019 1026:2024 2072:3066 3076:4089 4136:4377">
      <c r="A1185" s="8" t="s">
        <v>9929</v>
      </c>
      <c r="B1185" s="10" t="s">
        <v>11289</v>
      </c>
      <c r="C1185" s="8">
        <v>978.76</v>
      </c>
      <c r="D1185" s="15">
        <v>3.25</v>
      </c>
      <c r="ALB1185" s="8" t="s">
        <v>11289</v>
      </c>
      <c r="BCR1185" s="8" t="s">
        <v>11298</v>
      </c>
      <c r="BEN1185" s="8" t="s">
        <v>10363</v>
      </c>
      <c r="BYV1185" s="8" t="s">
        <v>463</v>
      </c>
      <c r="CMR1185" s="8" t="s">
        <v>5712</v>
      </c>
      <c r="CMS1185" s="8" t="s">
        <v>5712</v>
      </c>
      <c r="CON1185" s="8" t="s">
        <v>5064</v>
      </c>
      <c r="COP1185" s="8" t="s">
        <v>5064</v>
      </c>
      <c r="DJO1185" s="8" t="s">
        <v>5017</v>
      </c>
      <c r="DJP1185" s="8" t="s">
        <v>5017</v>
      </c>
      <c r="DLK1185" s="8" t="s">
        <v>5017</v>
      </c>
      <c r="DLL1185" s="8" t="s">
        <v>5017</v>
      </c>
      <c r="DMN1185" s="8" t="s">
        <v>435</v>
      </c>
    </row>
    <row r="1186" spans="1:1019 1026:2024 2072:3066 3076:4089 4136:4377">
      <c r="A1186" s="8" t="s">
        <v>9929</v>
      </c>
      <c r="B1186" s="10" t="s">
        <v>14161</v>
      </c>
      <c r="C1186" s="8">
        <v>983.01</v>
      </c>
      <c r="D1186" s="15">
        <v>13</v>
      </c>
      <c r="ALP1186" s="8" t="s">
        <v>14161</v>
      </c>
      <c r="BAA1186" s="8" t="s">
        <v>1087</v>
      </c>
      <c r="BBW1186" s="8" t="s">
        <v>1087</v>
      </c>
      <c r="BEG1186" s="8" t="s">
        <v>11299</v>
      </c>
      <c r="BGC1186" s="8" t="s">
        <v>10364</v>
      </c>
      <c r="CAR1186" s="8" t="s">
        <v>464</v>
      </c>
      <c r="CNP1186" s="8" t="s">
        <v>5713</v>
      </c>
      <c r="CNQ1186" s="8" t="s">
        <v>5713</v>
      </c>
      <c r="CPK1186" s="8" t="s">
        <v>5065</v>
      </c>
      <c r="CPL1186" s="8" t="s">
        <v>5065</v>
      </c>
      <c r="CPM1186" s="8" t="s">
        <v>5065</v>
      </c>
      <c r="DNQ1186" s="8" t="s">
        <v>436</v>
      </c>
      <c r="DPK1186" s="8" t="s">
        <v>5018</v>
      </c>
      <c r="DRG1186" s="8" t="s">
        <v>5018</v>
      </c>
      <c r="DRH1186" s="8" t="s">
        <v>5018</v>
      </c>
    </row>
    <row r="1187" spans="1:1019 1026:2024 2072:3066 3076:4089 4136:4377">
      <c r="A1187" s="8" t="s">
        <v>9929</v>
      </c>
      <c r="B1187" s="10" t="s">
        <v>14162</v>
      </c>
      <c r="C1187" s="8">
        <v>997.01</v>
      </c>
      <c r="D1187" s="15">
        <v>1.62</v>
      </c>
      <c r="ALS1187" s="8" t="s">
        <v>14162</v>
      </c>
      <c r="BAQ1187" s="8" t="s">
        <v>1088</v>
      </c>
      <c r="BBW1187" s="8" t="s">
        <v>1088</v>
      </c>
      <c r="BCM1187" s="8" t="s">
        <v>1088</v>
      </c>
      <c r="BCW1187" s="8" t="s">
        <v>447</v>
      </c>
      <c r="BEN1187" s="8" t="s">
        <v>11300</v>
      </c>
      <c r="BGJ1187" s="8" t="s">
        <v>10365</v>
      </c>
      <c r="CBW1187" s="8" t="s">
        <v>465</v>
      </c>
      <c r="COB1187" s="8" t="s">
        <v>5714</v>
      </c>
      <c r="COC1187" s="8" t="s">
        <v>5714</v>
      </c>
      <c r="CPW1187" s="8" t="s">
        <v>5066</v>
      </c>
      <c r="CPX1187" s="8" t="s">
        <v>5066</v>
      </c>
      <c r="CPY1187" s="8" t="s">
        <v>5066</v>
      </c>
      <c r="DPH1187" s="8" t="s">
        <v>437</v>
      </c>
      <c r="EIF1187" s="8" t="s">
        <v>5019</v>
      </c>
      <c r="EKB1187" s="8" t="s">
        <v>5019</v>
      </c>
      <c r="EKC1187" s="8" t="s">
        <v>5019</v>
      </c>
    </row>
    <row r="1188" spans="1:1019 1026:2024 2072:3066 3076:4089 4136:4377">
      <c r="A1188" s="8" t="s">
        <v>9929</v>
      </c>
      <c r="B1188" s="10" t="s">
        <v>14163</v>
      </c>
      <c r="C1188" s="8">
        <v>999.64</v>
      </c>
      <c r="D1188" s="15">
        <v>3.25</v>
      </c>
      <c r="ALW1188" s="8" t="s">
        <v>14163</v>
      </c>
      <c r="BBR1188" s="8" t="s">
        <v>1089</v>
      </c>
      <c r="BCM1188" s="8" t="s">
        <v>1089</v>
      </c>
      <c r="BDF1188" s="8" t="s">
        <v>448</v>
      </c>
      <c r="BDN1188" s="8" t="s">
        <v>1089</v>
      </c>
      <c r="BGJ1188" s="8" t="s">
        <v>11301</v>
      </c>
      <c r="BIF1188" s="8" t="s">
        <v>10366</v>
      </c>
      <c r="CCQ1188" s="8" t="s">
        <v>466</v>
      </c>
      <c r="CPL1188" s="8" t="s">
        <v>5715</v>
      </c>
      <c r="CPM1188" s="8" t="s">
        <v>5715</v>
      </c>
      <c r="CRG1188" s="8" t="s">
        <v>5067</v>
      </c>
      <c r="CRH1188" s="8" t="s">
        <v>5067</v>
      </c>
      <c r="CRI1188" s="8" t="s">
        <v>5067</v>
      </c>
      <c r="DRD1188" s="8" t="s">
        <v>438</v>
      </c>
      <c r="EJJ1188" s="8" t="s">
        <v>5020</v>
      </c>
      <c r="ELF1188" s="8" t="s">
        <v>5020</v>
      </c>
      <c r="ELG1188" s="8" t="s">
        <v>5020</v>
      </c>
    </row>
    <row r="1189" spans="1:1019 1026:2024 2072:3066 3076:4089 4136:4377">
      <c r="A1189" s="8" t="s">
        <v>9929</v>
      </c>
      <c r="B1189" s="10" t="s">
        <v>11290</v>
      </c>
      <c r="C1189" s="8">
        <v>1003.89</v>
      </c>
      <c r="D1189" s="15">
        <v>6.66</v>
      </c>
      <c r="AME1189" s="8" t="s">
        <v>11290</v>
      </c>
      <c r="BAR1189" s="19" t="s">
        <v>449</v>
      </c>
      <c r="BBR1189" s="8" t="s">
        <v>1090</v>
      </c>
      <c r="BCF1189" s="8" t="s">
        <v>1090</v>
      </c>
      <c r="BDN1189" s="8" t="s">
        <v>449</v>
      </c>
      <c r="BEB1189" s="8" t="s">
        <v>1090</v>
      </c>
      <c r="BKB1189" s="8" t="s">
        <v>11302</v>
      </c>
      <c r="BLX1189" s="8" t="s">
        <v>10367</v>
      </c>
      <c r="CDT1189" s="8" t="s">
        <v>467</v>
      </c>
      <c r="CTD1189" s="8" t="s">
        <v>5716</v>
      </c>
      <c r="CTE1189" s="8" t="s">
        <v>5716</v>
      </c>
      <c r="CUY1189" s="8" t="s">
        <v>5068</v>
      </c>
      <c r="CUZ1189" s="8" t="s">
        <v>5068</v>
      </c>
      <c r="CVA1189" s="8" t="s">
        <v>5068</v>
      </c>
      <c r="DSZ1189" s="8" t="s">
        <v>439</v>
      </c>
      <c r="EJP1189" s="8" t="s">
        <v>5021</v>
      </c>
      <c r="ELL1189" s="8" t="s">
        <v>5021</v>
      </c>
      <c r="ELM1189" s="8" t="s">
        <v>5021</v>
      </c>
    </row>
    <row r="1190" spans="1:1019 1026:2024 2072:3066 3076:4089 4136:4377">
      <c r="A1190" s="8" t="s">
        <v>9929</v>
      </c>
      <c r="B1190" s="10" t="s">
        <v>11291</v>
      </c>
      <c r="C1190" s="8">
        <v>1011.55</v>
      </c>
      <c r="D1190" s="15">
        <v>6.5</v>
      </c>
      <c r="AML1190" s="8" t="s">
        <v>11291</v>
      </c>
      <c r="BCR1190" s="8" t="s">
        <v>1091</v>
      </c>
      <c r="BEB1190" s="8" t="s">
        <v>1091</v>
      </c>
      <c r="BEN1190" s="8" t="s">
        <v>1091</v>
      </c>
      <c r="BPP1190" s="8" t="s">
        <v>11303</v>
      </c>
      <c r="BRL1190" s="8" t="s">
        <v>10368</v>
      </c>
      <c r="CEO1190" s="8" t="s">
        <v>468</v>
      </c>
      <c r="DCL1190" s="8" t="s">
        <v>5717</v>
      </c>
      <c r="DCM1190" s="8" t="s">
        <v>5717</v>
      </c>
      <c r="DEG1190" s="8" t="s">
        <v>5069</v>
      </c>
      <c r="DEH1190" s="8" t="s">
        <v>5069</v>
      </c>
      <c r="DEI1190" s="8" t="s">
        <v>5069</v>
      </c>
      <c r="DUV1190" s="8" t="s">
        <v>440</v>
      </c>
      <c r="ELL1190" s="8" t="s">
        <v>5022</v>
      </c>
      <c r="ENH1190" s="8" t="s">
        <v>5022</v>
      </c>
      <c r="ENI1190" s="8" t="s">
        <v>5022</v>
      </c>
    </row>
    <row r="1191" spans="1:1019 1026:2024 2072:3066 3076:4089 4136:4377">
      <c r="A1191" s="8" t="s">
        <v>9929</v>
      </c>
      <c r="B1191" s="10" t="s">
        <v>11292</v>
      </c>
      <c r="C1191" s="8">
        <v>1019.05</v>
      </c>
      <c r="D1191" s="15">
        <v>0.98</v>
      </c>
      <c r="AMN1191" s="17" t="s">
        <v>11292</v>
      </c>
      <c r="AYZ1191" s="8" t="s">
        <v>451</v>
      </c>
      <c r="BCR1191" s="8" t="s">
        <v>1092</v>
      </c>
      <c r="BEN1191" s="8" t="s">
        <v>1092</v>
      </c>
      <c r="BWF1191" s="8" t="s">
        <v>11304</v>
      </c>
      <c r="BYB1191" s="8" t="s">
        <v>10369</v>
      </c>
      <c r="CIB1191" s="8" t="s">
        <v>469</v>
      </c>
      <c r="DEH1191" s="8" t="s">
        <v>5718</v>
      </c>
      <c r="DGC1191" s="8" t="s">
        <v>5044</v>
      </c>
      <c r="DGD1191" s="8" t="s">
        <v>5044</v>
      </c>
      <c r="DGE1191" s="8" t="s">
        <v>5044</v>
      </c>
      <c r="EES1191" s="8" t="s">
        <v>441</v>
      </c>
      <c r="ENH1191" s="8" t="s">
        <v>5023</v>
      </c>
      <c r="EPD1191" s="8" t="s">
        <v>5023</v>
      </c>
      <c r="EPE1191" s="8" t="s">
        <v>5023</v>
      </c>
    </row>
    <row r="1192" spans="1:1019 1026:2024 2072:3066 3076:4089 4136:4377">
      <c r="A1192" s="8" t="s">
        <v>9929</v>
      </c>
      <c r="B1192" s="10" t="s">
        <v>11293</v>
      </c>
      <c r="C1192" s="8">
        <v>1021.03</v>
      </c>
      <c r="D1192" s="15">
        <v>32.5</v>
      </c>
      <c r="ANV1192" s="8" t="s">
        <v>11293</v>
      </c>
      <c r="AYZ1192" s="8" t="s">
        <v>452</v>
      </c>
      <c r="BCR1192" s="8" t="s">
        <v>1093</v>
      </c>
      <c r="BEN1192" s="8" t="s">
        <v>1093</v>
      </c>
      <c r="CEF1192" s="8" t="s">
        <v>11305</v>
      </c>
      <c r="CGB1192" s="8" t="s">
        <v>10370</v>
      </c>
      <c r="CIB1192" s="8" t="s">
        <v>470</v>
      </c>
      <c r="DMX1192" s="8" t="s">
        <v>5719</v>
      </c>
      <c r="DOS1192" s="8" t="s">
        <v>5330</v>
      </c>
      <c r="DOT1192" s="8" t="s">
        <v>5330</v>
      </c>
      <c r="DOU1192" s="8" t="s">
        <v>5330</v>
      </c>
      <c r="EHT1192" s="8" t="s">
        <v>442</v>
      </c>
      <c r="EPD1192" s="8" t="s">
        <v>5024</v>
      </c>
      <c r="EQZ1192" s="8" t="s">
        <v>5024</v>
      </c>
      <c r="ERA1192" s="8" t="s">
        <v>5024</v>
      </c>
    </row>
    <row r="1193" spans="1:1019 1026:2024 2072:3066 3076:4089 4136:4377">
      <c r="A1193" s="8" t="s">
        <v>9929</v>
      </c>
      <c r="B1193" s="10" t="s">
        <v>11294</v>
      </c>
      <c r="C1193" s="8">
        <v>1054.53</v>
      </c>
      <c r="D1193" s="15">
        <v>62.5</v>
      </c>
      <c r="AQG1193" s="8" t="s">
        <v>11294</v>
      </c>
      <c r="AYZ1193" s="8" t="s">
        <v>453</v>
      </c>
      <c r="BCU1193" s="8" t="s">
        <v>1094</v>
      </c>
      <c r="BEN1193" s="8" t="s">
        <v>1094</v>
      </c>
      <c r="BEQ1193" s="8" t="s">
        <v>1094</v>
      </c>
      <c r="CEJ1193" s="8" t="s">
        <v>11306</v>
      </c>
      <c r="CGF1193" s="8" t="s">
        <v>10371</v>
      </c>
      <c r="CPC1193" s="8" t="s">
        <v>471</v>
      </c>
      <c r="DNH1193" s="8" t="s">
        <v>5720</v>
      </c>
      <c r="DNI1193" s="8" t="s">
        <v>5720</v>
      </c>
      <c r="DPC1193" s="8" t="s">
        <v>5070</v>
      </c>
      <c r="DPD1193" s="8" t="s">
        <v>5070</v>
      </c>
      <c r="DPE1193" s="8" t="s">
        <v>5070</v>
      </c>
      <c r="EJP1193" s="8" t="s">
        <v>443</v>
      </c>
      <c r="EQZ1193" s="8" t="s">
        <v>5025</v>
      </c>
      <c r="ESV1193" s="8" t="s">
        <v>5025</v>
      </c>
      <c r="ESW1193" s="8" t="s">
        <v>5025</v>
      </c>
    </row>
    <row r="1194" spans="1:1019 1026:2024 2072:3066 3076:4089 4136:4377">
      <c r="A1194" s="8" t="s">
        <v>9929</v>
      </c>
      <c r="B1194" s="10" t="s">
        <v>11295</v>
      </c>
      <c r="C1194" s="8">
        <v>1118.03</v>
      </c>
      <c r="D1194" s="15">
        <v>1.87</v>
      </c>
      <c r="AQJ1194" s="8" t="s">
        <v>11295</v>
      </c>
      <c r="AZC1194" s="8" t="s">
        <v>454</v>
      </c>
      <c r="BBX1194" s="8" t="s">
        <v>454</v>
      </c>
      <c r="BCU1194" s="8" t="s">
        <v>1095</v>
      </c>
      <c r="BDM1194" s="8" t="s">
        <v>1095</v>
      </c>
      <c r="BEQ1194" s="8" t="s">
        <v>454</v>
      </c>
      <c r="BFI1194" s="8" t="s">
        <v>1095</v>
      </c>
      <c r="CGF1194" s="8" t="s">
        <v>11307</v>
      </c>
      <c r="CIB1194" s="8" t="s">
        <v>10372</v>
      </c>
      <c r="CRH1194" s="8" t="s">
        <v>472</v>
      </c>
      <c r="DNY1194" s="8" t="s">
        <v>5721</v>
      </c>
      <c r="DPT1194" s="8" t="s">
        <v>5071</v>
      </c>
      <c r="DPU1194" s="8" t="s">
        <v>5071</v>
      </c>
      <c r="DPV1194" s="8" t="s">
        <v>5071</v>
      </c>
      <c r="ESV1194" s="8" t="s">
        <v>5026</v>
      </c>
      <c r="EUR1194" s="8" t="s">
        <v>5026</v>
      </c>
      <c r="EUS1194" s="8" t="s">
        <v>5026</v>
      </c>
      <c r="EWQ1194" s="8" t="s">
        <v>444</v>
      </c>
    </row>
    <row r="1195" spans="1:1019 1026:2024 2072:3066 3076:4089 4136:4377">
      <c r="A1195" s="8" t="s">
        <v>9929</v>
      </c>
      <c r="B1195" s="10" t="s">
        <v>11296</v>
      </c>
      <c r="C1195" s="8">
        <v>1120.9000000000001</v>
      </c>
      <c r="D1195" s="15">
        <v>24.06</v>
      </c>
      <c r="ARI1195" s="8" t="s">
        <v>11296</v>
      </c>
      <c r="AZU1195" s="8" t="s">
        <v>455</v>
      </c>
      <c r="BEN1195" s="8" t="s">
        <v>1096</v>
      </c>
      <c r="BFI1195" s="8" t="s">
        <v>1096</v>
      </c>
      <c r="BFT1195" s="8" t="s">
        <v>455</v>
      </c>
      <c r="BGJ1195" s="8" t="s">
        <v>1096</v>
      </c>
      <c r="CHB1195" s="8" t="s">
        <v>11308</v>
      </c>
      <c r="CIX1195" s="8" t="s">
        <v>10373</v>
      </c>
      <c r="CUZ1195" s="8" t="s">
        <v>473</v>
      </c>
      <c r="DOK1195" s="8" t="s">
        <v>5722</v>
      </c>
      <c r="DOL1195" s="8" t="s">
        <v>5722</v>
      </c>
      <c r="DQF1195" s="8" t="s">
        <v>5328</v>
      </c>
      <c r="DQG1195" s="8" t="s">
        <v>5328</v>
      </c>
      <c r="DQH1195" s="8" t="s">
        <v>5328</v>
      </c>
      <c r="EYJ1195" s="8" t="s">
        <v>5027</v>
      </c>
      <c r="FAF1195" s="8" t="s">
        <v>5027</v>
      </c>
      <c r="FAG1195" s="8" t="s">
        <v>5027</v>
      </c>
    </row>
    <row r="1196" spans="1:1019 1026:2024 2072:3066 3076:4089 4136:4377">
      <c r="A1196" s="8" t="s">
        <v>9929</v>
      </c>
      <c r="B1196" s="10" t="s">
        <v>14164</v>
      </c>
      <c r="C1196" s="8">
        <v>1193.5</v>
      </c>
      <c r="D1196" s="15">
        <v>6.5</v>
      </c>
      <c r="ATL1196" s="8" t="s">
        <v>14164</v>
      </c>
      <c r="BAV1196" s="8" t="s">
        <v>456</v>
      </c>
      <c r="BCR1196" s="8" t="s">
        <v>1097</v>
      </c>
      <c r="BCU1196" s="8" t="s">
        <v>456</v>
      </c>
      <c r="BGJ1196" s="8" t="s">
        <v>456</v>
      </c>
      <c r="BIF1196" s="8" t="s">
        <v>1097</v>
      </c>
      <c r="BKB1196" s="8" t="s">
        <v>1097</v>
      </c>
      <c r="CHL1196" s="8" t="s">
        <v>11309</v>
      </c>
      <c r="CJH1196" s="8" t="s">
        <v>10374</v>
      </c>
      <c r="CWV1196" s="8" t="s">
        <v>474</v>
      </c>
      <c r="DPH1196" s="8" t="s">
        <v>5723</v>
      </c>
      <c r="DRC1196" s="8" t="s">
        <v>5055</v>
      </c>
      <c r="DRD1196" s="8" t="s">
        <v>5055</v>
      </c>
      <c r="DRE1196" s="8" t="s">
        <v>5055</v>
      </c>
      <c r="FAF1196" s="8" t="s">
        <v>5028</v>
      </c>
      <c r="FCB1196" s="8" t="s">
        <v>5028</v>
      </c>
      <c r="FCC1196" s="8" t="s">
        <v>5028</v>
      </c>
    </row>
    <row r="1197" spans="1:1019 1026:2024 2072:3066 3076:4089 4136:4377">
      <c r="A1197" s="8" t="s">
        <v>9929</v>
      </c>
      <c r="B1197" s="10" t="s">
        <v>11297</v>
      </c>
      <c r="C1197" s="8">
        <v>1260.6300000000001</v>
      </c>
      <c r="D1197" s="15">
        <v>3.13</v>
      </c>
      <c r="AVX1197" s="8" t="s">
        <v>11297</v>
      </c>
      <c r="BEN1197" s="8" t="s">
        <v>457</v>
      </c>
      <c r="BGG1197" s="8" t="s">
        <v>457</v>
      </c>
      <c r="BGJ1197" s="8" t="s">
        <v>1098</v>
      </c>
      <c r="BKB1197" s="8" t="s">
        <v>457</v>
      </c>
      <c r="BLX1197" s="8" t="s">
        <v>1098</v>
      </c>
      <c r="BNT1197" s="8" t="s">
        <v>1098</v>
      </c>
      <c r="CIB1197" s="8" t="s">
        <v>11310</v>
      </c>
      <c r="CJX1197" s="8" t="s">
        <v>10375</v>
      </c>
      <c r="DAZ1197" s="8" t="s">
        <v>475</v>
      </c>
      <c r="DPH1197" s="8" t="s">
        <v>5724</v>
      </c>
      <c r="DPI1197" s="8" t="s">
        <v>5724</v>
      </c>
      <c r="DRC1197" s="8" t="s">
        <v>5331</v>
      </c>
      <c r="DRD1197" s="8" t="s">
        <v>5331</v>
      </c>
      <c r="DRE1197" s="8" t="s">
        <v>5331</v>
      </c>
      <c r="FCB1197" s="8" t="s">
        <v>5029</v>
      </c>
      <c r="FDX1197" s="8" t="s">
        <v>5029</v>
      </c>
      <c r="FDY1197" s="8" t="s">
        <v>5029</v>
      </c>
    </row>
    <row r="1198" spans="1:1019 1026:2024 2072:3066 3076:4089 4136:4377">
      <c r="A1198" s="8" t="s">
        <v>9929</v>
      </c>
      <c r="B1198" s="10" t="s">
        <v>11298</v>
      </c>
      <c r="C1198" s="8">
        <v>1264.75</v>
      </c>
      <c r="D1198" s="15">
        <v>31.25</v>
      </c>
      <c r="AXD1198" s="8" t="s">
        <v>11298</v>
      </c>
      <c r="AYZ1198" s="8" t="s">
        <v>397</v>
      </c>
      <c r="BIF1198" s="8" t="s">
        <v>458</v>
      </c>
      <c r="BMA1198" s="8" t="s">
        <v>1099</v>
      </c>
      <c r="BNT1198" s="8" t="s">
        <v>1099</v>
      </c>
      <c r="BNW1198" s="8" t="s">
        <v>1099</v>
      </c>
      <c r="BOE1198" s="8" t="s">
        <v>458</v>
      </c>
      <c r="CIT1198" s="8" t="s">
        <v>11311</v>
      </c>
      <c r="CKP1198" s="8" t="s">
        <v>10376</v>
      </c>
      <c r="DCJ1198" s="8" t="s">
        <v>476</v>
      </c>
      <c r="DRD1198" s="8" t="s">
        <v>5725</v>
      </c>
      <c r="DSY1198" s="8" t="s">
        <v>5072</v>
      </c>
      <c r="DSZ1198" s="8" t="s">
        <v>5072</v>
      </c>
      <c r="DTA1198" s="8" t="s">
        <v>5072</v>
      </c>
      <c r="FDX1198" s="8" t="s">
        <v>5030</v>
      </c>
      <c r="FFT1198" s="8" t="s">
        <v>5030</v>
      </c>
      <c r="FFU1198" s="8" t="s">
        <v>5030</v>
      </c>
    </row>
    <row r="1199" spans="1:1019 1026:2024 2072:3066 3076:4089 4136:4377">
      <c r="A1199" s="8" t="s">
        <v>9929</v>
      </c>
      <c r="B1199" s="10" t="s">
        <v>11299</v>
      </c>
      <c r="C1199" s="8">
        <v>1333.62</v>
      </c>
      <c r="D1199" s="15">
        <v>3.13</v>
      </c>
      <c r="AYS1199" s="8" t="s">
        <v>11299</v>
      </c>
      <c r="BGP1199" s="8" t="s">
        <v>398</v>
      </c>
      <c r="BII1199" s="8" t="s">
        <v>459</v>
      </c>
      <c r="BIL1199" s="8" t="s">
        <v>398</v>
      </c>
      <c r="BKW1199" s="8" t="s">
        <v>459</v>
      </c>
      <c r="BMA1199" s="8" t="s">
        <v>1100</v>
      </c>
      <c r="BNJ1199" s="8" t="s">
        <v>1100</v>
      </c>
      <c r="BNW1199" s="8" t="s">
        <v>459</v>
      </c>
      <c r="BPF1199" s="8" t="s">
        <v>1100</v>
      </c>
      <c r="CJX1199" s="8" t="s">
        <v>11312</v>
      </c>
      <c r="CLT1199" s="8" t="s">
        <v>10377</v>
      </c>
      <c r="DEF1199" s="8" t="s">
        <v>477</v>
      </c>
      <c r="DSZ1199" s="8" t="s">
        <v>5726</v>
      </c>
      <c r="DUU1199" s="8" t="s">
        <v>5073</v>
      </c>
      <c r="DUV1199" s="8" t="s">
        <v>5073</v>
      </c>
      <c r="DUW1199" s="8" t="s">
        <v>5073</v>
      </c>
      <c r="FFT1199" s="8" t="s">
        <v>5031</v>
      </c>
      <c r="FHP1199" s="8" t="s">
        <v>5031</v>
      </c>
      <c r="FHQ1199" s="8" t="s">
        <v>5031</v>
      </c>
    </row>
    <row r="1200" spans="1:1019 1026:2024 2072:3066 3076:4089 4136:4377">
      <c r="A1200" s="8" t="s">
        <v>9929</v>
      </c>
      <c r="B1200" s="10" t="s">
        <v>11300</v>
      </c>
      <c r="C1200" s="8">
        <v>1337.75</v>
      </c>
      <c r="D1200" s="15">
        <v>6.25</v>
      </c>
      <c r="AYZ1200" s="8" t="s">
        <v>11300</v>
      </c>
      <c r="BIF1200" s="8" t="s">
        <v>399</v>
      </c>
      <c r="BJR1200" s="8" t="s">
        <v>460</v>
      </c>
      <c r="BKB1200" s="8" t="s">
        <v>399</v>
      </c>
      <c r="BLN1200" s="8" t="s">
        <v>1101</v>
      </c>
      <c r="BMV1200" s="8" t="s">
        <v>460</v>
      </c>
      <c r="BPF1200" s="8" t="s">
        <v>460</v>
      </c>
      <c r="BRL1200" s="8" t="s">
        <v>1101</v>
      </c>
      <c r="BTH1200" s="8" t="s">
        <v>1101</v>
      </c>
      <c r="CTD1200" s="8" t="s">
        <v>11313</v>
      </c>
      <c r="CUZ1200" s="8" t="s">
        <v>10378</v>
      </c>
      <c r="DEF1200" s="8" t="s">
        <v>478</v>
      </c>
      <c r="DXP1200" s="8" t="s">
        <v>5727</v>
      </c>
      <c r="DXQ1200" s="8" t="s">
        <v>5727</v>
      </c>
      <c r="DZL1200" s="8" t="s">
        <v>5048</v>
      </c>
      <c r="DZN1200" s="8" t="s">
        <v>5048</v>
      </c>
      <c r="FJL1200" s="8" t="s">
        <v>5032</v>
      </c>
      <c r="FLH1200" s="8" t="s">
        <v>5032</v>
      </c>
      <c r="FLI1200" s="8" t="s">
        <v>5032</v>
      </c>
    </row>
    <row r="1201" spans="1:4 1352:2048 2055:2936 3128:3897 4132:4377">
      <c r="A1201" s="8" t="s">
        <v>9929</v>
      </c>
      <c r="B1201" s="10" t="s">
        <v>11301</v>
      </c>
      <c r="C1201" s="8">
        <v>1388.88</v>
      </c>
      <c r="D1201" s="15">
        <v>3.13</v>
      </c>
      <c r="BAV1201" s="8" t="s">
        <v>11301</v>
      </c>
      <c r="BBH1201" s="8" t="s">
        <v>1334</v>
      </c>
      <c r="BDD1201" s="8" t="s">
        <v>1334</v>
      </c>
      <c r="BEZ1201" s="8" t="s">
        <v>1334</v>
      </c>
      <c r="BGV1201" s="8" t="s">
        <v>1334</v>
      </c>
      <c r="BIF1201" s="8" t="s">
        <v>400</v>
      </c>
      <c r="BKB1201" s="8" t="s">
        <v>400</v>
      </c>
      <c r="BNT1201" s="8" t="s">
        <v>461</v>
      </c>
      <c r="BRF1201" s="8" t="s">
        <v>461</v>
      </c>
      <c r="BRL1201" s="8" t="s">
        <v>1102</v>
      </c>
      <c r="BTH1201" s="8" t="s">
        <v>1102</v>
      </c>
      <c r="BVD1201" s="8" t="s">
        <v>1102</v>
      </c>
      <c r="CUZ1201" s="8" t="s">
        <v>11314</v>
      </c>
      <c r="CWV1201" s="8" t="s">
        <v>10379</v>
      </c>
      <c r="DFG1201" s="8" t="s">
        <v>479</v>
      </c>
      <c r="EAJ1201" s="8" t="s">
        <v>5728</v>
      </c>
      <c r="EAK1201" s="8" t="s">
        <v>5728</v>
      </c>
      <c r="ECE1201" s="8" t="s">
        <v>5074</v>
      </c>
      <c r="ECF1201" s="8" t="s">
        <v>5074</v>
      </c>
      <c r="ECG1201" s="8" t="s">
        <v>5074</v>
      </c>
      <c r="FJL1201" s="8" t="s">
        <v>5033</v>
      </c>
      <c r="FLH1201" s="8" t="s">
        <v>5033</v>
      </c>
      <c r="FLI1201" s="8" t="s">
        <v>5033</v>
      </c>
    </row>
    <row r="1202" spans="1:4 1352:2048 2055:2936 3128:3897 4132:4377">
      <c r="A1202" s="8" t="s">
        <v>9929</v>
      </c>
      <c r="B1202" s="10" t="s">
        <v>11302</v>
      </c>
      <c r="C1202" s="8">
        <v>1484.88</v>
      </c>
      <c r="D1202" s="15">
        <v>3.13</v>
      </c>
      <c r="AYZ1202" s="8" t="s">
        <v>1669</v>
      </c>
      <c r="BCR1202" s="8" t="s">
        <v>416</v>
      </c>
      <c r="BEN1202" s="8" t="s">
        <v>11302</v>
      </c>
      <c r="BGJ1202" s="8" t="s">
        <v>416</v>
      </c>
      <c r="BIF1202" s="8" t="s">
        <v>416</v>
      </c>
      <c r="BIN1202" s="8" t="s">
        <v>401</v>
      </c>
      <c r="BKJ1202" s="8" t="s">
        <v>401</v>
      </c>
      <c r="BPP1202" s="8" t="s">
        <v>462</v>
      </c>
      <c r="BSV1202" s="8" t="s">
        <v>462</v>
      </c>
      <c r="BTH1202" s="8" t="s">
        <v>1103</v>
      </c>
      <c r="BVD1202" s="8" t="s">
        <v>462</v>
      </c>
      <c r="BVI1202" s="8" t="s">
        <v>1103</v>
      </c>
      <c r="BXE1202" s="8" t="s">
        <v>1103</v>
      </c>
      <c r="DEB1202" s="8" t="s">
        <v>11315</v>
      </c>
      <c r="DFX1202" s="8" t="s">
        <v>10380</v>
      </c>
      <c r="DHX1202" s="8" t="s">
        <v>480</v>
      </c>
      <c r="EAJ1202" s="8" t="s">
        <v>5729</v>
      </c>
      <c r="ECE1202" s="8" t="s">
        <v>5057</v>
      </c>
      <c r="ECF1202" s="8" t="s">
        <v>5057</v>
      </c>
      <c r="ECG1202" s="8" t="s">
        <v>5057</v>
      </c>
    </row>
    <row r="1203" spans="1:4 1352:2048 2055:2936 3128:3897 4132:4377">
      <c r="A1203" s="8" t="s">
        <v>9929</v>
      </c>
      <c r="B1203" s="10" t="s">
        <v>14165</v>
      </c>
      <c r="C1203" s="8">
        <v>1630.44</v>
      </c>
      <c r="D1203" s="15">
        <v>1.56</v>
      </c>
      <c r="AYZ1203" s="8" t="s">
        <v>1670</v>
      </c>
      <c r="BCR1203" s="8" t="s">
        <v>417</v>
      </c>
      <c r="BEN1203" s="8" t="s">
        <v>417</v>
      </c>
      <c r="BGJ1203" s="8" t="s">
        <v>417</v>
      </c>
      <c r="BIF1203" s="8" t="s">
        <v>417</v>
      </c>
      <c r="BKB1203" s="8" t="s">
        <v>14165</v>
      </c>
      <c r="BLX1203" s="8" t="s">
        <v>402</v>
      </c>
      <c r="BRQ1203" s="8" t="s">
        <v>463</v>
      </c>
      <c r="BVD1203" s="8" t="s">
        <v>463</v>
      </c>
      <c r="BVI1203" s="8" t="s">
        <v>1104</v>
      </c>
      <c r="BWZ1203" s="8" t="s">
        <v>1104</v>
      </c>
      <c r="BXE1203" s="8" t="s">
        <v>463</v>
      </c>
      <c r="BYV1203" s="8" t="s">
        <v>1104</v>
      </c>
      <c r="DEF1203" s="8" t="s">
        <v>11316</v>
      </c>
      <c r="DGB1203" s="8" t="s">
        <v>10381</v>
      </c>
      <c r="DPL1203" s="8" t="s">
        <v>481</v>
      </c>
      <c r="ECF1203" s="8" t="s">
        <v>5730</v>
      </c>
      <c r="ECG1203" s="8" t="s">
        <v>5730</v>
      </c>
      <c r="EEA1203" s="8" t="s">
        <v>5075</v>
      </c>
      <c r="EEB1203" s="8" t="s">
        <v>5075</v>
      </c>
      <c r="EEC1203" s="8" t="s">
        <v>5075</v>
      </c>
    </row>
    <row r="1204" spans="1:4 1352:2048 2055:2936 3128:3897 4132:4377">
      <c r="A1204" s="8" t="s">
        <v>9929</v>
      </c>
      <c r="B1204" s="10" t="s">
        <v>14166</v>
      </c>
      <c r="C1204" s="8">
        <v>1764.46</v>
      </c>
      <c r="D1204" s="15">
        <v>6.42</v>
      </c>
      <c r="AZA1204" s="8" t="s">
        <v>1671</v>
      </c>
      <c r="BCS1204" s="8" t="s">
        <v>418</v>
      </c>
      <c r="BEO1204" s="8" t="s">
        <v>418</v>
      </c>
      <c r="BGK1204" s="8" t="s">
        <v>418</v>
      </c>
      <c r="BIG1204" s="8" t="s">
        <v>418</v>
      </c>
      <c r="BKU1204" s="8" t="s">
        <v>403</v>
      </c>
      <c r="BMQ1204" s="8" t="s">
        <v>403</v>
      </c>
      <c r="BPK1204" s="8" t="s">
        <v>14166</v>
      </c>
      <c r="BTH1204" s="8" t="s">
        <v>464</v>
      </c>
      <c r="BWZ1204" s="8" t="s">
        <v>1105</v>
      </c>
      <c r="BXR1204" s="8" t="s">
        <v>464</v>
      </c>
      <c r="BYV1204" s="8" t="s">
        <v>1105</v>
      </c>
      <c r="CAR1204" s="8" t="s">
        <v>1105</v>
      </c>
      <c r="DGB1204" s="8" t="s">
        <v>11317</v>
      </c>
      <c r="DHX1204" s="8" t="s">
        <v>10382</v>
      </c>
      <c r="DSZ1204" s="8" t="s">
        <v>482</v>
      </c>
      <c r="ECF1204" s="8" t="s">
        <v>5731</v>
      </c>
      <c r="ECG1204" s="8" t="s">
        <v>5731</v>
      </c>
      <c r="EEA1204" s="8" t="s">
        <v>5076</v>
      </c>
      <c r="EEB1204" s="8" t="s">
        <v>5076</v>
      </c>
      <c r="EEC1204" s="8" t="s">
        <v>5076</v>
      </c>
    </row>
    <row r="1205" spans="1:4 1352:2048 2055:2936 3128:3897 4132:4377">
      <c r="A1205" s="8" t="s">
        <v>9929</v>
      </c>
      <c r="B1205" s="10" t="s">
        <v>11304</v>
      </c>
      <c r="C1205" s="8">
        <v>1771.88</v>
      </c>
      <c r="D1205" s="15">
        <v>32.5</v>
      </c>
      <c r="BAK1205" s="8" t="s">
        <v>1672</v>
      </c>
      <c r="BEC1205" s="8" t="s">
        <v>419</v>
      </c>
      <c r="BFY1205" s="8" t="s">
        <v>419</v>
      </c>
      <c r="BHU1205" s="8" t="s">
        <v>419</v>
      </c>
      <c r="BJQ1205" s="8" t="s">
        <v>419</v>
      </c>
      <c r="BMH1205" s="8" t="s">
        <v>404</v>
      </c>
      <c r="BOD1205" s="8" t="s">
        <v>404</v>
      </c>
      <c r="BQR1205" s="8" t="s">
        <v>11304</v>
      </c>
      <c r="BVD1205" s="8" t="s">
        <v>465</v>
      </c>
      <c r="BYM1205" s="8" t="s">
        <v>465</v>
      </c>
      <c r="BYV1205" s="8" t="s">
        <v>1106</v>
      </c>
      <c r="CAA1205" s="8" t="s">
        <v>1106</v>
      </c>
      <c r="CAR1205" s="8" t="s">
        <v>465</v>
      </c>
      <c r="CBW1205" s="8" t="s">
        <v>1106</v>
      </c>
      <c r="DPH1205" s="8" t="s">
        <v>11318</v>
      </c>
      <c r="DRD1205" s="8" t="s">
        <v>10383</v>
      </c>
      <c r="DUV1205" s="8" t="s">
        <v>483</v>
      </c>
      <c r="ENK1205" s="8" t="s">
        <v>5732</v>
      </c>
      <c r="EPF1205" s="8" t="s">
        <v>5077</v>
      </c>
      <c r="EPG1205" s="8" t="s">
        <v>5077</v>
      </c>
      <c r="EPH1205" s="8" t="s">
        <v>5077</v>
      </c>
    </row>
    <row r="1206" spans="1:4 1352:2048 2055:2936 3128:3897 4132:4377">
      <c r="A1206" s="8" t="s">
        <v>9929</v>
      </c>
      <c r="B1206" s="10" t="s">
        <v>14167</v>
      </c>
      <c r="C1206" s="8">
        <v>1813.25</v>
      </c>
      <c r="D1206" s="15">
        <v>6.5</v>
      </c>
      <c r="AZX1206" s="8" t="s">
        <v>2095</v>
      </c>
      <c r="BBT1206" s="8" t="s">
        <v>1673</v>
      </c>
      <c r="BFL1206" s="8" t="s">
        <v>420</v>
      </c>
      <c r="BHH1206" s="8" t="s">
        <v>420</v>
      </c>
      <c r="BJD1206" s="8" t="s">
        <v>420</v>
      </c>
      <c r="BKZ1206" s="8" t="s">
        <v>420</v>
      </c>
      <c r="BRH1206" s="8" t="s">
        <v>14167</v>
      </c>
      <c r="BTH1206" s="8" t="s">
        <v>405</v>
      </c>
      <c r="BVD1206" s="8" t="s">
        <v>405</v>
      </c>
      <c r="BWI1206" s="8" t="s">
        <v>466</v>
      </c>
      <c r="CAU1206" s="8" t="s">
        <v>1107</v>
      </c>
      <c r="CBW1206" s="8" t="s">
        <v>1107</v>
      </c>
      <c r="CCG1206" s="8" t="s">
        <v>466</v>
      </c>
      <c r="CCQ1206" s="8" t="s">
        <v>1107</v>
      </c>
      <c r="DTO1206" s="8" t="s">
        <v>11319</v>
      </c>
      <c r="DVK1206" s="8" t="s">
        <v>10384</v>
      </c>
      <c r="DWR1206" s="8" t="s">
        <v>484</v>
      </c>
      <c r="EPD1206" s="8" t="s">
        <v>5733</v>
      </c>
      <c r="EPE1206" s="8" t="s">
        <v>5733</v>
      </c>
      <c r="EQY1206" s="8" t="s">
        <v>5332</v>
      </c>
      <c r="EQZ1206" s="8" t="s">
        <v>5332</v>
      </c>
      <c r="ERA1206" s="8" t="s">
        <v>5332</v>
      </c>
    </row>
    <row r="1207" spans="1:4 1352:2048 2055:2936 3128:3897 4132:4377">
      <c r="A1207" s="8" t="s">
        <v>9929</v>
      </c>
      <c r="B1207" s="10" t="s">
        <v>14168</v>
      </c>
      <c r="C1207" s="8">
        <v>1820.75</v>
      </c>
      <c r="D1207" s="15">
        <v>3.25</v>
      </c>
      <c r="BBA1207" s="8" t="s">
        <v>2096</v>
      </c>
      <c r="BCW1207" s="8" t="s">
        <v>1674</v>
      </c>
      <c r="BGO1207" s="8" t="s">
        <v>422</v>
      </c>
      <c r="BIK1207" s="8" t="s">
        <v>422</v>
      </c>
      <c r="BKG1207" s="8" t="s">
        <v>422</v>
      </c>
      <c r="BMC1207" s="8" t="s">
        <v>422</v>
      </c>
      <c r="BRL1207" s="8" t="s">
        <v>14168</v>
      </c>
      <c r="BUE1207" s="8" t="s">
        <v>406</v>
      </c>
      <c r="BWA1207" s="8" t="s">
        <v>406</v>
      </c>
      <c r="BXC1207" s="8" t="s">
        <v>467</v>
      </c>
      <c r="CAB1207" s="8" t="s">
        <v>467</v>
      </c>
      <c r="CAU1207" s="8" t="s">
        <v>1108</v>
      </c>
      <c r="CBX1207" s="8" t="s">
        <v>1108</v>
      </c>
      <c r="CCQ1207" s="8" t="s">
        <v>467</v>
      </c>
      <c r="CDT1207" s="8" t="s">
        <v>1108</v>
      </c>
      <c r="DZF1207" s="8" t="s">
        <v>485</v>
      </c>
      <c r="EEB1207" s="8" t="s">
        <v>11320</v>
      </c>
      <c r="EFX1207" s="8" t="s">
        <v>10385</v>
      </c>
      <c r="EQZ1207" s="8" t="s">
        <v>5734</v>
      </c>
      <c r="ESU1207" s="8" t="s">
        <v>5078</v>
      </c>
      <c r="ESV1207" s="8" t="s">
        <v>5078</v>
      </c>
      <c r="ESW1207" s="8" t="s">
        <v>5078</v>
      </c>
    </row>
    <row r="1208" spans="1:4 1352:2048 2055:2936 3128:3897 4132:4377">
      <c r="A1208" s="8" t="s">
        <v>9929</v>
      </c>
      <c r="B1208" s="10" t="s">
        <v>11305</v>
      </c>
      <c r="C1208" s="8">
        <v>1946.88</v>
      </c>
      <c r="D1208" s="15">
        <v>65</v>
      </c>
      <c r="BCA1208" s="8" t="s">
        <v>2097</v>
      </c>
      <c r="BDW1208" s="8" t="s">
        <v>1675</v>
      </c>
      <c r="BHO1208" s="8" t="s">
        <v>421</v>
      </c>
      <c r="BJK1208" s="8" t="s">
        <v>421</v>
      </c>
      <c r="BLG1208" s="8" t="s">
        <v>421</v>
      </c>
      <c r="BNC1208" s="8" t="s">
        <v>421</v>
      </c>
      <c r="BYF1208" s="8" t="s">
        <v>468</v>
      </c>
      <c r="BYR1208" s="8" t="s">
        <v>11305</v>
      </c>
      <c r="BZQ1208" s="8" t="s">
        <v>407</v>
      </c>
      <c r="CBM1208" s="8" t="s">
        <v>407</v>
      </c>
      <c r="CCS1208" s="8" t="s">
        <v>1109</v>
      </c>
      <c r="CDT1208" s="8" t="s">
        <v>1109</v>
      </c>
      <c r="CDX1208" s="8" t="s">
        <v>468</v>
      </c>
      <c r="CEO1208" s="8" t="s">
        <v>1109</v>
      </c>
      <c r="EAO1208" s="8" t="s">
        <v>486</v>
      </c>
      <c r="FCB1208" s="8" t="s">
        <v>5735</v>
      </c>
      <c r="FCC1208" s="8" t="s">
        <v>5735</v>
      </c>
      <c r="FDW1208" s="8" t="s">
        <v>5333</v>
      </c>
      <c r="FDX1208" s="8" t="s">
        <v>5333</v>
      </c>
      <c r="FDY1208" s="8" t="s">
        <v>5333</v>
      </c>
      <c r="FJL1208" s="8" t="s">
        <v>11321</v>
      </c>
      <c r="FLH1208" s="8" t="s">
        <v>10386</v>
      </c>
    </row>
    <row r="1209" spans="1:4 1352:2048 2055:2936 3128:3897 4132:4377">
      <c r="A1209" s="8" t="s">
        <v>9929</v>
      </c>
      <c r="B1209" s="10" t="s">
        <v>11306</v>
      </c>
      <c r="C1209" s="8">
        <v>2012.88</v>
      </c>
      <c r="D1209" s="15">
        <v>3.13</v>
      </c>
      <c r="BKB1209" s="8" t="s">
        <v>2098</v>
      </c>
      <c r="BLX1209" s="8" t="s">
        <v>1676</v>
      </c>
      <c r="BPP1209" s="8" t="s">
        <v>423</v>
      </c>
      <c r="BRL1209" s="8" t="s">
        <v>423</v>
      </c>
      <c r="BTH1209" s="8" t="s">
        <v>423</v>
      </c>
      <c r="BVD1209" s="8" t="s">
        <v>423</v>
      </c>
      <c r="BYV1209" s="8" t="s">
        <v>11306</v>
      </c>
      <c r="BZA1209" s="8" t="s">
        <v>469</v>
      </c>
      <c r="CAR1209" s="8" t="s">
        <v>469</v>
      </c>
      <c r="CAW1209" s="8" t="s">
        <v>1110</v>
      </c>
      <c r="CEO1209" s="8" t="s">
        <v>469</v>
      </c>
      <c r="CGF1209" s="8" t="s">
        <v>1110</v>
      </c>
      <c r="CIB1209" s="8" t="s">
        <v>1110</v>
      </c>
      <c r="CLD1209" s="8" t="s">
        <v>387</v>
      </c>
      <c r="CMZ1209" s="8" t="s">
        <v>387</v>
      </c>
      <c r="ECR1209" s="8" t="s">
        <v>487</v>
      </c>
      <c r="FCB1209" s="8" t="s">
        <v>5736</v>
      </c>
      <c r="FCC1209" s="8" t="s">
        <v>5736</v>
      </c>
      <c r="FDW1209" s="8" t="s">
        <v>5334</v>
      </c>
      <c r="FDX1209" s="8" t="s">
        <v>5334</v>
      </c>
      <c r="FDY1209" s="8" t="s">
        <v>5334</v>
      </c>
    </row>
    <row r="1210" spans="1:4 1352:2048 2055:2936 3128:3897 4132:4377">
      <c r="A1210" s="8" t="s">
        <v>9929</v>
      </c>
      <c r="B1210" s="10" t="s">
        <v>11307</v>
      </c>
      <c r="C1210" s="8">
        <v>2060.88</v>
      </c>
      <c r="D1210" s="15">
        <v>3.13</v>
      </c>
      <c r="BKB1210" s="8" t="s">
        <v>2099</v>
      </c>
      <c r="BLX1210" s="8" t="s">
        <v>1677</v>
      </c>
      <c r="BPP1210" s="8" t="s">
        <v>424</v>
      </c>
      <c r="BRL1210" s="8" t="s">
        <v>424</v>
      </c>
      <c r="BTH1210" s="8" t="s">
        <v>424</v>
      </c>
      <c r="BVD1210" s="8" t="s">
        <v>424</v>
      </c>
      <c r="CAR1210" s="8" t="s">
        <v>11307</v>
      </c>
      <c r="CCN1210" s="8" t="s">
        <v>470</v>
      </c>
      <c r="CGF1210" s="8" t="s">
        <v>1111</v>
      </c>
      <c r="CIB1210" s="8" t="s">
        <v>1111</v>
      </c>
      <c r="CLL1210" s="8" t="s">
        <v>386</v>
      </c>
      <c r="CNH1210" s="8" t="s">
        <v>386</v>
      </c>
      <c r="EEB1210" s="8" t="s">
        <v>488</v>
      </c>
    </row>
    <row r="1211" spans="1:4 1352:2048 2055:2936 3128:3897 4132:4377">
      <c r="A1211" s="8" t="s">
        <v>9929</v>
      </c>
      <c r="B1211" s="10" t="s">
        <v>11308</v>
      </c>
      <c r="C1211" s="8">
        <v>2079.75</v>
      </c>
      <c r="D1211" s="15">
        <v>6.25</v>
      </c>
      <c r="BMI1211" s="8" t="s">
        <v>2100</v>
      </c>
      <c r="BOE1211" s="8" t="s">
        <v>1678</v>
      </c>
      <c r="BRW1211" s="8" t="s">
        <v>425</v>
      </c>
      <c r="BTS1211" s="8" t="s">
        <v>425</v>
      </c>
      <c r="BVO1211" s="8" t="s">
        <v>425</v>
      </c>
      <c r="BXK1211" s="8" t="s">
        <v>425</v>
      </c>
      <c r="CAR1211" s="8" t="s">
        <v>1112</v>
      </c>
      <c r="CBI1211" s="8" t="s">
        <v>471</v>
      </c>
      <c r="CBN1211" s="8" t="s">
        <v>11308</v>
      </c>
      <c r="CCN1211" s="8" t="s">
        <v>471</v>
      </c>
      <c r="CIB1211" s="8" t="s">
        <v>471</v>
      </c>
      <c r="CNG1211" s="8" t="s">
        <v>1112</v>
      </c>
      <c r="CPC1211" s="8" t="s">
        <v>1112</v>
      </c>
      <c r="CTD1211" s="8" t="s">
        <v>408</v>
      </c>
      <c r="CUZ1211" s="8" t="s">
        <v>408</v>
      </c>
      <c r="EHT1211" s="8" t="s">
        <v>489</v>
      </c>
    </row>
    <row r="1212" spans="1:4 1352:2048 2055:2936 3128:3897 4132:4377">
      <c r="A1212" s="8" t="s">
        <v>9929</v>
      </c>
      <c r="B1212" s="10" t="s">
        <v>11309</v>
      </c>
      <c r="C1212" s="8">
        <v>2087</v>
      </c>
      <c r="D1212" s="15">
        <v>9.3699999999999992</v>
      </c>
      <c r="BCA1212" s="8" t="s">
        <v>5082</v>
      </c>
      <c r="BCB1212" s="8" t="s">
        <v>5082</v>
      </c>
      <c r="BNL1212" s="8" t="s">
        <v>2101</v>
      </c>
      <c r="BPH1212" s="8" t="s">
        <v>1679</v>
      </c>
      <c r="BSZ1212" s="8" t="s">
        <v>426</v>
      </c>
      <c r="BUV1212" s="8" t="s">
        <v>426</v>
      </c>
      <c r="BWR1212" s="8" t="s">
        <v>426</v>
      </c>
      <c r="BYN1212" s="8" t="s">
        <v>426</v>
      </c>
      <c r="CBX1212" s="8" t="s">
        <v>11309</v>
      </c>
      <c r="CJO1212" s="8" t="s">
        <v>472</v>
      </c>
      <c r="CNG1212" s="8" t="s">
        <v>1113</v>
      </c>
      <c r="CPC1212" s="8" t="s">
        <v>472</v>
      </c>
      <c r="CPL1212" s="8" t="s">
        <v>1113</v>
      </c>
      <c r="CRH1212" s="8" t="s">
        <v>1113</v>
      </c>
      <c r="CYG1212" s="8" t="s">
        <v>409</v>
      </c>
      <c r="DAC1212" s="8" t="s">
        <v>409</v>
      </c>
      <c r="ERB1212" s="8" t="s">
        <v>490</v>
      </c>
    </row>
    <row r="1213" spans="1:4 1352:2048 2055:2936 3128:3897 4132:4377">
      <c r="A1213" s="8" t="s">
        <v>9929</v>
      </c>
      <c r="B1213" s="10" t="s">
        <v>11310</v>
      </c>
      <c r="C1213" s="8">
        <v>2096.37</v>
      </c>
      <c r="D1213" s="15">
        <v>15.62</v>
      </c>
      <c r="BFJ1213" s="8" t="s">
        <v>5083</v>
      </c>
      <c r="BFK1213" s="8" t="s">
        <v>5083</v>
      </c>
      <c r="BRX1213" s="8" t="s">
        <v>2102</v>
      </c>
      <c r="BTT1213" s="8" t="s">
        <v>1680</v>
      </c>
      <c r="BXL1213" s="8" t="s">
        <v>427</v>
      </c>
      <c r="BZH1213" s="8" t="s">
        <v>427</v>
      </c>
      <c r="CBD1213" s="8" t="s">
        <v>427</v>
      </c>
      <c r="CCN1213" s="8" t="s">
        <v>11310</v>
      </c>
      <c r="CCZ1213" s="8" t="s">
        <v>427</v>
      </c>
      <c r="CLT1213" s="8" t="s">
        <v>473</v>
      </c>
      <c r="CMY1213" s="8" t="s">
        <v>473</v>
      </c>
      <c r="CNP1213" s="8" t="s">
        <v>1114</v>
      </c>
      <c r="CRH1213" s="8" t="s">
        <v>473</v>
      </c>
      <c r="CTD1213" s="8" t="s">
        <v>1114</v>
      </c>
      <c r="CUZ1213" s="8" t="s">
        <v>1114</v>
      </c>
      <c r="CYX1213" s="8" t="s">
        <v>410</v>
      </c>
      <c r="DAT1213" s="8" t="s">
        <v>410</v>
      </c>
      <c r="FBX1213" s="8" t="s">
        <v>491</v>
      </c>
    </row>
    <row r="1214" spans="1:4 1352:2048 2055:2936 3128:3897 4132:4377">
      <c r="A1214" s="8" t="s">
        <v>9929</v>
      </c>
      <c r="B1214" s="10" t="s">
        <v>11311</v>
      </c>
      <c r="C1214" s="8">
        <v>2119.9899999999998</v>
      </c>
      <c r="D1214" s="15">
        <v>9.75</v>
      </c>
      <c r="BGP1214" s="8" t="s">
        <v>5084</v>
      </c>
      <c r="BGQ1214" s="8" t="s">
        <v>5084</v>
      </c>
      <c r="BTB1214" s="8" t="s">
        <v>2103</v>
      </c>
      <c r="BUX1214" s="8" t="s">
        <v>1681</v>
      </c>
      <c r="BYP1214" s="8" t="s">
        <v>428</v>
      </c>
      <c r="CAL1214" s="8" t="s">
        <v>428</v>
      </c>
      <c r="CCH1214" s="8" t="s">
        <v>428</v>
      </c>
      <c r="CDF1214" s="8" t="s">
        <v>11311</v>
      </c>
      <c r="CED1214" s="8" t="s">
        <v>428</v>
      </c>
      <c r="CPL1214" s="8" t="s">
        <v>474</v>
      </c>
      <c r="CTD1214" s="8" t="s">
        <v>1115</v>
      </c>
      <c r="CTU1214" s="8" t="s">
        <v>474</v>
      </c>
      <c r="CUZ1214" s="8" t="s">
        <v>1115</v>
      </c>
      <c r="CWV1214" s="8" t="s">
        <v>1115</v>
      </c>
      <c r="DYN1214" s="8" t="s">
        <v>1333</v>
      </c>
      <c r="EAJ1214" s="8" t="s">
        <v>1333</v>
      </c>
      <c r="FCO1214" s="8" t="s">
        <v>492</v>
      </c>
    </row>
    <row r="1215" spans="1:4 1352:2048 2055:2936 3128:3897 4132:4377">
      <c r="A1215" s="8" t="s">
        <v>9929</v>
      </c>
      <c r="B1215" s="10" t="s">
        <v>11312</v>
      </c>
      <c r="C1215" s="8">
        <v>2156.88</v>
      </c>
      <c r="D1215" s="15">
        <v>3.13</v>
      </c>
      <c r="BGW1215" s="8" t="s">
        <v>5085</v>
      </c>
      <c r="BGX1215" s="8" t="s">
        <v>5085</v>
      </c>
      <c r="BUF1215" s="8" t="s">
        <v>2104</v>
      </c>
      <c r="BWB1215" s="8" t="s">
        <v>1682</v>
      </c>
      <c r="BZT1215" s="8" t="s">
        <v>429</v>
      </c>
      <c r="CBP1215" s="8" t="s">
        <v>429</v>
      </c>
      <c r="CDL1215" s="8" t="s">
        <v>429</v>
      </c>
      <c r="CEJ1215" s="8" t="s">
        <v>11312</v>
      </c>
      <c r="CFH1215" s="8" t="s">
        <v>429</v>
      </c>
      <c r="CRH1215" s="8" t="s">
        <v>475</v>
      </c>
      <c r="CSY1215" s="8" t="s">
        <v>475</v>
      </c>
      <c r="CTD1215" s="8" t="s">
        <v>1116</v>
      </c>
      <c r="CWV1215" s="8" t="s">
        <v>475</v>
      </c>
      <c r="CZD1215" s="8" t="s">
        <v>1116</v>
      </c>
      <c r="DAZ1215" s="8" t="s">
        <v>1116</v>
      </c>
      <c r="FFT1215" s="8" t="s">
        <v>493</v>
      </c>
    </row>
    <row r="1216" spans="1:4 1352:2048 2055:2936 3128:3897 4132:4377">
      <c r="A1216" s="8" t="s">
        <v>9929</v>
      </c>
      <c r="B1216" s="10" t="s">
        <v>11313</v>
      </c>
      <c r="C1216" s="8">
        <v>2393.75</v>
      </c>
      <c r="D1216" s="15">
        <v>6.25</v>
      </c>
      <c r="AZF1216" s="8" t="s">
        <v>1117</v>
      </c>
      <c r="BJN1216" s="8" t="s">
        <v>5086</v>
      </c>
      <c r="BJO1216" s="8" t="s">
        <v>5086</v>
      </c>
      <c r="BVI1216" s="8" t="s">
        <v>2105</v>
      </c>
      <c r="BXE1216" s="8" t="s">
        <v>1683</v>
      </c>
      <c r="CAW1216" s="8" t="s">
        <v>430</v>
      </c>
      <c r="CCS1216" s="8" t="s">
        <v>430</v>
      </c>
      <c r="CEO1216" s="8" t="s">
        <v>430</v>
      </c>
      <c r="CGK1216" s="8" t="s">
        <v>430</v>
      </c>
      <c r="CNP1216" s="8" t="s">
        <v>11313</v>
      </c>
      <c r="CVL1216" s="8" t="s">
        <v>476</v>
      </c>
      <c r="CYR1216" s="8" t="s">
        <v>476</v>
      </c>
      <c r="CZD1216" s="8" t="s">
        <v>1117</v>
      </c>
      <c r="DAN1216" s="8" t="s">
        <v>1117</v>
      </c>
      <c r="DAZ1216" s="8" t="s">
        <v>476</v>
      </c>
      <c r="DCJ1216" s="8" t="s">
        <v>1117</v>
      </c>
      <c r="FHP1216" s="8" t="s">
        <v>494</v>
      </c>
    </row>
    <row r="1217" spans="1:164 1352:2048 2075:3049 3080:4084 4101:4184">
      <c r="A1217" s="8" t="s">
        <v>9929</v>
      </c>
      <c r="B1217" s="10" t="s">
        <v>11314</v>
      </c>
      <c r="C1217" s="8">
        <v>2444.75</v>
      </c>
      <c r="D1217" s="15">
        <v>3.25</v>
      </c>
      <c r="AYZ1217" s="8" t="s">
        <v>477</v>
      </c>
      <c r="AZX1217" s="8" t="s">
        <v>1118</v>
      </c>
      <c r="BJV1217" s="8" t="s">
        <v>5087</v>
      </c>
      <c r="BJW1217" s="8" t="s">
        <v>5087</v>
      </c>
      <c r="BZT1217" s="8" t="s">
        <v>2106</v>
      </c>
      <c r="CBP1217" s="8" t="s">
        <v>1684</v>
      </c>
      <c r="CFH1217" s="8" t="s">
        <v>412</v>
      </c>
      <c r="CHD1217" s="8" t="s">
        <v>412</v>
      </c>
      <c r="CIZ1217" s="8" t="s">
        <v>412</v>
      </c>
      <c r="CKV1217" s="8" t="s">
        <v>412</v>
      </c>
      <c r="CPL1217" s="8" t="s">
        <v>11314</v>
      </c>
      <c r="CWV1217" s="8" t="s">
        <v>477</v>
      </c>
      <c r="DAN1217" s="8" t="s">
        <v>1118</v>
      </c>
      <c r="DCJ1217" s="8" t="s">
        <v>1118</v>
      </c>
      <c r="DEF1217" s="8" t="s">
        <v>1118</v>
      </c>
    </row>
    <row r="1218" spans="1:164 1352:2048 2075:3049 3080:4084 4101:4184">
      <c r="A1218" s="8" t="s">
        <v>9929</v>
      </c>
      <c r="B1218" s="10" t="s">
        <v>11315</v>
      </c>
      <c r="C1218" s="8">
        <v>2667.63</v>
      </c>
      <c r="D1218" s="15">
        <v>16.25</v>
      </c>
      <c r="AYZ1218" s="8" t="s">
        <v>478</v>
      </c>
      <c r="AZX1218" s="8" t="s">
        <v>478</v>
      </c>
      <c r="BAV1218" s="8" t="s">
        <v>1119</v>
      </c>
      <c r="BKC1218" s="8" t="s">
        <v>5088</v>
      </c>
      <c r="BKD1218" s="8" t="s">
        <v>5088</v>
      </c>
      <c r="CAU1218" s="8" t="s">
        <v>2107</v>
      </c>
      <c r="CCQ1218" s="8" t="s">
        <v>1685</v>
      </c>
      <c r="CGI1218" s="8" t="s">
        <v>431</v>
      </c>
      <c r="CIE1218" s="8" t="s">
        <v>431</v>
      </c>
      <c r="CKA1218" s="8" t="s">
        <v>431</v>
      </c>
      <c r="CLW1218" s="8" t="s">
        <v>431</v>
      </c>
      <c r="CYN1218" s="8" t="s">
        <v>11315</v>
      </c>
      <c r="CYR1218" s="8" t="s">
        <v>478</v>
      </c>
      <c r="DCJ1218" s="8" t="s">
        <v>1119</v>
      </c>
      <c r="DEF1218" s="8" t="s">
        <v>1119</v>
      </c>
      <c r="DEW1218" s="8" t="s">
        <v>478</v>
      </c>
    </row>
    <row r="1219" spans="1:164 1352:2048 2075:3049 3080:4084 4101:4184">
      <c r="A1219" s="8" t="s">
        <v>9929</v>
      </c>
      <c r="B1219" s="10" t="s">
        <v>11316</v>
      </c>
      <c r="C1219" s="8">
        <v>2684.88</v>
      </c>
      <c r="D1219" s="15">
        <v>3.13</v>
      </c>
      <c r="AYZ1219" s="8" t="s">
        <v>479</v>
      </c>
      <c r="AZX1219" s="8" t="s">
        <v>479</v>
      </c>
      <c r="BAV1219" s="8" t="s">
        <v>1120</v>
      </c>
      <c r="BQG1219" s="8" t="s">
        <v>5089</v>
      </c>
      <c r="BQH1219" s="8" t="s">
        <v>5089</v>
      </c>
      <c r="CNK1219" s="8" t="s">
        <v>2108</v>
      </c>
      <c r="CPG1219" s="8" t="s">
        <v>1686</v>
      </c>
      <c r="CSY1219" s="8" t="s">
        <v>432</v>
      </c>
      <c r="CUU1219" s="8" t="s">
        <v>432</v>
      </c>
      <c r="CWQ1219" s="8" t="s">
        <v>432</v>
      </c>
      <c r="CYM1219" s="8" t="s">
        <v>432</v>
      </c>
      <c r="CYR1219" s="8" t="s">
        <v>11316</v>
      </c>
      <c r="DBF1219" s="8" t="s">
        <v>479</v>
      </c>
      <c r="DCJ1219" s="8" t="s">
        <v>1120</v>
      </c>
      <c r="DDK1219" s="8" t="s">
        <v>1120</v>
      </c>
      <c r="DEF1219" s="8" t="s">
        <v>479</v>
      </c>
      <c r="DFG1219" s="8" t="s">
        <v>1120</v>
      </c>
    </row>
    <row r="1220" spans="1:164 1352:2048 2075:3049 3080:4084 4101:4184">
      <c r="A1220" s="8" t="s">
        <v>9929</v>
      </c>
      <c r="B1220" s="10" t="s">
        <v>14169</v>
      </c>
      <c r="C1220" s="8">
        <v>2729.66</v>
      </c>
      <c r="D1220" s="15">
        <v>6.34</v>
      </c>
      <c r="AZN1220" s="8" t="s">
        <v>480</v>
      </c>
      <c r="BAL1220" s="8" t="s">
        <v>480</v>
      </c>
      <c r="BBJ1220" s="8" t="s">
        <v>1121</v>
      </c>
      <c r="BRL1220" s="8" t="s">
        <v>5090</v>
      </c>
      <c r="BRM1220" s="8" t="s">
        <v>5090</v>
      </c>
      <c r="COU1220" s="8" t="s">
        <v>2109</v>
      </c>
      <c r="CQQ1220" s="8" t="s">
        <v>1687</v>
      </c>
      <c r="CUI1220" s="8" t="s">
        <v>433</v>
      </c>
      <c r="CWE1220" s="8" t="s">
        <v>433</v>
      </c>
      <c r="CYA1220" s="8" t="s">
        <v>433</v>
      </c>
      <c r="CZS1220" s="8" t="s">
        <v>480</v>
      </c>
      <c r="CZW1220" s="8" t="s">
        <v>433</v>
      </c>
      <c r="DAN1220" s="8" t="s">
        <v>14169</v>
      </c>
      <c r="DDK1220" s="8" t="s">
        <v>1121</v>
      </c>
      <c r="DDW1220" s="8" t="s">
        <v>480</v>
      </c>
      <c r="DFG1220" s="8" t="s">
        <v>480</v>
      </c>
      <c r="DGB1220" s="8" t="s">
        <v>1121</v>
      </c>
      <c r="DHX1220" s="8" t="s">
        <v>1121</v>
      </c>
    </row>
    <row r="1221" spans="1:164 1352:2048 2075:3049 3080:4084 4101:4184">
      <c r="A1221" s="8" t="s">
        <v>9929</v>
      </c>
      <c r="B1221" s="10" t="s">
        <v>14170</v>
      </c>
      <c r="C1221" s="8">
        <v>2737</v>
      </c>
      <c r="D1221" s="15">
        <v>3.25</v>
      </c>
      <c r="BAV1221" s="8" t="s">
        <v>481</v>
      </c>
      <c r="BBT1221" s="8" t="s">
        <v>481</v>
      </c>
      <c r="BCR1221" s="8" t="s">
        <v>1122</v>
      </c>
      <c r="BYW1221" s="8" t="s">
        <v>5091</v>
      </c>
      <c r="BYX1221" s="8" t="s">
        <v>5091</v>
      </c>
      <c r="CPX1221" s="8" t="s">
        <v>2110</v>
      </c>
      <c r="CRT1221" s="8" t="s">
        <v>1688</v>
      </c>
      <c r="CVL1221" s="8" t="s">
        <v>434</v>
      </c>
      <c r="CXH1221" s="8" t="s">
        <v>434</v>
      </c>
      <c r="CZD1221" s="8" t="s">
        <v>434</v>
      </c>
      <c r="DAN1221" s="8" t="s">
        <v>1122</v>
      </c>
      <c r="DAR1221" s="8" t="s">
        <v>14170</v>
      </c>
      <c r="DAY1221" s="8" t="s">
        <v>481</v>
      </c>
      <c r="DAZ1221" s="8" t="s">
        <v>434</v>
      </c>
      <c r="DCJ1221" s="8" t="s">
        <v>481</v>
      </c>
      <c r="DHX1221" s="8" t="s">
        <v>481</v>
      </c>
      <c r="DNP1221" s="8" t="s">
        <v>1122</v>
      </c>
      <c r="DPL1221" s="8" t="s">
        <v>1122</v>
      </c>
    </row>
    <row r="1222" spans="1:164 1352:2048 2075:3049 3080:4084 4101:4184">
      <c r="A1222" s="8" t="s">
        <v>9929</v>
      </c>
      <c r="B1222" s="10" t="s">
        <v>11318</v>
      </c>
      <c r="C1222" s="8">
        <v>2972.88</v>
      </c>
      <c r="D1222" s="15">
        <v>3.13</v>
      </c>
      <c r="BEP1222" s="8" t="s">
        <v>482</v>
      </c>
      <c r="BFN1222" s="8" t="s">
        <v>482</v>
      </c>
      <c r="BGL1222" s="8" t="s">
        <v>1123</v>
      </c>
      <c r="CEO1222" s="8" t="s">
        <v>5092</v>
      </c>
      <c r="CEP1222" s="8" t="s">
        <v>5092</v>
      </c>
      <c r="CRB1222" s="8" t="s">
        <v>2111</v>
      </c>
      <c r="CSX1222" s="8" t="s">
        <v>1689</v>
      </c>
      <c r="CWP1222" s="8" t="s">
        <v>435</v>
      </c>
      <c r="CYL1222" s="8" t="s">
        <v>435</v>
      </c>
      <c r="DAH1222" s="8" t="s">
        <v>435</v>
      </c>
      <c r="DCD1222" s="8" t="s">
        <v>435</v>
      </c>
      <c r="DJT1222" s="8" t="s">
        <v>11318</v>
      </c>
      <c r="DJX1222" s="8" t="s">
        <v>482</v>
      </c>
      <c r="DLI1222" s="8" t="s">
        <v>482</v>
      </c>
      <c r="DLT1222" s="8" t="s">
        <v>1123</v>
      </c>
      <c r="DPL1222" s="8" t="s">
        <v>482</v>
      </c>
      <c r="DRD1222" s="8" t="s">
        <v>1123</v>
      </c>
      <c r="DSZ1222" s="8" t="s">
        <v>1123</v>
      </c>
    </row>
    <row r="1223" spans="1:164 1352:2048 2075:3049 3080:4084 4101:4184">
      <c r="A1223" s="8" t="s">
        <v>9929</v>
      </c>
      <c r="B1223" s="10" t="s">
        <v>11319</v>
      </c>
      <c r="C1223" s="8">
        <v>3083.54</v>
      </c>
      <c r="D1223" s="15">
        <v>3.12</v>
      </c>
      <c r="BGJ1223" s="8" t="s">
        <v>483</v>
      </c>
      <c r="BHH1223" s="8" t="s">
        <v>483</v>
      </c>
      <c r="BIF1223" s="8" t="s">
        <v>1124</v>
      </c>
      <c r="CGF1223" s="8" t="s">
        <v>5093</v>
      </c>
      <c r="CGG1223" s="8" t="s">
        <v>5093</v>
      </c>
      <c r="CSF1223" s="8" t="s">
        <v>2112</v>
      </c>
      <c r="CUB1223" s="8" t="s">
        <v>1690</v>
      </c>
      <c r="CXT1223" s="8" t="s">
        <v>436</v>
      </c>
      <c r="CZP1223" s="8" t="s">
        <v>436</v>
      </c>
      <c r="DBL1223" s="8" t="s">
        <v>436</v>
      </c>
      <c r="DDH1223" s="8" t="s">
        <v>436</v>
      </c>
      <c r="DNL1223" s="8" t="s">
        <v>483</v>
      </c>
      <c r="DOA1223" s="8" t="s">
        <v>11319</v>
      </c>
      <c r="DRD1223" s="8" t="s">
        <v>1124</v>
      </c>
      <c r="DSZ1223" s="8" t="s">
        <v>1124</v>
      </c>
      <c r="DUV1223" s="8" t="s">
        <v>1124</v>
      </c>
    </row>
    <row r="1224" spans="1:164 1352:2048 2075:3049 3080:4084 4101:4184">
      <c r="A1224" s="8" t="s">
        <v>9929</v>
      </c>
      <c r="B1224" s="10" t="s">
        <v>14171</v>
      </c>
      <c r="C1224" s="8">
        <v>3356.88</v>
      </c>
      <c r="D1224" s="15">
        <v>3.13</v>
      </c>
      <c r="BHH1224" s="8" t="s">
        <v>484</v>
      </c>
      <c r="BIF1224" s="8" t="s">
        <v>484</v>
      </c>
      <c r="BJD1224" s="8" t="s">
        <v>1125</v>
      </c>
      <c r="CQU1224" s="8" t="s">
        <v>5094</v>
      </c>
      <c r="CQV1224" s="8" t="s">
        <v>5094</v>
      </c>
      <c r="CTI1224" s="8" t="s">
        <v>2113</v>
      </c>
      <c r="CVE1224" s="8" t="s">
        <v>1691</v>
      </c>
      <c r="CYW1224" s="8" t="s">
        <v>437</v>
      </c>
      <c r="DAS1224" s="8" t="s">
        <v>437</v>
      </c>
      <c r="DCO1224" s="8" t="s">
        <v>437</v>
      </c>
      <c r="DEK1224" s="8" t="s">
        <v>437</v>
      </c>
      <c r="DPH1224" s="8" t="s">
        <v>484</v>
      </c>
      <c r="DSZ1224" s="8" t="s">
        <v>1125</v>
      </c>
      <c r="DUV1224" s="8" t="s">
        <v>1125</v>
      </c>
      <c r="DWR1224" s="8" t="s">
        <v>1125</v>
      </c>
      <c r="DYN1224" s="8" t="s">
        <v>14171</v>
      </c>
    </row>
    <row r="1225" spans="1:164 1352:2048 2075:3049 3080:4084 4101:4184">
      <c r="A1225" s="8" t="s">
        <v>9929</v>
      </c>
      <c r="B1225" s="10" t="s">
        <v>11321</v>
      </c>
      <c r="C1225" s="8">
        <v>4111</v>
      </c>
      <c r="D1225" s="15">
        <v>65</v>
      </c>
      <c r="BIF1225" s="8" t="s">
        <v>485</v>
      </c>
      <c r="BJD1225" s="8" t="s">
        <v>485</v>
      </c>
      <c r="BKB1225" s="8" t="s">
        <v>1126</v>
      </c>
      <c r="CUZ1225" s="8" t="s">
        <v>2114</v>
      </c>
      <c r="CWV1225" s="8" t="s">
        <v>1692</v>
      </c>
      <c r="DAN1225" s="8" t="s">
        <v>438</v>
      </c>
      <c r="DCJ1225" s="8" t="s">
        <v>438</v>
      </c>
      <c r="DEF1225" s="8" t="s">
        <v>438</v>
      </c>
      <c r="DGB1225" s="8" t="s">
        <v>438</v>
      </c>
      <c r="DGC1225" s="8" t="s">
        <v>5095</v>
      </c>
      <c r="DGD1225" s="8" t="s">
        <v>5095</v>
      </c>
      <c r="DRD1225" s="8" t="s">
        <v>485</v>
      </c>
      <c r="DSN1225" s="8" t="s">
        <v>485</v>
      </c>
      <c r="DSZ1225" s="8" t="s">
        <v>1126</v>
      </c>
      <c r="DWR1225" s="8" t="s">
        <v>485</v>
      </c>
      <c r="DXJ1225" s="8" t="s">
        <v>1126</v>
      </c>
      <c r="DZF1225" s="8" t="s">
        <v>1126</v>
      </c>
      <c r="FDX1225" s="8" t="s">
        <v>11321</v>
      </c>
    </row>
    <row r="1226" spans="1:164 1352:2048 2075:3049 3080:4084 4101:4184">
      <c r="A1226" s="8" t="s">
        <v>9930</v>
      </c>
      <c r="B1226" s="10" t="s">
        <v>11322</v>
      </c>
      <c r="C1226" s="8">
        <v>-167.97</v>
      </c>
      <c r="D1226" s="15">
        <v>3.03</v>
      </c>
      <c r="H1226" s="8" t="s">
        <v>11322</v>
      </c>
      <c r="BJM1226" s="8" t="s">
        <v>486</v>
      </c>
      <c r="BKK1226" s="8" t="s">
        <v>486</v>
      </c>
      <c r="BLI1226" s="8" t="s">
        <v>1127</v>
      </c>
      <c r="CWV1226" s="8" t="s">
        <v>2115</v>
      </c>
      <c r="CYR1226" s="8" t="s">
        <v>1693</v>
      </c>
      <c r="DCJ1226" s="8" t="s">
        <v>439</v>
      </c>
      <c r="DEF1226" s="8" t="s">
        <v>439</v>
      </c>
      <c r="DGB1226" s="8" t="s">
        <v>439</v>
      </c>
      <c r="DHX1226" s="8" t="s">
        <v>439</v>
      </c>
      <c r="DTR1226" s="8" t="s">
        <v>486</v>
      </c>
      <c r="DYS1226" s="8" t="s">
        <v>1127</v>
      </c>
      <c r="DZF1226" s="8" t="s">
        <v>1127</v>
      </c>
      <c r="DZX1226" s="8" t="s">
        <v>486</v>
      </c>
      <c r="EAO1226" s="8" t="s">
        <v>1127</v>
      </c>
      <c r="EOY1226" s="8" t="s">
        <v>5096</v>
      </c>
      <c r="EOZ1226" s="8" t="s">
        <v>5096</v>
      </c>
    </row>
    <row r="1227" spans="1:164 1352:2048 2075:3049 3080:4084 4101:4184">
      <c r="A1227" s="8" t="s">
        <v>9930</v>
      </c>
      <c r="B1227" s="10" t="s">
        <v>11323</v>
      </c>
      <c r="C1227" s="8">
        <v>-136.99</v>
      </c>
      <c r="D1227" s="15">
        <v>36.299999999999997</v>
      </c>
      <c r="H1227" s="8" t="s">
        <v>11323</v>
      </c>
      <c r="BKE1227" s="8" t="s">
        <v>487</v>
      </c>
      <c r="BLC1227" s="8" t="s">
        <v>487</v>
      </c>
      <c r="BMA1227" s="8" t="s">
        <v>1128</v>
      </c>
      <c r="CYR1227" s="8" t="s">
        <v>2116</v>
      </c>
      <c r="DAN1227" s="8" t="s">
        <v>1694</v>
      </c>
      <c r="DEF1227" s="8" t="s">
        <v>440</v>
      </c>
      <c r="DGB1227" s="8" t="s">
        <v>440</v>
      </c>
      <c r="DHX1227" s="8" t="s">
        <v>440</v>
      </c>
      <c r="DJT1227" s="8" t="s">
        <v>440</v>
      </c>
      <c r="DVA1227" s="8" t="s">
        <v>487</v>
      </c>
      <c r="DYS1227" s="8" t="s">
        <v>1128</v>
      </c>
      <c r="DYZ1227" s="8" t="s">
        <v>487</v>
      </c>
      <c r="EAO1227" s="8" t="s">
        <v>487</v>
      </c>
      <c r="EAV1227" s="8" t="s">
        <v>1128</v>
      </c>
      <c r="ECR1227" s="8" t="s">
        <v>1128</v>
      </c>
      <c r="EPD1227" s="8" t="s">
        <v>5097</v>
      </c>
      <c r="EPE1227" s="8" t="s">
        <v>5097</v>
      </c>
    </row>
    <row r="1228" spans="1:164 1352:2048 2075:3049 3080:4084 4101:4184">
      <c r="A1228" s="8" t="s">
        <v>9930</v>
      </c>
      <c r="B1228" s="10" t="s">
        <v>11324</v>
      </c>
      <c r="C1228" s="8">
        <v>81.13</v>
      </c>
      <c r="D1228" s="15">
        <v>24.6</v>
      </c>
      <c r="DJ1228" s="8" t="s">
        <v>11324</v>
      </c>
      <c r="BBW1228" s="8" t="s">
        <v>446</v>
      </c>
      <c r="BLF1228" s="8" t="s">
        <v>488</v>
      </c>
      <c r="BMD1228" s="8" t="s">
        <v>488</v>
      </c>
      <c r="BNB1228" s="8" t="s">
        <v>1129</v>
      </c>
      <c r="DAN1228" s="8" t="s">
        <v>2117</v>
      </c>
      <c r="DCJ1228" s="8" t="s">
        <v>1695</v>
      </c>
      <c r="DGB1228" s="8" t="s">
        <v>441</v>
      </c>
      <c r="DHX1228" s="8" t="s">
        <v>441</v>
      </c>
      <c r="DJT1228" s="8" t="s">
        <v>441</v>
      </c>
      <c r="DLP1228" s="8" t="s">
        <v>441</v>
      </c>
      <c r="DXD1228" s="8" t="s">
        <v>488</v>
      </c>
      <c r="EAJ1228" s="8" t="s">
        <v>488</v>
      </c>
      <c r="EAV1228" s="8" t="s">
        <v>1129</v>
      </c>
      <c r="ECF1228" s="8" t="s">
        <v>1129</v>
      </c>
      <c r="ECR1228" s="8" t="s">
        <v>488</v>
      </c>
      <c r="EEB1228" s="8" t="s">
        <v>1129</v>
      </c>
      <c r="EUK1228" s="8" t="s">
        <v>5098</v>
      </c>
      <c r="EUL1228" s="8" t="s">
        <v>5098</v>
      </c>
    </row>
    <row r="1229" spans="1:164 1352:2048 2075:3049 3080:4084 4101:4184">
      <c r="A1229" s="8" t="s">
        <v>9930</v>
      </c>
      <c r="B1229" s="10" t="s">
        <v>11325</v>
      </c>
      <c r="C1229" s="8">
        <v>107.07</v>
      </c>
      <c r="D1229" s="15">
        <v>4.41</v>
      </c>
      <c r="DO1229" s="8" t="s">
        <v>11325</v>
      </c>
      <c r="BCM1229" s="8" t="s">
        <v>447</v>
      </c>
      <c r="BLX1229" s="8" t="s">
        <v>489</v>
      </c>
      <c r="BMV1229" s="8" t="s">
        <v>489</v>
      </c>
      <c r="BNT1229" s="8" t="s">
        <v>1130</v>
      </c>
      <c r="DKK1229" s="8" t="s">
        <v>2118</v>
      </c>
      <c r="DMG1229" s="8" t="s">
        <v>1696</v>
      </c>
      <c r="DPY1229" s="8" t="s">
        <v>442</v>
      </c>
      <c r="DRU1229" s="8" t="s">
        <v>442</v>
      </c>
      <c r="DTQ1229" s="8" t="s">
        <v>442</v>
      </c>
      <c r="DVM1229" s="8" t="s">
        <v>442</v>
      </c>
      <c r="DYN1229" s="8" t="s">
        <v>489</v>
      </c>
      <c r="EAJ1229" s="8" t="s">
        <v>1130</v>
      </c>
      <c r="EEB1229" s="8" t="s">
        <v>489</v>
      </c>
      <c r="EFX1229" s="8" t="s">
        <v>1130</v>
      </c>
      <c r="EHT1229" s="8" t="s">
        <v>1130</v>
      </c>
      <c r="EUS1229" s="8" t="s">
        <v>5099</v>
      </c>
      <c r="EUT1229" s="8" t="s">
        <v>5099</v>
      </c>
    </row>
    <row r="1230" spans="1:164 1352:2048 2075:3049 3080:4084 4101:4184">
      <c r="A1230" s="8" t="s">
        <v>9930</v>
      </c>
      <c r="B1230" s="10" t="s">
        <v>11326</v>
      </c>
      <c r="C1230" s="8">
        <v>114.47</v>
      </c>
      <c r="D1230" s="15">
        <v>20.21</v>
      </c>
      <c r="EM1230" s="8" t="s">
        <v>11326</v>
      </c>
      <c r="BDN1230" s="8" t="s">
        <v>448</v>
      </c>
      <c r="BNT1230" s="8" t="s">
        <v>490</v>
      </c>
      <c r="BOR1230" s="8" t="s">
        <v>490</v>
      </c>
      <c r="BPP1230" s="8" t="s">
        <v>1131</v>
      </c>
      <c r="DNL1230" s="8" t="s">
        <v>2119</v>
      </c>
      <c r="DPH1230" s="8" t="s">
        <v>1697</v>
      </c>
      <c r="DSZ1230" s="8" t="s">
        <v>443</v>
      </c>
      <c r="DUV1230" s="8" t="s">
        <v>443</v>
      </c>
      <c r="DWR1230" s="8" t="s">
        <v>443</v>
      </c>
      <c r="DYN1230" s="8" t="s">
        <v>443</v>
      </c>
      <c r="DZB1230" s="8" t="s">
        <v>490</v>
      </c>
      <c r="ECF1230" s="8" t="s">
        <v>490</v>
      </c>
      <c r="EHT1230" s="8" t="s">
        <v>490</v>
      </c>
      <c r="EPF1230" s="8" t="s">
        <v>1131</v>
      </c>
      <c r="ERB1230" s="8" t="s">
        <v>1131</v>
      </c>
    </row>
    <row r="1231" spans="1:164 1352:2048 2075:3049 3080:4084 4101:4184">
      <c r="A1231" s="8" t="s">
        <v>9930</v>
      </c>
      <c r="B1231" s="10" t="s">
        <v>11327</v>
      </c>
      <c r="C1231" s="8">
        <v>145.33000000000001</v>
      </c>
      <c r="D1231" s="15">
        <v>4.49</v>
      </c>
      <c r="FB1231" s="8" t="s">
        <v>11327</v>
      </c>
      <c r="BEB1231" s="8" t="s">
        <v>449</v>
      </c>
      <c r="BSK1231" s="8" t="s">
        <v>491</v>
      </c>
      <c r="BTI1231" s="8" t="s">
        <v>491</v>
      </c>
      <c r="BUG1231" s="8" t="s">
        <v>1132</v>
      </c>
      <c r="DPH1231" s="8" t="s">
        <v>2120</v>
      </c>
      <c r="DRD1231" s="8" t="s">
        <v>1698</v>
      </c>
      <c r="DUV1231" s="8" t="s">
        <v>444</v>
      </c>
      <c r="DWR1231" s="8" t="s">
        <v>444</v>
      </c>
      <c r="DYN1231" s="8" t="s">
        <v>444</v>
      </c>
      <c r="EAJ1231" s="8" t="s">
        <v>444</v>
      </c>
      <c r="EFZ1231" s="8" t="s">
        <v>1132</v>
      </c>
      <c r="EGH1231" s="8" t="s">
        <v>491</v>
      </c>
      <c r="ELN1231" s="8" t="s">
        <v>491</v>
      </c>
      <c r="ERB1231" s="8" t="s">
        <v>491</v>
      </c>
      <c r="FAB1231" s="8" t="s">
        <v>1132</v>
      </c>
      <c r="FBX1231" s="8" t="s">
        <v>1132</v>
      </c>
    </row>
    <row r="1232" spans="1:164 1352:2048 2075:3049 3080:4084 4101:4184">
      <c r="A1232" s="8" t="s">
        <v>9930</v>
      </c>
      <c r="B1232" s="10" t="s">
        <v>11328</v>
      </c>
      <c r="C1232" s="8">
        <v>154.16</v>
      </c>
      <c r="D1232" s="15">
        <v>2.2000000000000002</v>
      </c>
      <c r="FH1232" s="17" t="s">
        <v>11328</v>
      </c>
      <c r="BEN1232" s="8" t="s">
        <v>450</v>
      </c>
      <c r="BXV1232" s="8" t="s">
        <v>492</v>
      </c>
      <c r="BYT1232" s="8" t="s">
        <v>492</v>
      </c>
      <c r="BZR1232" s="8" t="s">
        <v>1133</v>
      </c>
      <c r="DWM1232" s="8" t="s">
        <v>2121</v>
      </c>
      <c r="DYI1232" s="8" t="s">
        <v>1699</v>
      </c>
      <c r="ECA1232" s="8" t="s">
        <v>411</v>
      </c>
      <c r="EDW1232" s="8" t="s">
        <v>411</v>
      </c>
      <c r="EFS1232" s="8" t="s">
        <v>411</v>
      </c>
      <c r="EHO1232" s="8" t="s">
        <v>411</v>
      </c>
      <c r="EWJ1232" s="8" t="s">
        <v>492</v>
      </c>
      <c r="FAS1232" s="8" t="s">
        <v>1133</v>
      </c>
      <c r="FBX1232" s="8" t="s">
        <v>1133</v>
      </c>
      <c r="FCG1232" s="8" t="s">
        <v>492</v>
      </c>
      <c r="FCO1232" s="8" t="s">
        <v>1133</v>
      </c>
    </row>
    <row r="1233" spans="1:762 1400:2048 2055:2984 3467:4088 4100:4376 8761:8792">
      <c r="A1233" s="8" t="s">
        <v>9930</v>
      </c>
      <c r="B1233" s="10" t="s">
        <v>11329</v>
      </c>
      <c r="C1233" s="8">
        <v>157.69999999999999</v>
      </c>
      <c r="D1233" s="15">
        <v>32.06</v>
      </c>
      <c r="GP1233" s="8" t="s">
        <v>11329</v>
      </c>
      <c r="BEN1233" s="8" t="s">
        <v>451</v>
      </c>
      <c r="BYE1233" s="8" t="s">
        <v>493</v>
      </c>
      <c r="BZC1233" s="8" t="s">
        <v>493</v>
      </c>
      <c r="CAA1233" s="8" t="s">
        <v>1134</v>
      </c>
      <c r="ECI1233" s="8" t="s">
        <v>2122</v>
      </c>
      <c r="EEE1233" s="8" t="s">
        <v>1700</v>
      </c>
      <c r="EHW1233" s="8" t="s">
        <v>445</v>
      </c>
      <c r="EJS1233" s="8" t="s">
        <v>445</v>
      </c>
      <c r="ELO1233" s="8" t="s">
        <v>445</v>
      </c>
      <c r="ENK1233" s="8" t="s">
        <v>445</v>
      </c>
      <c r="EXA1233" s="8" t="s">
        <v>493</v>
      </c>
      <c r="EYJ1233" s="8" t="s">
        <v>493</v>
      </c>
      <c r="EYW1233" s="8" t="s">
        <v>1134</v>
      </c>
      <c r="FCO1233" s="8" t="s">
        <v>493</v>
      </c>
      <c r="FDX1233" s="8" t="s">
        <v>1134</v>
      </c>
      <c r="FFT1233" s="8" t="s">
        <v>1134</v>
      </c>
    </row>
    <row r="1234" spans="1:762 1400:2048 2055:2984 3467:4088 4100:4376 8761:8792">
      <c r="A1234" s="8" t="s">
        <v>9930</v>
      </c>
      <c r="B1234" s="10" t="s">
        <v>11330</v>
      </c>
      <c r="C1234" s="8">
        <v>191.09</v>
      </c>
      <c r="D1234" s="15">
        <v>2.2000000000000002</v>
      </c>
      <c r="GS1234" s="8" t="s">
        <v>11330</v>
      </c>
      <c r="BEN1234" s="8" t="s">
        <v>452</v>
      </c>
      <c r="BZT1234" s="8" t="s">
        <v>494</v>
      </c>
      <c r="CAR1234" s="8" t="s">
        <v>494</v>
      </c>
      <c r="CBP1234" s="8" t="s">
        <v>1135</v>
      </c>
      <c r="EVD1234" s="8" t="s">
        <v>2123</v>
      </c>
      <c r="EWZ1234" s="8" t="s">
        <v>1701</v>
      </c>
      <c r="FAF1234" s="8" t="s">
        <v>494</v>
      </c>
      <c r="FAR1234" s="8" t="s">
        <v>1335</v>
      </c>
      <c r="FCN1234" s="8" t="s">
        <v>1335</v>
      </c>
      <c r="FDX1234" s="8" t="s">
        <v>1135</v>
      </c>
      <c r="FEJ1234" s="8" t="s">
        <v>1335</v>
      </c>
      <c r="FFT1234" s="8" t="s">
        <v>1135</v>
      </c>
      <c r="FGF1234" s="8" t="s">
        <v>1335</v>
      </c>
      <c r="FHP1234" s="8" t="s">
        <v>1135</v>
      </c>
    </row>
    <row r="1235" spans="1:762 1400:2048 2055:2984 3467:4088 4100:4376 8761:8792">
      <c r="A1235" s="8" t="s">
        <v>9930</v>
      </c>
      <c r="B1235" s="10" t="s">
        <v>11331</v>
      </c>
      <c r="C1235" s="8">
        <v>289.33</v>
      </c>
      <c r="D1235" s="15">
        <v>22.03</v>
      </c>
      <c r="LG1235" s="8" t="s">
        <v>11331</v>
      </c>
      <c r="BEQ1235" s="8" t="s">
        <v>453</v>
      </c>
      <c r="CAR1235" s="8" t="s">
        <v>495</v>
      </c>
      <c r="CBP1235" s="8" t="s">
        <v>495</v>
      </c>
      <c r="CCN1235" s="8" t="s">
        <v>1276</v>
      </c>
      <c r="EWH1235" s="8" t="s">
        <v>2124</v>
      </c>
      <c r="EYD1235" s="8" t="s">
        <v>1702</v>
      </c>
      <c r="FBV1235" s="8" t="s">
        <v>1336</v>
      </c>
      <c r="FCB1235" s="8" t="s">
        <v>495</v>
      </c>
      <c r="FDR1235" s="8" t="s">
        <v>1336</v>
      </c>
      <c r="FFN1235" s="8" t="s">
        <v>1336</v>
      </c>
      <c r="FHJ1235" s="8" t="s">
        <v>1336</v>
      </c>
      <c r="FHP1235" s="8" t="s">
        <v>495</v>
      </c>
      <c r="LXY1235" s="8" t="s">
        <v>495</v>
      </c>
      <c r="LZD1235" s="8" t="s">
        <v>1276</v>
      </c>
    </row>
    <row r="1236" spans="1:762 1400:2048 2055:2984 3467:4088 4100:4376 8761:8792">
      <c r="A1236" s="8" t="s">
        <v>9930</v>
      </c>
      <c r="B1236" s="10" t="s">
        <v>11332</v>
      </c>
      <c r="C1236" s="8">
        <v>338.67</v>
      </c>
      <c r="D1236" s="15">
        <v>21.39</v>
      </c>
      <c r="ND1236" s="8" t="s">
        <v>11332</v>
      </c>
      <c r="BFI1236" s="8" t="s">
        <v>454</v>
      </c>
      <c r="EWN1236" s="8" t="s">
        <v>2125</v>
      </c>
      <c r="EYJ1236" s="8" t="s">
        <v>1703</v>
      </c>
      <c r="FCB1236" s="8" t="s">
        <v>1337</v>
      </c>
      <c r="FDX1236" s="8" t="s">
        <v>1337</v>
      </c>
      <c r="FFT1236" s="8" t="s">
        <v>1337</v>
      </c>
      <c r="FHP1236" s="8" t="s">
        <v>1337</v>
      </c>
    </row>
    <row r="1237" spans="1:762 1400:2048 2055:2984 3467:4088 4100:4376 8761:8792">
      <c r="A1237" s="8" t="s">
        <v>9930</v>
      </c>
      <c r="B1237" s="10" t="s">
        <v>11333</v>
      </c>
      <c r="C1237" s="8">
        <v>369.12</v>
      </c>
      <c r="D1237" s="15">
        <v>41.71</v>
      </c>
      <c r="PC1237" s="8" t="s">
        <v>11333</v>
      </c>
      <c r="BGJ1237" s="8" t="s">
        <v>455</v>
      </c>
      <c r="EYJ1237" s="8" t="s">
        <v>2126</v>
      </c>
      <c r="FAF1237" s="8" t="s">
        <v>1704</v>
      </c>
      <c r="FDX1237" s="8" t="s">
        <v>1338</v>
      </c>
      <c r="FFT1237" s="8" t="s">
        <v>1338</v>
      </c>
      <c r="FHP1237" s="8" t="s">
        <v>1338</v>
      </c>
      <c r="FJL1237" s="8" t="s">
        <v>1338</v>
      </c>
    </row>
    <row r="1238" spans="1:762 1400:2048 2055:2984 3467:4088 4100:4376 8761:8792">
      <c r="A1238" s="8" t="s">
        <v>9930</v>
      </c>
      <c r="B1238" s="10" t="s">
        <v>11336</v>
      </c>
      <c r="C1238" s="8">
        <v>384</v>
      </c>
      <c r="D1238" s="15">
        <v>13.71</v>
      </c>
      <c r="OP1238" s="8" t="s">
        <v>11336</v>
      </c>
      <c r="BKB1238" s="8" t="s">
        <v>456</v>
      </c>
      <c r="FAF1238" s="8" t="s">
        <v>2127</v>
      </c>
      <c r="FCB1238" s="8" t="s">
        <v>1705</v>
      </c>
      <c r="FFT1238" s="8" t="s">
        <v>1339</v>
      </c>
      <c r="FHP1238" s="8" t="s">
        <v>1339</v>
      </c>
      <c r="FJL1238" s="8" t="s">
        <v>1339</v>
      </c>
      <c r="FLH1238" s="8" t="s">
        <v>1339</v>
      </c>
    </row>
    <row r="1239" spans="1:762 1400:2048 2055:2984 3467:4088 4100:4376 8761:8792">
      <c r="A1239" s="8" t="s">
        <v>9930</v>
      </c>
      <c r="B1239" s="10" t="s">
        <v>14172</v>
      </c>
      <c r="C1239" s="8">
        <v>411.83</v>
      </c>
      <c r="D1239" s="15">
        <v>2.25</v>
      </c>
      <c r="PF1239" s="8" t="s">
        <v>14172</v>
      </c>
      <c r="BNT1239" s="8" t="s">
        <v>457</v>
      </c>
    </row>
    <row r="1240" spans="1:762 1400:2048 2055:2984 3467:4088 4100:4376 8761:8792">
      <c r="A1240" s="8" t="s">
        <v>9930</v>
      </c>
      <c r="B1240" s="10" t="s">
        <v>11335</v>
      </c>
      <c r="C1240" s="8">
        <v>628.58000000000004</v>
      </c>
      <c r="D1240" s="15">
        <v>10.7</v>
      </c>
      <c r="XW1240" s="8" t="s">
        <v>11335</v>
      </c>
      <c r="BNW1240" s="8" t="s">
        <v>458</v>
      </c>
    </row>
    <row r="1241" spans="1:762 1400:2048 2055:2984 3467:4088 4100:4376 8761:8792">
      <c r="A1241" s="8" t="s">
        <v>9930</v>
      </c>
      <c r="B1241" s="10" t="s">
        <v>11334</v>
      </c>
      <c r="C1241" s="8">
        <v>642.27</v>
      </c>
      <c r="D1241" s="15">
        <v>4.28</v>
      </c>
      <c r="YE1241" s="8" t="s">
        <v>11334</v>
      </c>
      <c r="BPF1241" s="8" t="s">
        <v>459</v>
      </c>
    </row>
    <row r="1242" spans="1:762 1400:2048 2055:2984 3467:4088 4100:4376 8761:8792">
      <c r="A1242" s="8" t="s">
        <v>9930</v>
      </c>
      <c r="B1242" s="10" t="s">
        <v>14173</v>
      </c>
      <c r="C1242" s="8">
        <v>647.54999999999995</v>
      </c>
      <c r="D1242" s="15">
        <v>7.05</v>
      </c>
      <c r="YM1242" s="8" t="s">
        <v>14173</v>
      </c>
      <c r="BTH1242" s="8" t="s">
        <v>460</v>
      </c>
    </row>
    <row r="1243" spans="1:762 1400:2048 2055:2984 3467:4088 4100:4376 8761:8792">
      <c r="A1243" s="8" t="s">
        <v>9930</v>
      </c>
      <c r="B1243" s="10" t="s">
        <v>14174</v>
      </c>
      <c r="C1243" s="8">
        <v>655.6</v>
      </c>
      <c r="D1243" s="15">
        <v>39.659999999999997</v>
      </c>
      <c r="AAA1243" s="8" t="s">
        <v>14174</v>
      </c>
      <c r="BAV1243" s="8" t="s">
        <v>11343</v>
      </c>
      <c r="BCR1243" s="8" t="s">
        <v>10387</v>
      </c>
      <c r="BVD1243" s="8" t="s">
        <v>461</v>
      </c>
    </row>
    <row r="1244" spans="1:762 1400:2048 2055:2984 3467:4088 4100:4376 8761:8792">
      <c r="A1244" s="8" t="s">
        <v>9930</v>
      </c>
      <c r="B1244" s="10" t="s">
        <v>14175</v>
      </c>
      <c r="C1244" s="8">
        <v>696.26</v>
      </c>
      <c r="D1244" s="15">
        <v>22.03</v>
      </c>
      <c r="AAX1244" s="8" t="s">
        <v>14175</v>
      </c>
      <c r="BEN1244" s="8" t="s">
        <v>11344</v>
      </c>
      <c r="BGJ1244" s="8" t="s">
        <v>10388</v>
      </c>
      <c r="BXE1244" s="8" t="s">
        <v>462</v>
      </c>
    </row>
    <row r="1245" spans="1:762 1400:2048 2055:2984 3467:4088 4100:4376 8761:8792">
      <c r="A1245" s="8" t="s">
        <v>9930</v>
      </c>
      <c r="B1245" s="10" t="s">
        <v>11337</v>
      </c>
      <c r="C1245" s="8">
        <v>719.29</v>
      </c>
      <c r="D1245" s="15">
        <v>8.81</v>
      </c>
      <c r="ABH1245" s="8" t="s">
        <v>11337</v>
      </c>
      <c r="BKB1245" s="8" t="s">
        <v>11345</v>
      </c>
      <c r="BLX1245" s="8" t="s">
        <v>10389</v>
      </c>
      <c r="BYV1245" s="8" t="s">
        <v>463</v>
      </c>
    </row>
    <row r="1246" spans="1:762 1400:2048 2055:2984 3467:4088 4100:4376 8761:8792">
      <c r="A1246" s="8" t="s">
        <v>9930</v>
      </c>
      <c r="B1246" s="10" t="s">
        <v>11338</v>
      </c>
      <c r="C1246" s="8">
        <v>729.44</v>
      </c>
      <c r="D1246" s="15">
        <v>8.81</v>
      </c>
      <c r="ABR1246" s="8" t="s">
        <v>11338</v>
      </c>
      <c r="BWZ1246" s="8" t="s">
        <v>11346</v>
      </c>
      <c r="BYV1246" s="8" t="s">
        <v>10390</v>
      </c>
      <c r="CAR1246" s="8" t="s">
        <v>464</v>
      </c>
    </row>
    <row r="1247" spans="1:762 1400:2048 2055:2984 3467:4088 4100:4376 8761:8792">
      <c r="A1247" s="8" t="s">
        <v>9930</v>
      </c>
      <c r="B1247" s="10" t="s">
        <v>14176</v>
      </c>
      <c r="C1247" s="8">
        <v>739.58</v>
      </c>
      <c r="D1247" s="15">
        <v>6.61</v>
      </c>
      <c r="ABZ1247" s="8" t="s">
        <v>14176</v>
      </c>
      <c r="CBW1247" s="8" t="s">
        <v>465</v>
      </c>
      <c r="CWV1247" s="8" t="s">
        <v>11347</v>
      </c>
      <c r="CYR1247" s="8" t="s">
        <v>10391</v>
      </c>
    </row>
    <row r="1248" spans="1:762 1400:2048 2055:2984 3467:4088 4100:4376 8761:8792">
      <c r="A1248" s="8" t="s">
        <v>9930</v>
      </c>
      <c r="B1248" s="10" t="s">
        <v>14177</v>
      </c>
      <c r="C1248" s="8">
        <v>747.19</v>
      </c>
      <c r="D1248" s="15">
        <v>6.72</v>
      </c>
      <c r="ACH1248" s="8" t="s">
        <v>14177</v>
      </c>
      <c r="CCQ1248" s="8" t="s">
        <v>466</v>
      </c>
      <c r="DHX1248" s="8" t="s">
        <v>11348</v>
      </c>
      <c r="DJT1248" s="8" t="s">
        <v>10392</v>
      </c>
    </row>
    <row r="1249" spans="1:920 1104:2035 2064:3032 3132:3224">
      <c r="A1249" s="8" t="s">
        <v>9930</v>
      </c>
      <c r="B1249" s="10" t="s">
        <v>14178</v>
      </c>
      <c r="C1249" s="8">
        <v>754.91</v>
      </c>
      <c r="D1249" s="15">
        <v>6.61</v>
      </c>
      <c r="ACP1249" s="8" t="s">
        <v>14178</v>
      </c>
      <c r="AYZ1249" s="8" t="s">
        <v>414</v>
      </c>
      <c r="CDT1249" s="8" t="s">
        <v>467</v>
      </c>
      <c r="DJT1249" s="8" t="s">
        <v>11349</v>
      </c>
      <c r="DLP1249" s="8" t="s">
        <v>10393</v>
      </c>
    </row>
    <row r="1250" spans="1:920 1104:2035 2064:3032 3132:3224">
      <c r="A1250" s="8" t="s">
        <v>9930</v>
      </c>
      <c r="B1250" s="10" t="s">
        <v>11339</v>
      </c>
      <c r="C1250" s="8">
        <v>766.52</v>
      </c>
      <c r="D1250" s="15">
        <v>6.74</v>
      </c>
      <c r="ADA1250" s="8" t="s">
        <v>11339</v>
      </c>
      <c r="AYZ1250" s="8" t="s">
        <v>415</v>
      </c>
      <c r="AZE1250" s="8" t="s">
        <v>5034</v>
      </c>
      <c r="AZF1250" s="8" t="s">
        <v>5034</v>
      </c>
      <c r="BAV1250" s="8" t="s">
        <v>415</v>
      </c>
      <c r="CEO1250" s="8" t="s">
        <v>468</v>
      </c>
    </row>
    <row r="1251" spans="1:920 1104:2035 2064:3032 3132:3224">
      <c r="A1251" s="8" t="s">
        <v>9930</v>
      </c>
      <c r="B1251" s="10" t="s">
        <v>11340</v>
      </c>
      <c r="C1251" s="8">
        <v>777.6</v>
      </c>
      <c r="D1251" s="15">
        <v>4.41</v>
      </c>
      <c r="ADJ1251" s="8" t="s">
        <v>11340</v>
      </c>
      <c r="BAI1251" s="8" t="s">
        <v>5035</v>
      </c>
      <c r="BAJ1251" s="8" t="s">
        <v>5035</v>
      </c>
      <c r="BGV1251" s="8" t="s">
        <v>1334</v>
      </c>
      <c r="BIR1251" s="8" t="s">
        <v>1334</v>
      </c>
      <c r="CIB1251" s="8" t="s">
        <v>469</v>
      </c>
    </row>
    <row r="1252" spans="1:920 1104:2035 2064:3032 3132:3224">
      <c r="A1252" s="8" t="s">
        <v>9930</v>
      </c>
      <c r="B1252" s="10" t="s">
        <v>11341</v>
      </c>
      <c r="C1252" s="8">
        <v>783.01</v>
      </c>
      <c r="D1252" s="15">
        <v>32.99</v>
      </c>
      <c r="AER1252" s="8" t="s">
        <v>11341</v>
      </c>
      <c r="AYZ1252" s="8" t="s">
        <v>5036</v>
      </c>
      <c r="BAV1252" s="8" t="s">
        <v>5036</v>
      </c>
      <c r="BAW1252" s="8" t="s">
        <v>5036</v>
      </c>
      <c r="BIF1252" s="8" t="s">
        <v>416</v>
      </c>
      <c r="BKB1252" s="8" t="s">
        <v>416</v>
      </c>
      <c r="CIB1252" s="8" t="s">
        <v>470</v>
      </c>
    </row>
    <row r="1253" spans="1:920 1104:2035 2064:3032 3132:3224">
      <c r="A1253" s="8" t="s">
        <v>9930</v>
      </c>
      <c r="B1253" s="10" t="s">
        <v>14179</v>
      </c>
      <c r="C1253" s="8">
        <v>833.32</v>
      </c>
      <c r="D1253" s="15">
        <v>20.21</v>
      </c>
      <c r="AGD1253" s="8" t="s">
        <v>14179</v>
      </c>
      <c r="BAV1253" s="8" t="s">
        <v>5037</v>
      </c>
      <c r="BCR1253" s="8" t="s">
        <v>5037</v>
      </c>
      <c r="BCS1253" s="8" t="s">
        <v>5037</v>
      </c>
      <c r="BIF1253" s="8" t="s">
        <v>417</v>
      </c>
      <c r="BKB1253" s="8" t="s">
        <v>417</v>
      </c>
      <c r="CPC1253" s="8" t="s">
        <v>471</v>
      </c>
    </row>
    <row r="1254" spans="1:920 1104:2035 2064:3032 3132:3224">
      <c r="A1254" s="8" t="s">
        <v>9930</v>
      </c>
      <c r="B1254" s="10" t="s">
        <v>14180</v>
      </c>
      <c r="C1254" s="8">
        <v>854.87</v>
      </c>
      <c r="D1254" s="15">
        <v>4.49</v>
      </c>
      <c r="AGI1254" s="8" t="s">
        <v>14180</v>
      </c>
      <c r="BAV1254" s="8" t="s">
        <v>5038</v>
      </c>
      <c r="BCR1254" s="8" t="s">
        <v>5038</v>
      </c>
      <c r="BCS1254" s="8" t="s">
        <v>5038</v>
      </c>
      <c r="BIG1254" s="8" t="s">
        <v>418</v>
      </c>
      <c r="BKC1254" s="8" t="s">
        <v>418</v>
      </c>
      <c r="CRH1254" s="8" t="s">
        <v>472</v>
      </c>
    </row>
    <row r="1255" spans="1:920 1104:2035 2064:3032 3132:3224">
      <c r="A1255" s="8" t="s">
        <v>9930</v>
      </c>
      <c r="B1255" s="10" t="s">
        <v>14181</v>
      </c>
      <c r="C1255" s="8">
        <v>860.69</v>
      </c>
      <c r="D1255" s="15">
        <v>4.49</v>
      </c>
      <c r="AGO1255" s="8" t="s">
        <v>14181</v>
      </c>
      <c r="BHN1255" s="8" t="s">
        <v>5039</v>
      </c>
      <c r="BJI1255" s="8" t="s">
        <v>5039</v>
      </c>
      <c r="BJJ1255" s="8" t="s">
        <v>5039</v>
      </c>
      <c r="BJQ1255" s="8" t="s">
        <v>419</v>
      </c>
      <c r="BLM1255" s="8" t="s">
        <v>419</v>
      </c>
      <c r="CUZ1255" s="8" t="s">
        <v>473</v>
      </c>
    </row>
    <row r="1256" spans="1:920 1104:2035 2064:3032 3132:3224">
      <c r="A1256" s="8" t="s">
        <v>9930</v>
      </c>
      <c r="B1256" s="10" t="s">
        <v>14182</v>
      </c>
      <c r="C1256" s="8">
        <v>866.52</v>
      </c>
      <c r="D1256" s="15">
        <v>4.49</v>
      </c>
      <c r="AGU1256" s="8" t="s">
        <v>14182</v>
      </c>
      <c r="BHW1256" s="8" t="s">
        <v>5040</v>
      </c>
      <c r="BHX1256" s="8" t="s">
        <v>5040</v>
      </c>
      <c r="BJS1256" s="8" t="s">
        <v>5040</v>
      </c>
      <c r="BJT1256" s="8" t="s">
        <v>5040</v>
      </c>
      <c r="BKZ1256" s="8" t="s">
        <v>420</v>
      </c>
      <c r="BMV1256" s="8" t="s">
        <v>420</v>
      </c>
      <c r="CWV1256" s="8" t="s">
        <v>474</v>
      </c>
    </row>
    <row r="1257" spans="1:920 1104:2035 2064:3032 3132:3224">
      <c r="A1257" s="8" t="s">
        <v>9930</v>
      </c>
      <c r="B1257" s="10" t="s">
        <v>11342</v>
      </c>
      <c r="C1257" s="8">
        <v>872.34</v>
      </c>
      <c r="D1257" s="15">
        <v>39.659999999999997</v>
      </c>
      <c r="AIJ1257" s="8" t="s">
        <v>11342</v>
      </c>
      <c r="BIQ1257" s="8" t="s">
        <v>5041</v>
      </c>
      <c r="BIR1257" s="8" t="s">
        <v>5041</v>
      </c>
      <c r="BKM1257" s="8" t="s">
        <v>5041</v>
      </c>
      <c r="BKN1257" s="8" t="s">
        <v>5041</v>
      </c>
      <c r="BKO1257" s="8" t="s">
        <v>5041</v>
      </c>
      <c r="BMC1257" s="8" t="s">
        <v>422</v>
      </c>
      <c r="BNC1257" s="8" t="s">
        <v>421</v>
      </c>
      <c r="BOY1257" s="8" t="s">
        <v>421</v>
      </c>
      <c r="DAZ1257" s="8" t="s">
        <v>475</v>
      </c>
    </row>
    <row r="1258" spans="1:920 1104:2035 2064:3032 3132:3224">
      <c r="A1258" s="8" t="s">
        <v>9930</v>
      </c>
      <c r="B1258" s="10" t="s">
        <v>14183</v>
      </c>
      <c r="C1258" s="8">
        <v>1089.54</v>
      </c>
      <c r="D1258" s="15">
        <v>6.72</v>
      </c>
      <c r="APL1258" s="8" t="s">
        <v>14183</v>
      </c>
      <c r="BKB1258" s="8" t="s">
        <v>5042</v>
      </c>
      <c r="BKC1258" s="8" t="s">
        <v>5042</v>
      </c>
      <c r="BLX1258" s="8" t="s">
        <v>5042</v>
      </c>
      <c r="BLY1258" s="8" t="s">
        <v>5042</v>
      </c>
      <c r="BMC1258" s="8" t="s">
        <v>422</v>
      </c>
      <c r="BNC1258" s="8" t="s">
        <v>421</v>
      </c>
      <c r="BNY1258" s="8" t="s">
        <v>422</v>
      </c>
      <c r="DCJ1258" s="8" t="s">
        <v>476</v>
      </c>
    </row>
    <row r="1259" spans="1:920 1104:2035 2064:3032 3132:3224">
      <c r="A1259" s="8" t="s">
        <v>9930</v>
      </c>
      <c r="B1259" s="10" t="s">
        <v>14184</v>
      </c>
      <c r="C1259" s="8">
        <v>1097.26</v>
      </c>
      <c r="D1259" s="15">
        <v>6.74</v>
      </c>
      <c r="APT1259" s="8" t="s">
        <v>14184</v>
      </c>
      <c r="BLG1259" s="8" t="s">
        <v>5043</v>
      </c>
      <c r="BLH1259" s="8" t="s">
        <v>5043</v>
      </c>
      <c r="BNC1259" s="8" t="s">
        <v>5043</v>
      </c>
      <c r="BND1259" s="8" t="s">
        <v>5043</v>
      </c>
      <c r="BVD1259" s="8" t="s">
        <v>423</v>
      </c>
      <c r="BWZ1259" s="8" t="s">
        <v>423</v>
      </c>
      <c r="DEF1259" s="8" t="s">
        <v>477</v>
      </c>
    </row>
    <row r="1260" spans="1:920 1104:2035 2064:3032 3132:3224">
      <c r="A1260" s="8" t="s">
        <v>9930</v>
      </c>
      <c r="B1260" s="10" t="s">
        <v>11343</v>
      </c>
      <c r="C1260" s="8">
        <v>1208.3399999999999</v>
      </c>
      <c r="D1260" s="15">
        <v>39.659999999999997</v>
      </c>
      <c r="AVH1260" s="8" t="s">
        <v>11343</v>
      </c>
      <c r="BLZ1260" s="8" t="s">
        <v>5044</v>
      </c>
      <c r="BNV1260" s="8" t="s">
        <v>5044</v>
      </c>
      <c r="BNW1260" s="8" t="s">
        <v>5044</v>
      </c>
      <c r="BVD1260" s="8" t="s">
        <v>424</v>
      </c>
      <c r="BWZ1260" s="8" t="s">
        <v>424</v>
      </c>
      <c r="DEF1260" s="8" t="s">
        <v>478</v>
      </c>
    </row>
    <row r="1261" spans="1:920 1104:2035 2064:3032 3132:3224">
      <c r="A1261" s="8" t="s">
        <v>9930</v>
      </c>
      <c r="B1261" s="10" t="s">
        <v>14185</v>
      </c>
      <c r="C1261" s="8">
        <v>1301.22</v>
      </c>
      <c r="D1261" s="15">
        <v>42.78</v>
      </c>
      <c r="AYZ1261" s="8" t="s">
        <v>14185</v>
      </c>
      <c r="BMI1261" s="8" t="s">
        <v>5045</v>
      </c>
      <c r="BMJ1261" s="8" t="s">
        <v>5045</v>
      </c>
      <c r="BOE1261" s="8" t="s">
        <v>5045</v>
      </c>
      <c r="BOF1261" s="8" t="s">
        <v>5045</v>
      </c>
      <c r="BXK1261" s="8" t="s">
        <v>425</v>
      </c>
      <c r="BZG1261" s="8" t="s">
        <v>425</v>
      </c>
      <c r="DFG1261" s="8" t="s">
        <v>479</v>
      </c>
    </row>
    <row r="1262" spans="1:920 1104:2035 2064:3032 3132:3224">
      <c r="A1262" s="8" t="s">
        <v>9930</v>
      </c>
      <c r="B1262" s="10" t="s">
        <v>11345</v>
      </c>
      <c r="C1262" s="8">
        <v>1443.93</v>
      </c>
      <c r="D1262" s="15">
        <v>44.06</v>
      </c>
      <c r="BEN1262" s="8" t="s">
        <v>11345</v>
      </c>
      <c r="BNT1262" s="8" t="s">
        <v>5046</v>
      </c>
      <c r="BPP1262" s="8" t="s">
        <v>5046</v>
      </c>
      <c r="BPQ1262" s="8" t="s">
        <v>5046</v>
      </c>
      <c r="BYN1262" s="8" t="s">
        <v>426</v>
      </c>
      <c r="CAJ1262" s="8" t="s">
        <v>426</v>
      </c>
      <c r="DHX1262" s="8" t="s">
        <v>480</v>
      </c>
    </row>
    <row r="1263" spans="1:920 1104:2035 2064:3032 3132:3224">
      <c r="A1263" s="8" t="s">
        <v>9930</v>
      </c>
      <c r="B1263" s="10" t="s">
        <v>14186</v>
      </c>
      <c r="C1263" s="8">
        <v>1779.93</v>
      </c>
      <c r="D1263" s="15">
        <v>44.06</v>
      </c>
      <c r="BAD1263" s="8" t="s">
        <v>5082</v>
      </c>
      <c r="BAF1263" s="8" t="s">
        <v>5082</v>
      </c>
      <c r="BPP1263" s="8" t="s">
        <v>5047</v>
      </c>
      <c r="BPQ1263" s="8" t="s">
        <v>5047</v>
      </c>
      <c r="BRL1263" s="8" t="s">
        <v>14186</v>
      </c>
      <c r="BRM1263" s="8" t="s">
        <v>5047</v>
      </c>
      <c r="CCZ1263" s="8" t="s">
        <v>427</v>
      </c>
      <c r="CEV1263" s="8" t="s">
        <v>427</v>
      </c>
      <c r="DPL1263" s="8" t="s">
        <v>481</v>
      </c>
    </row>
    <row r="1264" spans="1:920 1104:2035 2064:3032 3132:3224">
      <c r="A1264" s="8" t="s">
        <v>9930</v>
      </c>
      <c r="B1264" s="10" t="s">
        <v>14187</v>
      </c>
      <c r="C1264" s="8">
        <v>2451.9299999999998</v>
      </c>
      <c r="D1264" s="15">
        <v>44.06</v>
      </c>
      <c r="BBR1264" s="8" t="s">
        <v>5737</v>
      </c>
      <c r="BDM1264" s="8" t="s">
        <v>5083</v>
      </c>
      <c r="BDN1264" s="8" t="s">
        <v>5083</v>
      </c>
      <c r="BDO1264" s="8" t="s">
        <v>5083</v>
      </c>
      <c r="BSJ1264" s="8" t="s">
        <v>5048</v>
      </c>
      <c r="BSK1264" s="8" t="s">
        <v>5048</v>
      </c>
      <c r="BUF1264" s="8" t="s">
        <v>5048</v>
      </c>
      <c r="BUG1264" s="8" t="s">
        <v>5048</v>
      </c>
      <c r="BUH1264" s="8" t="s">
        <v>5048</v>
      </c>
      <c r="CED1264" s="8" t="s">
        <v>428</v>
      </c>
      <c r="CFZ1264" s="8" t="s">
        <v>428</v>
      </c>
      <c r="CRH1264" s="8" t="s">
        <v>14187</v>
      </c>
      <c r="DSZ1264" s="8" t="s">
        <v>482</v>
      </c>
    </row>
    <row r="1265" spans="1:845 1352:2025 2051:3069 3080:3898 4132:4280">
      <c r="A1265" s="8" t="s">
        <v>9930</v>
      </c>
      <c r="B1265" s="10" t="s">
        <v>14188</v>
      </c>
      <c r="C1265" s="8">
        <v>2773.31</v>
      </c>
      <c r="D1265" s="15">
        <v>10.7</v>
      </c>
      <c r="BCX1265" s="8" t="s">
        <v>5738</v>
      </c>
      <c r="BES1265" s="8" t="s">
        <v>5084</v>
      </c>
      <c r="BET1265" s="8" t="s">
        <v>5084</v>
      </c>
      <c r="BEU1265" s="8" t="s">
        <v>5084</v>
      </c>
      <c r="BTT1265" s="8" t="s">
        <v>5049</v>
      </c>
      <c r="BVP1265" s="8" t="s">
        <v>5049</v>
      </c>
      <c r="BVQ1265" s="8" t="s">
        <v>5049</v>
      </c>
      <c r="CFH1265" s="8" t="s">
        <v>429</v>
      </c>
      <c r="CHD1265" s="8" t="s">
        <v>429</v>
      </c>
      <c r="DCJ1265" s="8" t="s">
        <v>14188</v>
      </c>
      <c r="DUV1265" s="8" t="s">
        <v>483</v>
      </c>
    </row>
    <row r="1266" spans="1:845 1352:2025 2051:3069 3080:3898 4132:4280">
      <c r="A1266" s="8" t="s">
        <v>9930</v>
      </c>
      <c r="B1266" s="10" t="s">
        <v>14189</v>
      </c>
      <c r="C1266" s="8">
        <v>2787.93</v>
      </c>
      <c r="D1266" s="15">
        <v>44.06</v>
      </c>
      <c r="BGC1266" s="8" t="s">
        <v>5739</v>
      </c>
      <c r="BGD1266" s="8" t="s">
        <v>5739</v>
      </c>
      <c r="BHY1266" s="8" t="s">
        <v>5087</v>
      </c>
      <c r="BIA1266" s="8" t="s">
        <v>5087</v>
      </c>
      <c r="BTZ1266" s="8" t="s">
        <v>5050</v>
      </c>
      <c r="BUA1266" s="8" t="s">
        <v>5050</v>
      </c>
      <c r="BVV1266" s="8" t="s">
        <v>5050</v>
      </c>
      <c r="BVW1266" s="8" t="s">
        <v>5050</v>
      </c>
      <c r="CGK1266" s="8" t="s">
        <v>430</v>
      </c>
      <c r="CIG1266" s="8" t="s">
        <v>430</v>
      </c>
      <c r="DEF1266" s="8" t="s">
        <v>14189</v>
      </c>
      <c r="DWR1266" s="8" t="s">
        <v>484</v>
      </c>
    </row>
    <row r="1267" spans="1:845 1352:2025 2051:3069 3080:3898 4132:4280">
      <c r="A1267" s="8" t="s">
        <v>9931</v>
      </c>
      <c r="B1267" s="10" t="s">
        <v>14190</v>
      </c>
      <c r="C1267" s="8">
        <v>99.17</v>
      </c>
      <c r="D1267" s="15">
        <v>61.76</v>
      </c>
      <c r="FM1267" s="8" t="s">
        <v>14190</v>
      </c>
      <c r="BMO1267" s="8" t="s">
        <v>5740</v>
      </c>
      <c r="BOJ1267" s="8" t="s">
        <v>5089</v>
      </c>
      <c r="BOK1267" s="8" t="s">
        <v>5089</v>
      </c>
      <c r="BOL1267" s="8" t="s">
        <v>5089</v>
      </c>
      <c r="BVD1267" s="8" t="s">
        <v>5051</v>
      </c>
      <c r="BWZ1267" s="8" t="s">
        <v>5051</v>
      </c>
      <c r="BXA1267" s="8" t="s">
        <v>5051</v>
      </c>
      <c r="CKV1267" s="8" t="s">
        <v>412</v>
      </c>
      <c r="CMR1267" s="8" t="s">
        <v>412</v>
      </c>
      <c r="DZF1267" s="8" t="s">
        <v>485</v>
      </c>
    </row>
    <row r="1268" spans="1:845 1352:2025 2051:3069 3080:3898 4132:4280">
      <c r="A1268" s="8" t="s">
        <v>9931</v>
      </c>
      <c r="B1268" s="10" t="s">
        <v>14191</v>
      </c>
      <c r="C1268" s="8">
        <v>194.99</v>
      </c>
      <c r="D1268" s="15">
        <v>30.88</v>
      </c>
      <c r="HZ1268" s="8" t="s">
        <v>14191</v>
      </c>
      <c r="BNT1268" s="8" t="s">
        <v>5741</v>
      </c>
      <c r="BPO1268" s="8" t="s">
        <v>5090</v>
      </c>
      <c r="BPP1268" s="8" t="s">
        <v>5090</v>
      </c>
      <c r="BPQ1268" s="8" t="s">
        <v>5090</v>
      </c>
      <c r="BWZ1268" s="8" t="s">
        <v>5052</v>
      </c>
      <c r="BYV1268" s="8" t="s">
        <v>5052</v>
      </c>
      <c r="BYW1268" s="8" t="s">
        <v>5052</v>
      </c>
      <c r="CLW1268" s="8" t="s">
        <v>431</v>
      </c>
      <c r="CNS1268" s="8" t="s">
        <v>431</v>
      </c>
      <c r="EAO1268" s="8" t="s">
        <v>486</v>
      </c>
    </row>
    <row r="1269" spans="1:845 1352:2025 2051:3069 3080:3898 4132:4280">
      <c r="A1269" s="8" t="s">
        <v>9931</v>
      </c>
      <c r="B1269" s="10" t="s">
        <v>14192</v>
      </c>
      <c r="C1269" s="8">
        <v>215.27</v>
      </c>
      <c r="D1269" s="15">
        <v>61.76</v>
      </c>
      <c r="JY1269" s="8" t="s">
        <v>14192</v>
      </c>
      <c r="BWZ1269" s="8" t="s">
        <v>5053</v>
      </c>
      <c r="BXA1269" s="8" t="s">
        <v>5053</v>
      </c>
      <c r="BYV1269" s="8" t="s">
        <v>5053</v>
      </c>
      <c r="BYW1269" s="8" t="s">
        <v>5053</v>
      </c>
      <c r="CAW1269" s="8" t="s">
        <v>5742</v>
      </c>
      <c r="CCR1269" s="8" t="s">
        <v>5092</v>
      </c>
      <c r="CCS1269" s="8" t="s">
        <v>5092</v>
      </c>
      <c r="CCT1269" s="8" t="s">
        <v>5092</v>
      </c>
      <c r="CYM1269" s="8" t="s">
        <v>432</v>
      </c>
      <c r="DAI1269" s="8" t="s">
        <v>432</v>
      </c>
      <c r="ECR1269" s="8" t="s">
        <v>487</v>
      </c>
    </row>
    <row r="1270" spans="1:845 1352:2025 2051:3069 3080:3898 4132:4280">
      <c r="A1270" s="8" t="s">
        <v>9931</v>
      </c>
      <c r="B1270" s="10" t="s">
        <v>14193</v>
      </c>
      <c r="C1270" s="8">
        <v>258.76</v>
      </c>
      <c r="D1270" s="15">
        <v>61.76</v>
      </c>
      <c r="LQ1270" s="8" t="s">
        <v>14193</v>
      </c>
      <c r="BYA1270" s="8" t="s">
        <v>5054</v>
      </c>
      <c r="BYB1270" s="8" t="s">
        <v>5054</v>
      </c>
      <c r="BZW1270" s="8" t="s">
        <v>5054</v>
      </c>
      <c r="BZX1270" s="8" t="s">
        <v>5054</v>
      </c>
      <c r="BZY1270" s="8" t="s">
        <v>5054</v>
      </c>
      <c r="CCN1270" s="8" t="s">
        <v>5743</v>
      </c>
      <c r="CCO1270" s="8" t="s">
        <v>5743</v>
      </c>
      <c r="CEI1270" s="8" t="s">
        <v>5093</v>
      </c>
      <c r="CEJ1270" s="8" t="s">
        <v>5093</v>
      </c>
      <c r="CEK1270" s="8" t="s">
        <v>5093</v>
      </c>
      <c r="CZW1270" s="8" t="s">
        <v>433</v>
      </c>
      <c r="DBS1270" s="8" t="s">
        <v>433</v>
      </c>
      <c r="EEB1270" s="8" t="s">
        <v>488</v>
      </c>
    </row>
    <row r="1271" spans="1:845 1352:2025 2051:3069 3080:3898 4132:4280">
      <c r="A1271" s="8" t="s">
        <v>9931</v>
      </c>
      <c r="B1271" s="10" t="s">
        <v>14194</v>
      </c>
      <c r="C1271" s="8">
        <v>381.28</v>
      </c>
      <c r="D1271" s="15">
        <v>30.88</v>
      </c>
      <c r="PD1271" s="17" t="s">
        <v>14194</v>
      </c>
      <c r="AYZ1271" s="8" t="s">
        <v>10394</v>
      </c>
      <c r="BYV1271" s="8" t="s">
        <v>5055</v>
      </c>
      <c r="BYW1271" s="8" t="s">
        <v>5055</v>
      </c>
      <c r="CAR1271" s="8" t="s">
        <v>5055</v>
      </c>
      <c r="CAS1271" s="8" t="s">
        <v>5055</v>
      </c>
      <c r="CNB1271" s="8" t="s">
        <v>5744</v>
      </c>
      <c r="CNC1271" s="8" t="s">
        <v>5744</v>
      </c>
      <c r="COX1271" s="8" t="s">
        <v>5094</v>
      </c>
      <c r="COZ1271" s="8" t="s">
        <v>5094</v>
      </c>
      <c r="DAZ1271" s="8" t="s">
        <v>434</v>
      </c>
      <c r="DCV1271" s="8" t="s">
        <v>434</v>
      </c>
      <c r="EHT1271" s="8" t="s">
        <v>489</v>
      </c>
    </row>
    <row r="1272" spans="1:845 1352:2025 2051:3069 3080:3898 4132:4280">
      <c r="A1272" s="8" t="s">
        <v>9931</v>
      </c>
      <c r="B1272" s="10" t="s">
        <v>14195</v>
      </c>
      <c r="C1272" s="8">
        <v>385</v>
      </c>
      <c r="D1272" s="15">
        <v>29.88</v>
      </c>
      <c r="PG1272" s="8" t="s">
        <v>14195</v>
      </c>
      <c r="AYZ1272" s="8" t="s">
        <v>10395</v>
      </c>
      <c r="CAR1272" s="8" t="s">
        <v>5056</v>
      </c>
      <c r="CCN1272" s="8" t="s">
        <v>5056</v>
      </c>
      <c r="CCO1272" s="8" t="s">
        <v>5056</v>
      </c>
      <c r="DCD1272" s="8" t="s">
        <v>435</v>
      </c>
      <c r="DDZ1272" s="8" t="s">
        <v>435</v>
      </c>
      <c r="ELG1272" s="8" t="s">
        <v>5745</v>
      </c>
      <c r="ENB1272" s="8" t="s">
        <v>5096</v>
      </c>
      <c r="ENC1272" s="8" t="s">
        <v>5096</v>
      </c>
      <c r="END1272" s="8" t="s">
        <v>5096</v>
      </c>
      <c r="ERB1272" s="8" t="s">
        <v>490</v>
      </c>
    </row>
    <row r="1273" spans="1:845 1352:2025 2051:3069 3080:3898 4132:4280">
      <c r="A1273" s="8" t="s">
        <v>9931</v>
      </c>
      <c r="B1273" s="10" t="s">
        <v>14196</v>
      </c>
      <c r="C1273" s="8">
        <v>673.03</v>
      </c>
      <c r="D1273" s="15">
        <v>29.41</v>
      </c>
      <c r="AAH1273" s="8" t="s">
        <v>14196</v>
      </c>
      <c r="AYZ1273" s="8" t="s">
        <v>457</v>
      </c>
      <c r="BAV1273" s="8" t="s">
        <v>457</v>
      </c>
      <c r="BTH1273" s="8" t="s">
        <v>11357</v>
      </c>
      <c r="BVD1273" s="8" t="s">
        <v>10396</v>
      </c>
      <c r="CCN1273" s="8" t="s">
        <v>5057</v>
      </c>
      <c r="CCO1273" s="8" t="s">
        <v>5057</v>
      </c>
      <c r="CEJ1273" s="8" t="s">
        <v>5057</v>
      </c>
      <c r="CEK1273" s="8" t="s">
        <v>5057</v>
      </c>
      <c r="DDH1273" s="8" t="s">
        <v>436</v>
      </c>
      <c r="DFD1273" s="8" t="s">
        <v>436</v>
      </c>
      <c r="ELL1273" s="8" t="s">
        <v>5746</v>
      </c>
      <c r="ENG1273" s="8" t="s">
        <v>5097</v>
      </c>
      <c r="ENH1273" s="8" t="s">
        <v>5097</v>
      </c>
      <c r="ENI1273" s="8" t="s">
        <v>5097</v>
      </c>
      <c r="FBX1273" s="8" t="s">
        <v>491</v>
      </c>
    </row>
    <row r="1274" spans="1:845 1352:2025 2051:3069 3080:3898 4132:4280">
      <c r="A1274" s="8" t="s">
        <v>9931</v>
      </c>
      <c r="B1274" s="10" t="s">
        <v>14197</v>
      </c>
      <c r="C1274" s="8">
        <v>703.45</v>
      </c>
      <c r="D1274" s="15">
        <v>30.88</v>
      </c>
      <c r="ABN1274" s="8" t="s">
        <v>14197</v>
      </c>
      <c r="AYZ1274" s="8" t="s">
        <v>458</v>
      </c>
      <c r="BAV1274" s="8" t="s">
        <v>458</v>
      </c>
      <c r="BCR1274" s="8" t="s">
        <v>458</v>
      </c>
      <c r="BEN1274" s="8" t="s">
        <v>458</v>
      </c>
      <c r="CIB1274" s="8" t="s">
        <v>11358</v>
      </c>
      <c r="CIF1274" s="8" t="s">
        <v>5058</v>
      </c>
      <c r="CJX1274" s="8" t="s">
        <v>10397</v>
      </c>
      <c r="CKB1274" s="8" t="s">
        <v>5058</v>
      </c>
      <c r="CKC1274" s="8" t="s">
        <v>5058</v>
      </c>
      <c r="DEK1274" s="8" t="s">
        <v>437</v>
      </c>
      <c r="DGG1274" s="8" t="s">
        <v>437</v>
      </c>
      <c r="EQZ1274" s="8" t="s">
        <v>5747</v>
      </c>
      <c r="ERA1274" s="8" t="s">
        <v>5747</v>
      </c>
      <c r="ESV1274" s="8" t="s">
        <v>5099</v>
      </c>
      <c r="ESW1274" s="8" t="s">
        <v>5099</v>
      </c>
      <c r="ESX1274" s="8" t="s">
        <v>5099</v>
      </c>
      <c r="FCO1274" s="8" t="s">
        <v>492</v>
      </c>
    </row>
    <row r="1275" spans="1:845 1352:2025 2051:3069 3080:3898 4132:4280">
      <c r="A1275" s="8" t="s">
        <v>9931</v>
      </c>
      <c r="B1275" s="10" t="s">
        <v>11350</v>
      </c>
      <c r="C1275" s="8">
        <v>735.33</v>
      </c>
      <c r="D1275" s="15">
        <v>29.41</v>
      </c>
      <c r="ACS1275" s="8" t="s">
        <v>11350</v>
      </c>
      <c r="AZC1275" s="8" t="s">
        <v>459</v>
      </c>
      <c r="BAY1275" s="8" t="s">
        <v>459</v>
      </c>
      <c r="BCU1275" s="8" t="s">
        <v>459</v>
      </c>
      <c r="BEQ1275" s="8" t="s">
        <v>459</v>
      </c>
      <c r="CJF1275" s="8" t="s">
        <v>5059</v>
      </c>
      <c r="CLB1275" s="8" t="s">
        <v>5059</v>
      </c>
      <c r="CLC1275" s="8" t="s">
        <v>5059</v>
      </c>
      <c r="DGB1275" s="8" t="s">
        <v>438</v>
      </c>
      <c r="DHX1275" s="8" t="s">
        <v>438</v>
      </c>
      <c r="DLR1275" s="8" t="s">
        <v>11359</v>
      </c>
      <c r="DNN1275" s="8" t="s">
        <v>10398</v>
      </c>
      <c r="FDX1275" s="8" t="s">
        <v>5748</v>
      </c>
      <c r="FFS1275" s="8" t="s">
        <v>5368</v>
      </c>
      <c r="FFT1275" s="8" t="s">
        <v>5368</v>
      </c>
      <c r="FFU1275" s="8" t="s">
        <v>5368</v>
      </c>
    </row>
    <row r="1276" spans="1:845 1352:2025 2051:3069 3080:3898 4132:4280">
      <c r="A1276" s="8" t="s">
        <v>9931</v>
      </c>
      <c r="B1276" s="10" t="s">
        <v>14198</v>
      </c>
      <c r="C1276" s="8">
        <v>765.74</v>
      </c>
      <c r="D1276" s="15">
        <v>14.71</v>
      </c>
      <c r="ADH1276" s="17" t="s">
        <v>14198</v>
      </c>
      <c r="BAL1276" s="8" t="s">
        <v>460</v>
      </c>
      <c r="BCH1276" s="8" t="s">
        <v>460</v>
      </c>
      <c r="BED1276" s="8" t="s">
        <v>460</v>
      </c>
      <c r="BFZ1276" s="8" t="s">
        <v>460</v>
      </c>
      <c r="CJX1276" s="8" t="s">
        <v>5060</v>
      </c>
      <c r="CJY1276" s="8" t="s">
        <v>5060</v>
      </c>
      <c r="CLT1276" s="8" t="s">
        <v>5060</v>
      </c>
      <c r="CLU1276" s="8" t="s">
        <v>5060</v>
      </c>
      <c r="DHX1276" s="8" t="s">
        <v>439</v>
      </c>
      <c r="DJT1276" s="8" t="s">
        <v>439</v>
      </c>
      <c r="DNA1276" s="8" t="s">
        <v>11360</v>
      </c>
      <c r="DOW1276" s="8" t="s">
        <v>10399</v>
      </c>
      <c r="FHP1276" s="8" t="s">
        <v>494</v>
      </c>
    </row>
    <row r="1277" spans="1:845 1352:2025 2051:3069 3080:3898 4132:4280">
      <c r="A1277" s="8" t="s">
        <v>9931</v>
      </c>
      <c r="B1277" s="10" t="s">
        <v>14199</v>
      </c>
      <c r="C1277" s="8">
        <v>781.45</v>
      </c>
      <c r="D1277" s="15">
        <v>30.88</v>
      </c>
      <c r="AEN1277" s="19" t="s">
        <v>14199</v>
      </c>
      <c r="BCI1277" s="8" t="s">
        <v>598</v>
      </c>
      <c r="BEE1277" s="8" t="s">
        <v>598</v>
      </c>
      <c r="BGA1277" s="8" t="s">
        <v>598</v>
      </c>
      <c r="BHW1277" s="8" t="s">
        <v>598</v>
      </c>
      <c r="CLT1277" s="8" t="s">
        <v>5061</v>
      </c>
      <c r="CNP1277" s="8" t="s">
        <v>5061</v>
      </c>
      <c r="CNQ1277" s="8" t="s">
        <v>5061</v>
      </c>
      <c r="DJT1277" s="8" t="s">
        <v>440</v>
      </c>
      <c r="DLP1277" s="8" t="s">
        <v>440</v>
      </c>
    </row>
    <row r="1278" spans="1:845 1352:2025 2051:3069 3080:3898 4132:4280">
      <c r="A1278" s="8" t="s">
        <v>9931</v>
      </c>
      <c r="B1278" s="10" t="s">
        <v>14200</v>
      </c>
      <c r="C1278" s="8">
        <v>813.33</v>
      </c>
      <c r="D1278" s="15">
        <v>4.01</v>
      </c>
      <c r="AES1278" s="8" t="s">
        <v>14200</v>
      </c>
      <c r="AYZ1278" s="8" t="s">
        <v>2128</v>
      </c>
      <c r="BAV1278" s="8" t="s">
        <v>1706</v>
      </c>
      <c r="BEN1278" s="8" t="s">
        <v>461</v>
      </c>
      <c r="BGJ1278" s="8" t="s">
        <v>461</v>
      </c>
      <c r="BIF1278" s="8" t="s">
        <v>461</v>
      </c>
      <c r="BKB1278" s="8" t="s">
        <v>461</v>
      </c>
      <c r="CNP1278" s="8" t="s">
        <v>5062</v>
      </c>
      <c r="CPL1278" s="8" t="s">
        <v>5062</v>
      </c>
      <c r="CPM1278" s="8" t="s">
        <v>5062</v>
      </c>
      <c r="DLP1278" s="8" t="s">
        <v>441</v>
      </c>
      <c r="DNL1278" s="8" t="s">
        <v>441</v>
      </c>
    </row>
    <row r="1279" spans="1:845 1352:2025 2051:3069 3080:3898 4132:4280">
      <c r="A1279" s="8" t="s">
        <v>9931</v>
      </c>
      <c r="B1279" s="10" t="s">
        <v>14201</v>
      </c>
      <c r="C1279" s="8">
        <v>819.34</v>
      </c>
      <c r="D1279" s="15">
        <v>12.35</v>
      </c>
      <c r="AFH1279" s="8" t="s">
        <v>14201</v>
      </c>
      <c r="BAV1279" s="8" t="s">
        <v>2129</v>
      </c>
      <c r="BCR1279" s="8" t="s">
        <v>1707</v>
      </c>
      <c r="BGJ1279" s="8" t="s">
        <v>462</v>
      </c>
      <c r="BIF1279" s="8" t="s">
        <v>462</v>
      </c>
      <c r="BKB1279" s="8" t="s">
        <v>462</v>
      </c>
      <c r="BLX1279" s="8" t="s">
        <v>462</v>
      </c>
      <c r="CPL1279" s="8" t="s">
        <v>5063</v>
      </c>
      <c r="CRH1279" s="8" t="s">
        <v>5063</v>
      </c>
      <c r="CRI1279" s="8" t="s">
        <v>5063</v>
      </c>
      <c r="DVM1279" s="8" t="s">
        <v>442</v>
      </c>
      <c r="DXI1279" s="8" t="s">
        <v>442</v>
      </c>
    </row>
    <row r="1280" spans="1:845 1352:2025 2051:3069 3080:3898 4132:4280">
      <c r="A1280" s="8" t="s">
        <v>9931</v>
      </c>
      <c r="B1280" s="10" t="s">
        <v>14202</v>
      </c>
      <c r="C1280" s="8">
        <v>832.7</v>
      </c>
      <c r="D1280" s="15">
        <v>4.32</v>
      </c>
      <c r="AFM1280" s="8" t="s">
        <v>14202</v>
      </c>
      <c r="BBM1280" s="8" t="s">
        <v>2130</v>
      </c>
      <c r="BDI1280" s="8" t="s">
        <v>1708</v>
      </c>
      <c r="BHA1280" s="8" t="s">
        <v>1340</v>
      </c>
      <c r="BIW1280" s="8" t="s">
        <v>1340</v>
      </c>
      <c r="BKS1280" s="8" t="s">
        <v>1340</v>
      </c>
      <c r="BMO1280" s="8" t="s">
        <v>1340</v>
      </c>
      <c r="CUB1280" s="8" t="s">
        <v>5064</v>
      </c>
      <c r="CUC1280" s="8" t="s">
        <v>5064</v>
      </c>
      <c r="CVX1280" s="8" t="s">
        <v>5064</v>
      </c>
      <c r="CVY1280" s="8" t="s">
        <v>5064</v>
      </c>
      <c r="CVZ1280" s="8" t="s">
        <v>5064</v>
      </c>
      <c r="DYN1280" s="8" t="s">
        <v>443</v>
      </c>
      <c r="EAJ1280" s="8" t="s">
        <v>443</v>
      </c>
    </row>
    <row r="1281" spans="1:921 1033:2024 2063:3035 3268:4089 4244:4424">
      <c r="A1281" s="8" t="s">
        <v>9931</v>
      </c>
      <c r="B1281" s="10" t="s">
        <v>11351</v>
      </c>
      <c r="C1281" s="8">
        <v>838.02</v>
      </c>
      <c r="D1281" s="15">
        <v>58.82</v>
      </c>
      <c r="AHU1281" s="8" t="s">
        <v>11351</v>
      </c>
      <c r="BCW1281" s="8" t="s">
        <v>2131</v>
      </c>
      <c r="BES1281" s="8" t="s">
        <v>1709</v>
      </c>
      <c r="BIK1281" s="8" t="s">
        <v>463</v>
      </c>
      <c r="BKG1281" s="8" t="s">
        <v>463</v>
      </c>
      <c r="BMC1281" s="8" t="s">
        <v>463</v>
      </c>
      <c r="BNY1281" s="8" t="s">
        <v>463</v>
      </c>
      <c r="CUZ1281" s="8" t="s">
        <v>5065</v>
      </c>
      <c r="CWV1281" s="8" t="s">
        <v>5065</v>
      </c>
      <c r="CWW1281" s="8" t="s">
        <v>5065</v>
      </c>
      <c r="EAJ1281" s="8" t="s">
        <v>444</v>
      </c>
      <c r="ECF1281" s="8" t="s">
        <v>444</v>
      </c>
    </row>
    <row r="1282" spans="1:921 1033:2024 2063:3035 3268:4089 4244:4424">
      <c r="A1282" s="8" t="s">
        <v>9931</v>
      </c>
      <c r="B1282" s="10" t="s">
        <v>11352</v>
      </c>
      <c r="C1282" s="8">
        <v>897.84</v>
      </c>
      <c r="D1282" s="15">
        <v>15.44</v>
      </c>
      <c r="AIK1282" s="8" t="s">
        <v>11352</v>
      </c>
      <c r="BEN1282" s="8" t="s">
        <v>2132</v>
      </c>
      <c r="BGJ1282" s="8" t="s">
        <v>1710</v>
      </c>
      <c r="BKB1282" s="8" t="s">
        <v>464</v>
      </c>
      <c r="BLX1282" s="8" t="s">
        <v>464</v>
      </c>
      <c r="BNT1282" s="8" t="s">
        <v>464</v>
      </c>
      <c r="BPP1282" s="8" t="s">
        <v>464</v>
      </c>
      <c r="CVL1282" s="8" t="s">
        <v>5066</v>
      </c>
      <c r="CXH1282" s="8" t="s">
        <v>5066</v>
      </c>
      <c r="CXI1282" s="8" t="s">
        <v>5066</v>
      </c>
      <c r="EHO1282" s="8" t="s">
        <v>411</v>
      </c>
      <c r="EJK1282" s="8" t="s">
        <v>411</v>
      </c>
    </row>
    <row r="1283" spans="1:921 1033:2024 2063:3035 3268:4089 4244:4424">
      <c r="A1283" s="8" t="s">
        <v>9931</v>
      </c>
      <c r="B1283" s="10" t="s">
        <v>11353</v>
      </c>
      <c r="C1283" s="8">
        <v>1017.41</v>
      </c>
      <c r="D1283" s="15">
        <v>7.41</v>
      </c>
      <c r="AMS1283" s="8" t="s">
        <v>11353</v>
      </c>
      <c r="BHO1283" s="8" t="s">
        <v>2133</v>
      </c>
      <c r="BJK1283" s="8" t="s">
        <v>1711</v>
      </c>
      <c r="BNC1283" s="8" t="s">
        <v>466</v>
      </c>
      <c r="BOY1283" s="8" t="s">
        <v>466</v>
      </c>
      <c r="BQU1283" s="8" t="s">
        <v>466</v>
      </c>
      <c r="BSQ1283" s="8" t="s">
        <v>466</v>
      </c>
      <c r="CWV1283" s="8" t="s">
        <v>5067</v>
      </c>
      <c r="CYR1283" s="8" t="s">
        <v>5067</v>
      </c>
      <c r="CYS1283" s="8" t="s">
        <v>5067</v>
      </c>
      <c r="ENK1283" s="8" t="s">
        <v>445</v>
      </c>
      <c r="EPG1283" s="8" t="s">
        <v>445</v>
      </c>
    </row>
    <row r="1284" spans="1:921 1033:2024 2063:3035 3268:4089 4244:4424">
      <c r="A1284" s="8" t="s">
        <v>9931</v>
      </c>
      <c r="B1284" s="10" t="s">
        <v>11354</v>
      </c>
      <c r="C1284" s="8">
        <v>1026.82</v>
      </c>
      <c r="D1284" s="15">
        <v>19.12</v>
      </c>
      <c r="ANN1284" s="8" t="s">
        <v>11354</v>
      </c>
      <c r="BDV1284" s="8" t="s">
        <v>498</v>
      </c>
      <c r="BII1284" s="8" t="s">
        <v>2134</v>
      </c>
      <c r="BKE1284" s="8" t="s">
        <v>1712</v>
      </c>
      <c r="BNW1284" s="8" t="s">
        <v>467</v>
      </c>
      <c r="BPS1284" s="8" t="s">
        <v>467</v>
      </c>
      <c r="BRO1284" s="8" t="s">
        <v>467</v>
      </c>
      <c r="BTK1284" s="8" t="s">
        <v>467</v>
      </c>
      <c r="DAN1284" s="8" t="s">
        <v>5068</v>
      </c>
      <c r="DCJ1284" s="8" t="s">
        <v>5068</v>
      </c>
      <c r="DCK1284" s="8" t="s">
        <v>5068</v>
      </c>
      <c r="FGF1284" s="8" t="s">
        <v>1335</v>
      </c>
      <c r="FIB1284" s="8" t="s">
        <v>1335</v>
      </c>
    </row>
    <row r="1285" spans="1:921 1033:2024 2063:3035 3268:4089 4244:4424">
      <c r="A1285" s="8" t="s">
        <v>9931</v>
      </c>
      <c r="B1285" s="10" t="s">
        <v>14203</v>
      </c>
      <c r="C1285" s="8">
        <v>1061.29</v>
      </c>
      <c r="D1285" s="15">
        <v>30.88</v>
      </c>
      <c r="APH1285" s="8" t="s">
        <v>14203</v>
      </c>
      <c r="BEO1285" s="8" t="s">
        <v>499</v>
      </c>
      <c r="BJL1285" s="8" t="s">
        <v>2135</v>
      </c>
      <c r="BLH1285" s="8" t="s">
        <v>1713</v>
      </c>
      <c r="BOZ1285" s="8" t="s">
        <v>468</v>
      </c>
      <c r="BQV1285" s="8" t="s">
        <v>468</v>
      </c>
      <c r="BSR1285" s="8" t="s">
        <v>468</v>
      </c>
      <c r="BUN1285" s="8" t="s">
        <v>468</v>
      </c>
      <c r="DJV1285" s="8" t="s">
        <v>5069</v>
      </c>
      <c r="DLR1285" s="8" t="s">
        <v>5069</v>
      </c>
      <c r="DLS1285" s="8" t="s">
        <v>5069</v>
      </c>
      <c r="FHJ1285" s="8" t="s">
        <v>1336</v>
      </c>
      <c r="FJF1285" s="8" t="s">
        <v>1336</v>
      </c>
    </row>
    <row r="1286" spans="1:921 1033:2024 2063:3035 3268:4089 4244:4424">
      <c r="A1286" s="8" t="s">
        <v>9931</v>
      </c>
      <c r="B1286" s="10" t="s">
        <v>11355</v>
      </c>
      <c r="C1286" s="8">
        <v>1093.18</v>
      </c>
      <c r="D1286" s="15">
        <v>58.82</v>
      </c>
      <c r="ARP1286" s="8" t="s">
        <v>11355</v>
      </c>
      <c r="BIF1286" s="8" t="s">
        <v>500</v>
      </c>
      <c r="BKG1286" s="8" t="s">
        <v>2136</v>
      </c>
      <c r="BMC1286" s="8" t="s">
        <v>1714</v>
      </c>
      <c r="BPU1286" s="8" t="s">
        <v>469</v>
      </c>
      <c r="BRQ1286" s="8" t="s">
        <v>469</v>
      </c>
      <c r="BTM1286" s="8" t="s">
        <v>469</v>
      </c>
      <c r="BVI1286" s="8" t="s">
        <v>469</v>
      </c>
      <c r="DUR1286" s="8" t="s">
        <v>5070</v>
      </c>
      <c r="DWN1286" s="8" t="s">
        <v>5070</v>
      </c>
      <c r="DWO1286" s="8" t="s">
        <v>5070</v>
      </c>
      <c r="FHP1286" s="8" t="s">
        <v>1337</v>
      </c>
      <c r="FJL1286" s="8" t="s">
        <v>1337</v>
      </c>
    </row>
    <row r="1287" spans="1:921 1033:2024 2063:3035 3268:4089 4244:4424">
      <c r="A1287" s="8" t="s">
        <v>9931</v>
      </c>
      <c r="B1287" s="10" t="s">
        <v>11356</v>
      </c>
      <c r="C1287" s="8">
        <v>1121.71</v>
      </c>
      <c r="D1287" s="15">
        <v>30.29</v>
      </c>
      <c r="ARP1287" s="8" t="s">
        <v>11356</v>
      </c>
      <c r="BLX1287" s="8" t="s">
        <v>2137</v>
      </c>
      <c r="BNG1287" s="8" t="s">
        <v>501</v>
      </c>
      <c r="BNT1287" s="8" t="s">
        <v>1715</v>
      </c>
      <c r="BRL1287" s="8" t="s">
        <v>1341</v>
      </c>
      <c r="BTH1287" s="8" t="s">
        <v>1341</v>
      </c>
      <c r="BVD1287" s="8" t="s">
        <v>1341</v>
      </c>
      <c r="BWZ1287" s="8" t="s">
        <v>1341</v>
      </c>
      <c r="DVI1287" s="8" t="s">
        <v>5071</v>
      </c>
      <c r="DVJ1287" s="8" t="s">
        <v>5071</v>
      </c>
      <c r="DXE1287" s="8" t="s">
        <v>5071</v>
      </c>
      <c r="DXF1287" s="8" t="s">
        <v>5071</v>
      </c>
      <c r="FJL1287" s="8" t="s">
        <v>1338</v>
      </c>
      <c r="FLH1287" s="8" t="s">
        <v>1338</v>
      </c>
    </row>
    <row r="1288" spans="1:921 1033:2024 2063:3035 3268:4089 4244:4424">
      <c r="A1288" s="8" t="s">
        <v>9931</v>
      </c>
      <c r="B1288" s="10" t="s">
        <v>14204</v>
      </c>
      <c r="C1288" s="8">
        <v>1724.91</v>
      </c>
      <c r="D1288" s="15">
        <v>3.09</v>
      </c>
      <c r="BNT1288" s="8" t="s">
        <v>14204</v>
      </c>
      <c r="BOI1288" s="8" t="s">
        <v>502</v>
      </c>
      <c r="BPP1288" s="8" t="s">
        <v>1716</v>
      </c>
      <c r="BTH1288" s="8" t="s">
        <v>470</v>
      </c>
      <c r="BVD1288" s="8" t="s">
        <v>470</v>
      </c>
      <c r="BWZ1288" s="8" t="s">
        <v>470</v>
      </c>
      <c r="BYV1288" s="8" t="s">
        <v>470</v>
      </c>
      <c r="DYN1288" s="8" t="s">
        <v>5072</v>
      </c>
      <c r="DYO1288" s="8" t="s">
        <v>5072</v>
      </c>
      <c r="EAJ1288" s="8" t="s">
        <v>5072</v>
      </c>
      <c r="EAK1288" s="8" t="s">
        <v>5072</v>
      </c>
      <c r="FLH1288" s="8" t="s">
        <v>1339</v>
      </c>
      <c r="FND1288" s="8" t="s">
        <v>1339</v>
      </c>
    </row>
    <row r="1289" spans="1:921 1033:2024 2063:3035 3268:4089 4244:4424">
      <c r="A1289" s="8" t="s">
        <v>9931</v>
      </c>
      <c r="B1289" s="10" t="s">
        <v>11358</v>
      </c>
      <c r="C1289" s="8">
        <v>2102.12</v>
      </c>
      <c r="D1289" s="15">
        <v>9.8800000000000008</v>
      </c>
      <c r="BNT1289" s="8" t="s">
        <v>2138</v>
      </c>
      <c r="BPP1289" s="8" t="s">
        <v>1717</v>
      </c>
      <c r="BTH1289" s="8" t="s">
        <v>471</v>
      </c>
      <c r="BVD1289" s="8" t="s">
        <v>471</v>
      </c>
      <c r="BWZ1289" s="8" t="s">
        <v>471</v>
      </c>
      <c r="BYV1289" s="8" t="s">
        <v>471</v>
      </c>
      <c r="CCN1289" s="8" t="s">
        <v>11358</v>
      </c>
      <c r="EAJ1289" s="8" t="s">
        <v>5073</v>
      </c>
      <c r="EAK1289" s="8" t="s">
        <v>5073</v>
      </c>
      <c r="ECF1289" s="8" t="s">
        <v>5073</v>
      </c>
      <c r="ECG1289" s="8" t="s">
        <v>5073</v>
      </c>
    </row>
    <row r="1290" spans="1:921 1033:2024 2063:3035 3268:4089 4244:4424">
      <c r="A1290" s="8" t="s">
        <v>9931</v>
      </c>
      <c r="B1290" s="10" t="s">
        <v>14205</v>
      </c>
      <c r="C1290" s="8">
        <v>2642.17</v>
      </c>
      <c r="D1290" s="15">
        <v>40.15</v>
      </c>
      <c r="BRU1290" s="8" t="s">
        <v>504</v>
      </c>
      <c r="BUU1290" s="8" t="s">
        <v>2139</v>
      </c>
      <c r="BWQ1290" s="8" t="s">
        <v>1718</v>
      </c>
      <c r="CAI1290" s="8" t="s">
        <v>472</v>
      </c>
      <c r="CCE1290" s="8" t="s">
        <v>472</v>
      </c>
      <c r="CEA1290" s="8" t="s">
        <v>472</v>
      </c>
      <c r="CFW1290" s="8" t="s">
        <v>472</v>
      </c>
      <c r="CYL1290" s="8" t="s">
        <v>14205</v>
      </c>
      <c r="EHT1290" s="8" t="s">
        <v>5074</v>
      </c>
      <c r="EJP1290" s="8" t="s">
        <v>5074</v>
      </c>
      <c r="EJQ1290" s="8" t="s">
        <v>5074</v>
      </c>
    </row>
    <row r="1291" spans="1:921 1033:2024 2063:3035 3268:4089 4244:4424">
      <c r="A1291" s="8" t="s">
        <v>9931</v>
      </c>
      <c r="B1291" s="10" t="s">
        <v>11359</v>
      </c>
      <c r="C1291" s="8">
        <v>2865.29</v>
      </c>
      <c r="D1291" s="15">
        <v>16.989999999999998</v>
      </c>
      <c r="BRL1291" s="8" t="s">
        <v>496</v>
      </c>
      <c r="BWZ1291" s="8" t="s">
        <v>2140</v>
      </c>
      <c r="BYV1291" s="8" t="s">
        <v>1719</v>
      </c>
      <c r="CCN1291" s="8" t="s">
        <v>473</v>
      </c>
      <c r="CEJ1291" s="8" t="s">
        <v>473</v>
      </c>
      <c r="CGF1291" s="8" t="s">
        <v>473</v>
      </c>
      <c r="CIB1291" s="8" t="s">
        <v>473</v>
      </c>
      <c r="DGD1291" s="8" t="s">
        <v>11359</v>
      </c>
      <c r="EJP1291" s="8" t="s">
        <v>5075</v>
      </c>
      <c r="ELL1291" s="8" t="s">
        <v>5075</v>
      </c>
      <c r="ELM1291" s="8" t="s">
        <v>5075</v>
      </c>
    </row>
    <row r="1292" spans="1:921 1033:2024 2063:3035 3268:4089 4244:4424">
      <c r="A1292" s="8" t="s">
        <v>9931</v>
      </c>
      <c r="B1292" s="10" t="s">
        <v>11360</v>
      </c>
      <c r="C1292" s="8">
        <v>2883.17</v>
      </c>
      <c r="D1292" s="15">
        <v>34.28</v>
      </c>
      <c r="BSG1292" s="8" t="s">
        <v>505</v>
      </c>
      <c r="CAR1292" s="8" t="s">
        <v>2141</v>
      </c>
      <c r="CCN1292" s="8" t="s">
        <v>1720</v>
      </c>
      <c r="CGF1292" s="8" t="s">
        <v>474</v>
      </c>
      <c r="CIB1292" s="8" t="s">
        <v>474</v>
      </c>
      <c r="CJX1292" s="8" t="s">
        <v>474</v>
      </c>
      <c r="CLT1292" s="8" t="s">
        <v>474</v>
      </c>
      <c r="DHM1292" s="8" t="s">
        <v>11360</v>
      </c>
      <c r="EJP1292" s="8" t="s">
        <v>5076</v>
      </c>
      <c r="ELL1292" s="8" t="s">
        <v>5076</v>
      </c>
      <c r="ELM1292" s="8" t="s">
        <v>5076</v>
      </c>
    </row>
    <row r="1293" spans="1:921 1033:2024 2063:3035 3268:4089 4244:4424">
      <c r="A1293" s="8" t="s">
        <v>9931</v>
      </c>
      <c r="B1293" s="10" t="s">
        <v>14206</v>
      </c>
      <c r="C1293" s="8">
        <v>4409.5600000000004</v>
      </c>
      <c r="D1293" s="15">
        <v>2.94</v>
      </c>
      <c r="BTN1293" s="8" t="s">
        <v>506</v>
      </c>
      <c r="CCN1293" s="8" t="s">
        <v>2142</v>
      </c>
      <c r="CEJ1293" s="8" t="s">
        <v>1721</v>
      </c>
      <c r="CIB1293" s="8" t="s">
        <v>475</v>
      </c>
      <c r="CJX1293" s="8" t="s">
        <v>475</v>
      </c>
      <c r="CLT1293" s="8" t="s">
        <v>475</v>
      </c>
      <c r="CNP1293" s="8" t="s">
        <v>475</v>
      </c>
      <c r="EUU1293" s="8" t="s">
        <v>5077</v>
      </c>
      <c r="EWQ1293" s="8" t="s">
        <v>5077</v>
      </c>
      <c r="EWR1293" s="8" t="s">
        <v>5077</v>
      </c>
      <c r="FMZ1293" s="8" t="s">
        <v>14206</v>
      </c>
    </row>
    <row r="1294" spans="1:921 1033:2024 2063:3035 3268:4089 4244:4424">
      <c r="A1294" s="8" t="s">
        <v>9932</v>
      </c>
      <c r="B1294" s="10" t="s">
        <v>11361</v>
      </c>
      <c r="C1294" s="8">
        <v>-237.68</v>
      </c>
      <c r="D1294" s="15">
        <v>27.63</v>
      </c>
      <c r="H1294" s="8" t="s">
        <v>11361</v>
      </c>
      <c r="BTH1294" s="8" t="s">
        <v>507</v>
      </c>
      <c r="CGR1294" s="8" t="s">
        <v>2143</v>
      </c>
      <c r="CIN1294" s="8" t="s">
        <v>1722</v>
      </c>
      <c r="CMF1294" s="8" t="s">
        <v>476</v>
      </c>
      <c r="COB1294" s="8" t="s">
        <v>476</v>
      </c>
      <c r="CPX1294" s="8" t="s">
        <v>476</v>
      </c>
      <c r="CRT1294" s="8" t="s">
        <v>476</v>
      </c>
      <c r="EYJ1294" s="8" t="s">
        <v>5078</v>
      </c>
      <c r="EYK1294" s="8" t="s">
        <v>5078</v>
      </c>
      <c r="FAF1294" s="8" t="s">
        <v>5078</v>
      </c>
      <c r="FAG1294" s="8" t="s">
        <v>5078</v>
      </c>
    </row>
    <row r="1295" spans="1:921 1033:2024 2063:3035 3268:4089 4244:4424">
      <c r="A1295" s="8" t="s">
        <v>9932</v>
      </c>
      <c r="B1295" s="10" t="s">
        <v>14207</v>
      </c>
      <c r="C1295" s="8">
        <v>-62.81</v>
      </c>
      <c r="D1295" s="15">
        <v>3.32</v>
      </c>
      <c r="H1295" s="8" t="s">
        <v>14207</v>
      </c>
      <c r="BTW1295" s="8" t="s">
        <v>508</v>
      </c>
      <c r="CIB1295" s="8" t="s">
        <v>2144</v>
      </c>
      <c r="CJX1295" s="8" t="s">
        <v>1723</v>
      </c>
      <c r="CNP1295" s="8" t="s">
        <v>477</v>
      </c>
      <c r="CPL1295" s="8" t="s">
        <v>477</v>
      </c>
      <c r="CRH1295" s="8" t="s">
        <v>477</v>
      </c>
      <c r="CTD1295" s="8" t="s">
        <v>477</v>
      </c>
    </row>
    <row r="1296" spans="1:921 1033:2024 2063:3035 3268:4089 4244:4424">
      <c r="A1296" s="8" t="s">
        <v>9932</v>
      </c>
      <c r="B1296" s="10" t="s">
        <v>14208</v>
      </c>
      <c r="C1296" s="8">
        <v>-3.32</v>
      </c>
      <c r="D1296" s="15">
        <v>3.32</v>
      </c>
      <c r="H1296" s="8" t="s">
        <v>14208</v>
      </c>
      <c r="BUM1296" s="8" t="s">
        <v>509</v>
      </c>
      <c r="CJX1296" s="8" t="s">
        <v>2145</v>
      </c>
      <c r="CLT1296" s="8" t="s">
        <v>1724</v>
      </c>
      <c r="CPL1296" s="8" t="s">
        <v>478</v>
      </c>
      <c r="CRH1296" s="8" t="s">
        <v>478</v>
      </c>
      <c r="CTD1296" s="8" t="s">
        <v>478</v>
      </c>
      <c r="CUZ1296" s="8" t="s">
        <v>478</v>
      </c>
    </row>
    <row r="1297" spans="1:1004 1352:1985 2216:3050 3080:3992">
      <c r="A1297" s="8" t="s">
        <v>9932</v>
      </c>
      <c r="B1297" s="10" t="s">
        <v>11363</v>
      </c>
      <c r="C1297" s="8">
        <v>-2.65</v>
      </c>
      <c r="D1297" s="15">
        <v>2.65</v>
      </c>
      <c r="H1297" s="8" t="s">
        <v>11363</v>
      </c>
      <c r="BUT1297" s="8" t="s">
        <v>510</v>
      </c>
      <c r="CJX1297" s="8" t="s">
        <v>2146</v>
      </c>
      <c r="CLT1297" s="8" t="s">
        <v>1725</v>
      </c>
      <c r="CPL1297" s="8" t="s">
        <v>479</v>
      </c>
      <c r="CRH1297" s="8" t="s">
        <v>479</v>
      </c>
      <c r="CTD1297" s="8" t="s">
        <v>479</v>
      </c>
      <c r="CUZ1297" s="8" t="s">
        <v>479</v>
      </c>
    </row>
    <row r="1298" spans="1:1004 1352:1985 2216:3050 3080:3992">
      <c r="A1298" s="8" t="s">
        <v>9932</v>
      </c>
      <c r="B1298" s="10" t="s">
        <v>11362</v>
      </c>
      <c r="C1298" s="8">
        <v>49</v>
      </c>
      <c r="D1298" s="15">
        <v>11.05</v>
      </c>
      <c r="BP1298" s="17" t="s">
        <v>11362</v>
      </c>
      <c r="BBZ1298" s="8" t="s">
        <v>1136</v>
      </c>
      <c r="BDV1298" s="8" t="s">
        <v>1136</v>
      </c>
      <c r="BUY1298" s="8" t="s">
        <v>511</v>
      </c>
      <c r="CKY1298" s="8" t="s">
        <v>2147</v>
      </c>
      <c r="CMU1298" s="8" t="s">
        <v>1726</v>
      </c>
      <c r="CQM1298" s="8" t="s">
        <v>480</v>
      </c>
      <c r="CSI1298" s="8" t="s">
        <v>480</v>
      </c>
      <c r="CUE1298" s="8" t="s">
        <v>480</v>
      </c>
      <c r="CWA1298" s="8" t="s">
        <v>480</v>
      </c>
    </row>
    <row r="1299" spans="1:1004 1352:1985 2216:3050 3080:3992">
      <c r="A1299" s="8" t="s">
        <v>9932</v>
      </c>
      <c r="B1299" s="10" t="s">
        <v>11364</v>
      </c>
      <c r="C1299" s="8">
        <v>179.14</v>
      </c>
      <c r="D1299" s="15">
        <v>10.53</v>
      </c>
      <c r="GP1299" s="8" t="s">
        <v>11364</v>
      </c>
      <c r="BCS1299" s="8" t="s">
        <v>1137</v>
      </c>
      <c r="BDV1299" s="8" t="s">
        <v>1137</v>
      </c>
      <c r="BEO1299" s="8" t="s">
        <v>1137</v>
      </c>
      <c r="BXI1299" s="8" t="s">
        <v>512</v>
      </c>
      <c r="CNP1299" s="8" t="s">
        <v>2148</v>
      </c>
      <c r="CPL1299" s="8" t="s">
        <v>1727</v>
      </c>
      <c r="CTD1299" s="8" t="s">
        <v>481</v>
      </c>
      <c r="CUZ1299" s="8" t="s">
        <v>481</v>
      </c>
      <c r="CWV1299" s="8" t="s">
        <v>481</v>
      </c>
      <c r="CYR1299" s="8" t="s">
        <v>481</v>
      </c>
    </row>
    <row r="1300" spans="1:1004 1352:1985 2216:3050 3080:3992">
      <c r="A1300" s="8" t="s">
        <v>9932</v>
      </c>
      <c r="B1300" s="10" t="s">
        <v>11365</v>
      </c>
      <c r="C1300" s="8">
        <v>218.96</v>
      </c>
      <c r="D1300" s="15">
        <v>3.68</v>
      </c>
      <c r="HW1300" s="8" t="s">
        <v>11365</v>
      </c>
      <c r="AZA1300" s="8" t="s">
        <v>500</v>
      </c>
      <c r="BAW1300" s="8" t="s">
        <v>1138</v>
      </c>
      <c r="BAY1300" s="8" t="s">
        <v>500</v>
      </c>
      <c r="BEO1300" s="8" t="s">
        <v>500</v>
      </c>
      <c r="BGJ1300" s="8" t="s">
        <v>1138</v>
      </c>
      <c r="BIF1300" s="8" t="s">
        <v>1138</v>
      </c>
      <c r="CGF1300" s="8" t="s">
        <v>513</v>
      </c>
      <c r="CVD1300" s="8" t="s">
        <v>2149</v>
      </c>
      <c r="CWZ1300" s="8" t="s">
        <v>1728</v>
      </c>
      <c r="DAR1300" s="8" t="s">
        <v>482</v>
      </c>
      <c r="DCN1300" s="8" t="s">
        <v>482</v>
      </c>
      <c r="DEJ1300" s="8" t="s">
        <v>482</v>
      </c>
      <c r="DGF1300" s="8" t="s">
        <v>482</v>
      </c>
    </row>
    <row r="1301" spans="1:1004 1352:1985 2216:3050 3080:3992">
      <c r="A1301" s="8" t="s">
        <v>9932</v>
      </c>
      <c r="B1301" s="10" t="s">
        <v>11366</v>
      </c>
      <c r="C1301" s="8">
        <v>249.96</v>
      </c>
      <c r="D1301" s="15">
        <v>12.16</v>
      </c>
      <c r="JJ1301" s="8" t="s">
        <v>11366</v>
      </c>
      <c r="BCE1301" s="8" t="s">
        <v>501</v>
      </c>
      <c r="BCR1301" s="8" t="s">
        <v>501</v>
      </c>
      <c r="BIF1301" s="8" t="s">
        <v>501</v>
      </c>
      <c r="BLK1301" s="8" t="s">
        <v>1139</v>
      </c>
      <c r="BNG1301" s="8" t="s">
        <v>1139</v>
      </c>
      <c r="CIB1301" s="8" t="s">
        <v>514</v>
      </c>
      <c r="CYR1301" s="8" t="s">
        <v>2150</v>
      </c>
      <c r="DAN1301" s="8" t="s">
        <v>1729</v>
      </c>
      <c r="DEF1301" s="8" t="s">
        <v>483</v>
      </c>
      <c r="DGB1301" s="8" t="s">
        <v>483</v>
      </c>
      <c r="DHX1301" s="8" t="s">
        <v>483</v>
      </c>
      <c r="DJT1301" s="8" t="s">
        <v>483</v>
      </c>
    </row>
    <row r="1302" spans="1:1004 1352:1985 2216:3050 3080:3992">
      <c r="A1302" s="8" t="s">
        <v>9932</v>
      </c>
      <c r="B1302" s="10" t="s">
        <v>14209</v>
      </c>
      <c r="C1302" s="8">
        <v>290</v>
      </c>
      <c r="D1302" s="15">
        <v>3.04</v>
      </c>
      <c r="KO1302" s="8" t="s">
        <v>14209</v>
      </c>
      <c r="BHS1302" s="8" t="s">
        <v>502</v>
      </c>
      <c r="BMM1302" s="8" t="s">
        <v>1140</v>
      </c>
      <c r="BNG1302" s="8" t="s">
        <v>1140</v>
      </c>
      <c r="BNV1302" s="8" t="s">
        <v>502</v>
      </c>
      <c r="BOI1302" s="8" t="s">
        <v>1140</v>
      </c>
      <c r="CMY1302" s="8" t="s">
        <v>682</v>
      </c>
      <c r="DAN1302" s="8" t="s">
        <v>2151</v>
      </c>
      <c r="DCJ1302" s="8" t="s">
        <v>1730</v>
      </c>
      <c r="DGB1302" s="8" t="s">
        <v>484</v>
      </c>
      <c r="DHX1302" s="8" t="s">
        <v>484</v>
      </c>
      <c r="DJT1302" s="8" t="s">
        <v>484</v>
      </c>
      <c r="DLP1302" s="8" t="s">
        <v>484</v>
      </c>
    </row>
    <row r="1303" spans="1:1004 1352:1985 2216:3050 3080:3992">
      <c r="A1303" s="8" t="s">
        <v>9932</v>
      </c>
      <c r="B1303" s="10" t="s">
        <v>11367</v>
      </c>
      <c r="C1303" s="8">
        <v>385</v>
      </c>
      <c r="D1303" s="15">
        <v>22.11</v>
      </c>
      <c r="OY1303" s="8" t="s">
        <v>11367</v>
      </c>
      <c r="BIU1303" s="8" t="s">
        <v>503</v>
      </c>
      <c r="BML1303" s="8" t="s">
        <v>503</v>
      </c>
      <c r="BMM1303" s="8" t="s">
        <v>1141</v>
      </c>
      <c r="BNT1303" s="8" t="s">
        <v>1141</v>
      </c>
      <c r="BOI1303" s="8" t="s">
        <v>503</v>
      </c>
      <c r="BPP1303" s="8" t="s">
        <v>1141</v>
      </c>
      <c r="CRU1303" s="8" t="s">
        <v>515</v>
      </c>
      <c r="DCJ1303" s="8" t="s">
        <v>2152</v>
      </c>
      <c r="DEF1303" s="8" t="s">
        <v>1731</v>
      </c>
      <c r="DHX1303" s="8" t="s">
        <v>485</v>
      </c>
      <c r="DJT1303" s="8" t="s">
        <v>485</v>
      </c>
      <c r="DLP1303" s="8" t="s">
        <v>485</v>
      </c>
      <c r="DNL1303" s="8" t="s">
        <v>485</v>
      </c>
    </row>
    <row r="1304" spans="1:1004 1352:1985 2216:3050 3080:3992">
      <c r="A1304" s="8" t="s">
        <v>9932</v>
      </c>
      <c r="B1304" s="10" t="s">
        <v>14210</v>
      </c>
      <c r="C1304" s="8">
        <v>385</v>
      </c>
      <c r="D1304" s="15">
        <v>11.05</v>
      </c>
      <c r="ON1304" s="17" t="s">
        <v>14210</v>
      </c>
      <c r="BKB1304" s="8" t="s">
        <v>504</v>
      </c>
      <c r="BMZ1304" s="8" t="s">
        <v>504</v>
      </c>
      <c r="BNT1304" s="8" t="s">
        <v>1142</v>
      </c>
      <c r="BPP1304" s="8" t="s">
        <v>504</v>
      </c>
      <c r="BPY1304" s="8" t="s">
        <v>1142</v>
      </c>
      <c r="BRU1304" s="8" t="s">
        <v>1142</v>
      </c>
      <c r="CUS1304" s="8" t="s">
        <v>516</v>
      </c>
      <c r="DEX1304" s="8" t="s">
        <v>2153</v>
      </c>
      <c r="DGT1304" s="8" t="s">
        <v>1732</v>
      </c>
      <c r="DKL1304" s="8" t="s">
        <v>486</v>
      </c>
      <c r="DMH1304" s="8" t="s">
        <v>486</v>
      </c>
      <c r="DOD1304" s="8" t="s">
        <v>486</v>
      </c>
      <c r="DPZ1304" s="8" t="s">
        <v>486</v>
      </c>
    </row>
    <row r="1305" spans="1:1004 1352:1985 2216:3050 3080:3992">
      <c r="A1305" s="8" t="s">
        <v>9932</v>
      </c>
      <c r="B1305" s="10" t="s">
        <v>14211</v>
      </c>
      <c r="C1305" s="8">
        <v>429.35</v>
      </c>
      <c r="D1305" s="15">
        <v>2.65</v>
      </c>
      <c r="PX1305" s="8" t="s">
        <v>14211</v>
      </c>
      <c r="BMG1305" s="8" t="s">
        <v>496</v>
      </c>
      <c r="BPP1305" s="8" t="s">
        <v>1143</v>
      </c>
      <c r="BRL1305" s="8" t="s">
        <v>1143</v>
      </c>
      <c r="BRU1305" s="8" t="s">
        <v>1143</v>
      </c>
      <c r="BSH1305" s="8" t="s">
        <v>496</v>
      </c>
      <c r="CVA1305" s="8" t="s">
        <v>517</v>
      </c>
      <c r="DGG1305" s="8" t="s">
        <v>2154</v>
      </c>
      <c r="DIC1305" s="8" t="s">
        <v>1733</v>
      </c>
      <c r="DLU1305" s="8" t="s">
        <v>487</v>
      </c>
      <c r="DNQ1305" s="8" t="s">
        <v>487</v>
      </c>
      <c r="DPM1305" s="8" t="s">
        <v>487</v>
      </c>
      <c r="DRI1305" s="8" t="s">
        <v>487</v>
      </c>
    </row>
    <row r="1306" spans="1:1004 1352:1985 2216:3050 3080:3992">
      <c r="A1306" s="8" t="s">
        <v>9932</v>
      </c>
      <c r="B1306" s="10" t="s">
        <v>14212</v>
      </c>
      <c r="C1306" s="8">
        <v>646.39</v>
      </c>
      <c r="D1306" s="15">
        <v>22.11</v>
      </c>
      <c r="YZ1306" s="19" t="s">
        <v>14212</v>
      </c>
      <c r="BLX1306" s="8" t="s">
        <v>505</v>
      </c>
      <c r="BOW1306" s="8" t="s">
        <v>505</v>
      </c>
      <c r="BPP1306" s="8" t="s">
        <v>1144</v>
      </c>
      <c r="BQK1306" s="8" t="s">
        <v>1144</v>
      </c>
      <c r="BRL1306" s="8" t="s">
        <v>505</v>
      </c>
      <c r="BSG1306" s="8" t="s">
        <v>1144</v>
      </c>
      <c r="DBE1306" s="8" t="s">
        <v>518</v>
      </c>
      <c r="DIJ1306" s="8" t="s">
        <v>2155</v>
      </c>
      <c r="DKF1306" s="8" t="s">
        <v>1734</v>
      </c>
      <c r="DNX1306" s="8" t="s">
        <v>488</v>
      </c>
      <c r="DPT1306" s="8" t="s">
        <v>488</v>
      </c>
      <c r="DRP1306" s="8" t="s">
        <v>488</v>
      </c>
      <c r="DTL1306" s="8" t="s">
        <v>488</v>
      </c>
    </row>
    <row r="1307" spans="1:1004 1352:1985 2216:3050 3080:3992">
      <c r="A1307" s="8" t="s">
        <v>9932</v>
      </c>
      <c r="B1307" s="10" t="s">
        <v>11368</v>
      </c>
      <c r="C1307" s="8">
        <v>660.05</v>
      </c>
      <c r="D1307" s="15">
        <v>10.53</v>
      </c>
      <c r="ZC1307" s="8" t="s">
        <v>11368</v>
      </c>
      <c r="BMS1307" s="8" t="s">
        <v>506</v>
      </c>
      <c r="BRR1307" s="8" t="s">
        <v>1145</v>
      </c>
      <c r="BSG1307" s="8" t="s">
        <v>1145</v>
      </c>
      <c r="BSJ1307" s="8" t="s">
        <v>506</v>
      </c>
      <c r="BTN1307" s="8" t="s">
        <v>1145</v>
      </c>
      <c r="DCJ1307" s="8" t="s">
        <v>519</v>
      </c>
      <c r="DJT1307" s="8" t="s">
        <v>2156</v>
      </c>
      <c r="DLP1307" s="8" t="s">
        <v>1735</v>
      </c>
      <c r="DPH1307" s="8" t="s">
        <v>489</v>
      </c>
      <c r="DRD1307" s="8" t="s">
        <v>489</v>
      </c>
      <c r="DSZ1307" s="8" t="s">
        <v>489</v>
      </c>
      <c r="DUV1307" s="8" t="s">
        <v>489</v>
      </c>
    </row>
    <row r="1308" spans="1:1004 1352:1985 2216:3050 3080:3992">
      <c r="A1308" s="8" t="s">
        <v>9932</v>
      </c>
      <c r="B1308" s="10" t="s">
        <v>14213</v>
      </c>
      <c r="C1308" s="8">
        <v>767.3</v>
      </c>
      <c r="D1308" s="15">
        <v>5.53</v>
      </c>
      <c r="ADA1308" s="8" t="s">
        <v>14213</v>
      </c>
      <c r="BNZ1308" s="8" t="s">
        <v>507</v>
      </c>
      <c r="BRL1308" s="8" t="s">
        <v>1146</v>
      </c>
      <c r="BTH1308" s="8" t="s">
        <v>1146</v>
      </c>
      <c r="BTN1308" s="8" t="s">
        <v>1146</v>
      </c>
      <c r="BUJ1308" s="8" t="s">
        <v>507</v>
      </c>
      <c r="DJU1308" s="8" t="s">
        <v>520</v>
      </c>
      <c r="DNL1308" s="8" t="s">
        <v>2157</v>
      </c>
      <c r="DPH1308" s="8" t="s">
        <v>1736</v>
      </c>
      <c r="DSZ1308" s="8" t="s">
        <v>490</v>
      </c>
      <c r="DUV1308" s="8" t="s">
        <v>490</v>
      </c>
      <c r="DWR1308" s="8" t="s">
        <v>490</v>
      </c>
      <c r="DYN1308" s="8" t="s">
        <v>490</v>
      </c>
    </row>
    <row r="1309" spans="1:1004 1352:1985 2216:3050 3080:3992">
      <c r="A1309" s="8" t="s">
        <v>9932</v>
      </c>
      <c r="B1309" s="10" t="s">
        <v>11369</v>
      </c>
      <c r="C1309" s="8">
        <v>778.14</v>
      </c>
      <c r="D1309" s="15">
        <v>21.05</v>
      </c>
      <c r="AEA1309" s="8" t="s">
        <v>11369</v>
      </c>
      <c r="AYZ1309" s="8" t="s">
        <v>10400</v>
      </c>
      <c r="BNT1309" s="8" t="s">
        <v>508</v>
      </c>
      <c r="BQB1309" s="8" t="s">
        <v>508</v>
      </c>
      <c r="BRL1309" s="8" t="s">
        <v>1147</v>
      </c>
      <c r="BSA1309" s="8" t="s">
        <v>1147</v>
      </c>
      <c r="BTH1309" s="8" t="s">
        <v>508</v>
      </c>
      <c r="BTW1309" s="8" t="s">
        <v>1147</v>
      </c>
      <c r="DNL1309" s="8" t="s">
        <v>521</v>
      </c>
      <c r="DWT1309" s="8" t="s">
        <v>2158</v>
      </c>
      <c r="DYP1309" s="8" t="s">
        <v>1737</v>
      </c>
      <c r="ECH1309" s="8" t="s">
        <v>491</v>
      </c>
      <c r="EED1309" s="8" t="s">
        <v>491</v>
      </c>
      <c r="EFZ1309" s="8" t="s">
        <v>491</v>
      </c>
      <c r="EHV1309" s="8" t="s">
        <v>491</v>
      </c>
    </row>
    <row r="1310" spans="1:1004 1352:1985 2216:3050 3080:3992">
      <c r="A1310" s="8" t="s">
        <v>9932</v>
      </c>
      <c r="B1310" s="10" t="s">
        <v>14214</v>
      </c>
      <c r="C1310" s="8">
        <v>852.95</v>
      </c>
      <c r="D1310" s="15">
        <v>10.83</v>
      </c>
      <c r="AGN1310" s="8" t="s">
        <v>14214</v>
      </c>
      <c r="BBQ1310" s="8" t="s">
        <v>11374</v>
      </c>
      <c r="BDM1310" s="8" t="s">
        <v>10401</v>
      </c>
      <c r="BOI1310" s="8" t="s">
        <v>509</v>
      </c>
      <c r="BSQ1310" s="8" t="s">
        <v>1148</v>
      </c>
      <c r="BTW1310" s="8" t="s">
        <v>1148</v>
      </c>
      <c r="BUM1310" s="8" t="s">
        <v>1148</v>
      </c>
      <c r="BUP1310" s="8" t="s">
        <v>509</v>
      </c>
      <c r="DPM1310" s="8" t="s">
        <v>522</v>
      </c>
      <c r="EHP1310" s="8" t="s">
        <v>2159</v>
      </c>
      <c r="EJL1310" s="8" t="s">
        <v>1738</v>
      </c>
      <c r="END1310" s="8" t="s">
        <v>492</v>
      </c>
      <c r="EOZ1310" s="8" t="s">
        <v>492</v>
      </c>
      <c r="EQV1310" s="8" t="s">
        <v>492</v>
      </c>
      <c r="ESR1310" s="8" t="s">
        <v>492</v>
      </c>
    </row>
    <row r="1311" spans="1:1004 1352:1985 2216:3050 3080:3992">
      <c r="A1311" s="8" t="s">
        <v>9932</v>
      </c>
      <c r="B1311" s="10" t="s">
        <v>14215</v>
      </c>
      <c r="C1311" s="8">
        <v>948.95</v>
      </c>
      <c r="D1311" s="15">
        <v>11.05</v>
      </c>
      <c r="AKF1311" s="8" t="s">
        <v>14215</v>
      </c>
      <c r="BEG1311" s="8" t="s">
        <v>11375</v>
      </c>
      <c r="BGC1311" s="8" t="s">
        <v>10402</v>
      </c>
      <c r="BOY1311" s="8" t="s">
        <v>510</v>
      </c>
      <c r="BSX1311" s="8" t="s">
        <v>1149</v>
      </c>
      <c r="BUM1311" s="8" t="s">
        <v>1149</v>
      </c>
      <c r="BUQ1311" s="8" t="s">
        <v>510</v>
      </c>
      <c r="BUT1311" s="8" t="s">
        <v>1149</v>
      </c>
      <c r="EAK1311" s="8" t="s">
        <v>523</v>
      </c>
      <c r="EIG1311" s="8" t="s">
        <v>2160</v>
      </c>
      <c r="EKC1311" s="8" t="s">
        <v>1739</v>
      </c>
      <c r="ENU1311" s="8" t="s">
        <v>493</v>
      </c>
      <c r="EPQ1311" s="8" t="s">
        <v>493</v>
      </c>
      <c r="ERM1311" s="8" t="s">
        <v>493</v>
      </c>
      <c r="ETI1311" s="8" t="s">
        <v>493</v>
      </c>
    </row>
    <row r="1312" spans="1:1004 1352:1985 2216:3050 3080:3992">
      <c r="A1312" s="8" t="s">
        <v>9932</v>
      </c>
      <c r="B1312" s="10" t="s">
        <v>11370</v>
      </c>
      <c r="C1312" s="8">
        <v>974.37</v>
      </c>
      <c r="D1312" s="15">
        <v>22.11</v>
      </c>
      <c r="ALP1312" s="8" t="s">
        <v>11370</v>
      </c>
      <c r="BEM1312" s="8" t="s">
        <v>11376</v>
      </c>
      <c r="BGI1312" s="8" t="s">
        <v>10403</v>
      </c>
      <c r="BPF1312" s="8" t="s">
        <v>511</v>
      </c>
      <c r="BTC1312" s="8" t="s">
        <v>1150</v>
      </c>
      <c r="BUT1312" s="8" t="s">
        <v>1150</v>
      </c>
      <c r="BUY1312" s="8" t="s">
        <v>1150</v>
      </c>
      <c r="BVB1312" s="8" t="s">
        <v>511</v>
      </c>
      <c r="EBR1312" s="8" t="s">
        <v>524</v>
      </c>
      <c r="ELL1312" s="8" t="s">
        <v>2161</v>
      </c>
      <c r="ENH1312" s="8" t="s">
        <v>1740</v>
      </c>
      <c r="EQZ1312" s="8" t="s">
        <v>494</v>
      </c>
      <c r="ESV1312" s="8" t="s">
        <v>494</v>
      </c>
      <c r="EUR1312" s="8" t="s">
        <v>494</v>
      </c>
      <c r="EWN1312" s="8" t="s">
        <v>494</v>
      </c>
    </row>
    <row r="1313" spans="1:1016 1108:1985 2072:3066 3080:4088 4136:4376 7743:7785">
      <c r="A1313" s="8" t="s">
        <v>9932</v>
      </c>
      <c r="B1313" s="10" t="s">
        <v>11371</v>
      </c>
      <c r="C1313" s="8">
        <v>997.47</v>
      </c>
      <c r="D1313" s="15">
        <v>10.53</v>
      </c>
      <c r="AMB1313" s="8" t="s">
        <v>11371</v>
      </c>
      <c r="BIF1313" s="8" t="s">
        <v>11377</v>
      </c>
      <c r="BKB1313" s="8" t="s">
        <v>10404</v>
      </c>
      <c r="BPK1313" s="8" t="s">
        <v>512</v>
      </c>
      <c r="BUY1313" s="8" t="s">
        <v>1151</v>
      </c>
      <c r="BVB1313" s="8" t="s">
        <v>512</v>
      </c>
      <c r="BVM1313" s="8" t="s">
        <v>1151</v>
      </c>
      <c r="BXI1313" s="8" t="s">
        <v>1151</v>
      </c>
      <c r="ENH1313" s="8" t="s">
        <v>2162</v>
      </c>
      <c r="EPD1313" s="8" t="s">
        <v>1741</v>
      </c>
      <c r="ERA1313" s="8" t="s">
        <v>525</v>
      </c>
      <c r="ESV1313" s="8" t="s">
        <v>495</v>
      </c>
      <c r="EUR1313" s="8" t="s">
        <v>495</v>
      </c>
      <c r="EWN1313" s="8" t="s">
        <v>495</v>
      </c>
      <c r="EYJ1313" s="8" t="s">
        <v>495</v>
      </c>
    </row>
    <row r="1314" spans="1:1016 1108:1985 2072:3066 3080:4088 4136:4376 7743:7785">
      <c r="A1314" s="8" t="s">
        <v>9932</v>
      </c>
      <c r="B1314" s="10" t="s">
        <v>11372</v>
      </c>
      <c r="C1314" s="8">
        <v>1096.53</v>
      </c>
      <c r="D1314" s="15">
        <v>3.32</v>
      </c>
      <c r="APP1314" s="19" t="s">
        <v>11372</v>
      </c>
      <c r="BJH1314" s="8" t="s">
        <v>11378</v>
      </c>
      <c r="BLD1314" s="8" t="s">
        <v>10405</v>
      </c>
      <c r="BMG1314" s="8" t="s">
        <v>1152</v>
      </c>
      <c r="BRU1314" s="8" t="s">
        <v>513</v>
      </c>
      <c r="BXI1314" s="8" t="s">
        <v>513</v>
      </c>
      <c r="CEJ1314" s="8" t="s">
        <v>1152</v>
      </c>
      <c r="CGF1314" s="8" t="s">
        <v>1152</v>
      </c>
      <c r="EUR1314" s="8" t="s">
        <v>2163</v>
      </c>
      <c r="EWN1314" s="8" t="s">
        <v>1742</v>
      </c>
      <c r="FAF1314" s="8" t="s">
        <v>1342</v>
      </c>
      <c r="FCB1314" s="8" t="s">
        <v>1342</v>
      </c>
      <c r="FDX1314" s="8" t="s">
        <v>1342</v>
      </c>
      <c r="FFT1314" s="8" t="s">
        <v>1342</v>
      </c>
    </row>
    <row r="1315" spans="1:1016 1108:1985 2072:3066 3080:4088 4136:4376 7743:7785">
      <c r="A1315" s="8" t="s">
        <v>9932</v>
      </c>
      <c r="B1315" s="10" t="s">
        <v>14216</v>
      </c>
      <c r="C1315" s="8">
        <v>1100.8399999999999</v>
      </c>
      <c r="D1315" s="15">
        <v>3.16</v>
      </c>
      <c r="APT1315" s="8" t="s">
        <v>14216</v>
      </c>
      <c r="BRL1315" s="8" t="s">
        <v>11379</v>
      </c>
      <c r="BTH1315" s="8" t="s">
        <v>10406</v>
      </c>
      <c r="CAR1315" s="8" t="s">
        <v>514</v>
      </c>
      <c r="CEJ1315" s="8" t="s">
        <v>1153</v>
      </c>
      <c r="CEN1315" s="8" t="s">
        <v>514</v>
      </c>
      <c r="CGF1315" s="8" t="s">
        <v>1153</v>
      </c>
      <c r="CIB1315" s="8" t="s">
        <v>1153</v>
      </c>
      <c r="EWN1315" s="8" t="s">
        <v>2164</v>
      </c>
      <c r="EYJ1315" s="8" t="s">
        <v>1743</v>
      </c>
      <c r="FCB1315" s="8" t="s">
        <v>1343</v>
      </c>
      <c r="FDX1315" s="8" t="s">
        <v>1343</v>
      </c>
      <c r="FFT1315" s="8" t="s">
        <v>1343</v>
      </c>
      <c r="FHP1315" s="8" t="s">
        <v>1343</v>
      </c>
    </row>
    <row r="1316" spans="1:1016 1108:1985 2072:3066 3080:4088 4136:4376 7743:7785">
      <c r="A1316" s="8" t="s">
        <v>9932</v>
      </c>
      <c r="B1316" s="10" t="s">
        <v>11373</v>
      </c>
      <c r="C1316" s="8">
        <v>1130.95</v>
      </c>
      <c r="D1316" s="15">
        <v>21.05</v>
      </c>
      <c r="ARP1316" s="8" t="s">
        <v>11373</v>
      </c>
      <c r="BTO1316" s="8" t="s">
        <v>11380</v>
      </c>
      <c r="BVK1316" s="8" t="s">
        <v>10407</v>
      </c>
      <c r="CBI1316" s="8" t="s">
        <v>682</v>
      </c>
      <c r="CCN1316" s="8" t="s">
        <v>682</v>
      </c>
      <c r="CIB1316" s="8" t="s">
        <v>682</v>
      </c>
      <c r="CLC1316" s="8" t="s">
        <v>1154</v>
      </c>
      <c r="CMY1316" s="8" t="s">
        <v>1154</v>
      </c>
      <c r="EWN1316" s="8" t="s">
        <v>2165</v>
      </c>
      <c r="EYJ1316" s="8" t="s">
        <v>1744</v>
      </c>
      <c r="FCB1316" s="8" t="s">
        <v>1344</v>
      </c>
      <c r="FDX1316" s="8" t="s">
        <v>1344</v>
      </c>
      <c r="FFT1316" s="8" t="s">
        <v>1344</v>
      </c>
      <c r="FHP1316" s="8" t="s">
        <v>1344</v>
      </c>
    </row>
    <row r="1317" spans="1:1016 1108:1985 2072:3066 3080:4088 4136:4376 7743:7785">
      <c r="A1317" s="8" t="s">
        <v>9932</v>
      </c>
      <c r="B1317" s="10" t="s">
        <v>14217</v>
      </c>
      <c r="C1317" s="8">
        <v>1158.9000000000001</v>
      </c>
      <c r="D1317" s="15">
        <v>110.53</v>
      </c>
      <c r="AWC1317" s="8" t="s">
        <v>14217</v>
      </c>
      <c r="BVD1317" s="8" t="s">
        <v>11381</v>
      </c>
      <c r="BWZ1317" s="8" t="s">
        <v>10408</v>
      </c>
      <c r="CHB1317" s="8" t="s">
        <v>515</v>
      </c>
      <c r="CHK1317" s="8" t="s">
        <v>515</v>
      </c>
      <c r="CMY1317" s="8" t="s">
        <v>515</v>
      </c>
      <c r="CPY1317" s="8" t="s">
        <v>1155</v>
      </c>
      <c r="CRU1317" s="8" t="s">
        <v>1155</v>
      </c>
    </row>
    <row r="1318" spans="1:1016 1108:1985 2072:3066 3080:4088 4136:4376 7743:7785">
      <c r="A1318" s="8" t="s">
        <v>9932</v>
      </c>
      <c r="B1318" s="10" t="s">
        <v>14218</v>
      </c>
      <c r="C1318" s="8">
        <v>1270.42</v>
      </c>
      <c r="D1318" s="15">
        <v>55.26</v>
      </c>
      <c r="AYH1318" s="8" t="s">
        <v>14218</v>
      </c>
      <c r="CGG1318" s="8" t="s">
        <v>11382</v>
      </c>
      <c r="CIC1318" s="8" t="s">
        <v>10409</v>
      </c>
      <c r="CMG1318" s="8" t="s">
        <v>516</v>
      </c>
      <c r="CPY1318" s="8" t="s">
        <v>1156</v>
      </c>
      <c r="CRA1318" s="8" t="s">
        <v>516</v>
      </c>
      <c r="CRU1318" s="8" t="s">
        <v>516</v>
      </c>
      <c r="CSW1318" s="8" t="s">
        <v>1156</v>
      </c>
      <c r="CUS1318" s="8" t="s">
        <v>1156</v>
      </c>
    </row>
    <row r="1319" spans="1:1016 1108:1985 2072:3066 3080:4088 4136:4376 7743:7785">
      <c r="A1319" s="8" t="s">
        <v>9932</v>
      </c>
      <c r="B1319" s="10" t="s">
        <v>11375</v>
      </c>
      <c r="C1319" s="8">
        <v>1326.69</v>
      </c>
      <c r="D1319" s="15">
        <v>114.32</v>
      </c>
      <c r="BCS1319" s="8" t="s">
        <v>11375</v>
      </c>
      <c r="CPE1319" s="8" t="s">
        <v>517</v>
      </c>
      <c r="CRD1319" s="8" t="s">
        <v>11383</v>
      </c>
      <c r="CSZ1319" s="8" t="s">
        <v>10410</v>
      </c>
      <c r="CTE1319" s="8" t="s">
        <v>1157</v>
      </c>
      <c r="CUS1319" s="8" t="s">
        <v>1157</v>
      </c>
      <c r="CVA1319" s="8" t="s">
        <v>1157</v>
      </c>
    </row>
    <row r="1320" spans="1:1016 1108:1985 2072:3066 3080:4088 4136:4376 7743:7785">
      <c r="A1320" s="8" t="s">
        <v>9932</v>
      </c>
      <c r="B1320" s="10" t="s">
        <v>11376</v>
      </c>
      <c r="C1320" s="8">
        <v>1442</v>
      </c>
      <c r="D1320" s="15">
        <v>5.26</v>
      </c>
      <c r="BCY1320" s="8" t="s">
        <v>11376</v>
      </c>
      <c r="CMH1320" s="8" t="s">
        <v>518</v>
      </c>
      <c r="CNQ1320" s="8" t="s">
        <v>1158</v>
      </c>
      <c r="CPM1320" s="8" t="s">
        <v>518</v>
      </c>
      <c r="CRH1320" s="8" t="s">
        <v>11384</v>
      </c>
      <c r="CTD1320" s="8" t="s">
        <v>10411</v>
      </c>
      <c r="CVA1320" s="8" t="s">
        <v>518</v>
      </c>
      <c r="CZI1320" s="8" t="s">
        <v>1158</v>
      </c>
      <c r="DBE1320" s="8" t="s">
        <v>1158</v>
      </c>
    </row>
    <row r="1321" spans="1:1016 1108:1985 2072:3066 3080:4088 4136:4376 7743:7785">
      <c r="A1321" s="8" t="s">
        <v>9932</v>
      </c>
      <c r="B1321" s="10" t="s">
        <v>14219</v>
      </c>
      <c r="C1321" s="8">
        <v>1448.26</v>
      </c>
      <c r="D1321" s="15">
        <v>2.11</v>
      </c>
      <c r="AZI1321" s="8" t="s">
        <v>1159</v>
      </c>
      <c r="BDB1321" s="8" t="s">
        <v>14219</v>
      </c>
      <c r="CVQ1321" s="8" t="s">
        <v>519</v>
      </c>
      <c r="CZT1321" s="8" t="s">
        <v>11385</v>
      </c>
      <c r="DAN1321" s="8" t="s">
        <v>1159</v>
      </c>
      <c r="DBE1321" s="8" t="s">
        <v>1159</v>
      </c>
      <c r="DBP1321" s="8" t="s">
        <v>10412</v>
      </c>
      <c r="DCJ1321" s="8" t="s">
        <v>1159</v>
      </c>
      <c r="DCM1321" s="8" t="s">
        <v>519</v>
      </c>
    </row>
    <row r="1322" spans="1:1016 1108:1985 2072:3066 3080:4088 4136:4376 7743:7785">
      <c r="A1322" s="8" t="s">
        <v>9932</v>
      </c>
      <c r="B1322" s="10" t="s">
        <v>11378</v>
      </c>
      <c r="C1322" s="8">
        <v>1457.42</v>
      </c>
      <c r="D1322" s="15">
        <v>11.05</v>
      </c>
      <c r="AYZ1322" s="8" t="s">
        <v>520</v>
      </c>
      <c r="AZX1322" s="8" t="s">
        <v>1160</v>
      </c>
      <c r="BDT1322" s="8" t="s">
        <v>11378</v>
      </c>
      <c r="CUZ1322" s="8" t="s">
        <v>1160</v>
      </c>
      <c r="CVA1322" s="8" t="s">
        <v>520</v>
      </c>
      <c r="CWV1322" s="8" t="s">
        <v>520</v>
      </c>
      <c r="DCJ1322" s="8" t="s">
        <v>520</v>
      </c>
      <c r="DHY1322" s="8" t="s">
        <v>1160</v>
      </c>
      <c r="DJU1322" s="8" t="s">
        <v>1160</v>
      </c>
      <c r="ECF1322" s="8" t="s">
        <v>11386</v>
      </c>
      <c r="EEB1322" s="8" t="s">
        <v>10413</v>
      </c>
    </row>
    <row r="1323" spans="1:1016 1108:1985 2072:3066 3080:4088 4136:4376 7743:7785">
      <c r="A1323" s="8" t="s">
        <v>9932</v>
      </c>
      <c r="B1323" s="10" t="s">
        <v>11379</v>
      </c>
      <c r="C1323" s="8">
        <v>1469.47</v>
      </c>
      <c r="D1323" s="15">
        <v>210.53</v>
      </c>
      <c r="BBT1323" s="8" t="s">
        <v>521</v>
      </c>
      <c r="BCR1323" s="8" t="s">
        <v>521</v>
      </c>
      <c r="BDP1323" s="8" t="s">
        <v>1161</v>
      </c>
      <c r="BLX1323" s="8" t="s">
        <v>11379</v>
      </c>
      <c r="DEG1323" s="8" t="s">
        <v>521</v>
      </c>
      <c r="DGB1323" s="8" t="s">
        <v>521</v>
      </c>
      <c r="DGC1323" s="8" t="s">
        <v>1161</v>
      </c>
      <c r="DJU1323" s="8" t="s">
        <v>521</v>
      </c>
      <c r="DLP1323" s="8" t="s">
        <v>1161</v>
      </c>
      <c r="DNL1323" s="8" t="s">
        <v>1161</v>
      </c>
      <c r="FJL1323" s="8" t="s">
        <v>11387</v>
      </c>
      <c r="FLH1323" s="8" t="s">
        <v>10414</v>
      </c>
    </row>
    <row r="1324" spans="1:1016 1108:1985 2072:3066 3080:4088 4136:4376 7743:7785">
      <c r="A1324" s="8" t="s">
        <v>9932</v>
      </c>
      <c r="B1324" s="10" t="s">
        <v>11380</v>
      </c>
      <c r="C1324" s="8">
        <v>1665.72</v>
      </c>
      <c r="D1324" s="15">
        <v>69.58</v>
      </c>
      <c r="BDP1324" s="8" t="s">
        <v>522</v>
      </c>
      <c r="BEN1324" s="8" t="s">
        <v>522</v>
      </c>
      <c r="BFL1324" s="8" t="s">
        <v>1162</v>
      </c>
      <c r="BOA1324" s="8" t="s">
        <v>11380</v>
      </c>
      <c r="DHX1324" s="8" t="s">
        <v>522</v>
      </c>
      <c r="DKV1324" s="8" t="s">
        <v>522</v>
      </c>
      <c r="DLP1324" s="8" t="s">
        <v>1162</v>
      </c>
      <c r="DNL1324" s="8" t="s">
        <v>522</v>
      </c>
      <c r="DNQ1324" s="8" t="s">
        <v>1162</v>
      </c>
      <c r="DPM1324" s="8" t="s">
        <v>1162</v>
      </c>
    </row>
    <row r="1325" spans="1:1016 1108:1985 2072:3066 3080:4088 4136:4376 7743:7785">
      <c r="A1325" s="8" t="s">
        <v>9932</v>
      </c>
      <c r="B1325" s="10" t="s">
        <v>14220</v>
      </c>
      <c r="C1325" s="8">
        <v>1765.47</v>
      </c>
      <c r="D1325" s="15">
        <v>10.53</v>
      </c>
      <c r="BEP1325" s="8" t="s">
        <v>523</v>
      </c>
      <c r="BFN1325" s="8" t="s">
        <v>523</v>
      </c>
      <c r="BGL1325" s="8" t="s">
        <v>1163</v>
      </c>
      <c r="BPP1325" s="8" t="s">
        <v>14220</v>
      </c>
      <c r="DEK1325" s="8" t="s">
        <v>1163</v>
      </c>
      <c r="DFF1325" s="8" t="s">
        <v>523</v>
      </c>
      <c r="DJY1325" s="8" t="s">
        <v>523</v>
      </c>
      <c r="DPM1325" s="8" t="s">
        <v>523</v>
      </c>
      <c r="DYO1325" s="8" t="s">
        <v>1163</v>
      </c>
      <c r="EAK1325" s="8" t="s">
        <v>1163</v>
      </c>
    </row>
    <row r="1326" spans="1:1016 1108:1985 2072:3066 3080:4088 4136:4376 7743:7785">
      <c r="A1326" s="8" t="s">
        <v>9932</v>
      </c>
      <c r="B1326" s="10" t="s">
        <v>14221</v>
      </c>
      <c r="C1326" s="8">
        <v>1790.84</v>
      </c>
      <c r="D1326" s="15">
        <v>33.159999999999997</v>
      </c>
      <c r="BKB1326" s="8" t="s">
        <v>524</v>
      </c>
      <c r="BKZ1326" s="8" t="s">
        <v>524</v>
      </c>
      <c r="BLX1326" s="8" t="s">
        <v>1164</v>
      </c>
      <c r="BRL1326" s="8" t="s">
        <v>14221</v>
      </c>
      <c r="DUW1326" s="8" t="s">
        <v>524</v>
      </c>
      <c r="DXA1326" s="8" t="s">
        <v>524</v>
      </c>
      <c r="DYO1326" s="8" t="s">
        <v>1164</v>
      </c>
      <c r="DZV1326" s="8" t="s">
        <v>1164</v>
      </c>
      <c r="EAK1326" s="8" t="s">
        <v>524</v>
      </c>
      <c r="EBR1326" s="8" t="s">
        <v>1164</v>
      </c>
    </row>
    <row r="1327" spans="1:1016 1108:1985 2072:3066 3080:4088 4136:4376 7743:7785">
      <c r="A1327" s="8" t="s">
        <v>9932</v>
      </c>
      <c r="B1327" s="10" t="s">
        <v>11382</v>
      </c>
      <c r="C1327" s="8">
        <v>1961.74</v>
      </c>
      <c r="D1327" s="15">
        <v>103.26</v>
      </c>
      <c r="AZP1327" s="8" t="s">
        <v>5103</v>
      </c>
      <c r="AZQ1327" s="8" t="s">
        <v>5103</v>
      </c>
      <c r="BKS1327" s="8" t="s">
        <v>525</v>
      </c>
      <c r="BLQ1327" s="8" t="s">
        <v>525</v>
      </c>
      <c r="BMO1327" s="8" t="s">
        <v>1165</v>
      </c>
      <c r="CAS1327" s="8" t="s">
        <v>11382</v>
      </c>
      <c r="DMX1327" s="8" t="s">
        <v>1165</v>
      </c>
      <c r="DOL1327" s="8" t="s">
        <v>525</v>
      </c>
      <c r="DWD1327" s="8" t="s">
        <v>525</v>
      </c>
      <c r="EBR1327" s="8" t="s">
        <v>525</v>
      </c>
      <c r="EPE1327" s="8" t="s">
        <v>1165</v>
      </c>
      <c r="ERA1327" s="8" t="s">
        <v>1165</v>
      </c>
    </row>
    <row r="1328" spans="1:1016 1108:1985 2072:3066 3080:4088 4136:4376 7743:7785">
      <c r="A1328" s="8" t="s">
        <v>9932</v>
      </c>
      <c r="B1328" s="10" t="s">
        <v>11383</v>
      </c>
      <c r="C1328" s="8">
        <v>2325.7399999999998</v>
      </c>
      <c r="D1328" s="15">
        <v>22.11</v>
      </c>
      <c r="BAV1328" s="8" t="s">
        <v>5104</v>
      </c>
      <c r="BAW1328" s="8" t="s">
        <v>5104</v>
      </c>
      <c r="BSJ1328" s="8" t="s">
        <v>526</v>
      </c>
      <c r="BTH1328" s="8" t="s">
        <v>526</v>
      </c>
      <c r="BUF1328" s="8" t="s">
        <v>1277</v>
      </c>
      <c r="CLP1328" s="8" t="s">
        <v>11383</v>
      </c>
      <c r="ELM1328" s="8" t="s">
        <v>526</v>
      </c>
      <c r="ERA1328" s="8" t="s">
        <v>526</v>
      </c>
      <c r="KKU1328" s="8" t="s">
        <v>526</v>
      </c>
      <c r="KMK1328" s="8" t="s">
        <v>1277</v>
      </c>
    </row>
    <row r="1329" spans="1:958 1352:2025 2168:2649 3320:3320 4184:4184">
      <c r="A1329" s="8" t="s">
        <v>9932</v>
      </c>
      <c r="B1329" s="10" t="s">
        <v>11384</v>
      </c>
      <c r="C1329" s="8">
        <v>2348.84</v>
      </c>
      <c r="D1329" s="15">
        <v>3.16</v>
      </c>
      <c r="BIB1329" s="8" t="s">
        <v>5336</v>
      </c>
      <c r="BIC1329" s="8" t="s">
        <v>5336</v>
      </c>
      <c r="CLT1329" s="8" t="s">
        <v>11384</v>
      </c>
    </row>
    <row r="1330" spans="1:958 1352:2025 2168:2649 3320:3320 4184:4184">
      <c r="A1330" s="8" t="s">
        <v>9932</v>
      </c>
      <c r="B1330" s="10" t="s">
        <v>11385</v>
      </c>
      <c r="C1330" s="8">
        <v>2567.21</v>
      </c>
      <c r="D1330" s="15">
        <v>5.26</v>
      </c>
      <c r="AYZ1330" s="8" t="s">
        <v>456</v>
      </c>
      <c r="BIF1330" s="8" t="s">
        <v>5105</v>
      </c>
      <c r="BIG1330" s="8" t="s">
        <v>5105</v>
      </c>
      <c r="CUF1330" s="8" t="s">
        <v>11385</v>
      </c>
    </row>
    <row r="1331" spans="1:958 1352:2025 2168:2649 3320:3320 4184:4184">
      <c r="A1331" s="8" t="s">
        <v>9932</v>
      </c>
      <c r="B1331" s="10" t="s">
        <v>11386</v>
      </c>
      <c r="C1331" s="8">
        <v>3301.47</v>
      </c>
      <c r="D1331" s="15">
        <v>10.53</v>
      </c>
      <c r="BAV1331" s="8" t="s">
        <v>457</v>
      </c>
      <c r="BCR1331" s="8" t="s">
        <v>457</v>
      </c>
      <c r="BKB1331" s="8" t="s">
        <v>5106</v>
      </c>
      <c r="BKC1331" s="8" t="s">
        <v>5106</v>
      </c>
      <c r="DWR1331" s="8" t="s">
        <v>11386</v>
      </c>
    </row>
    <row r="1332" spans="1:958 1352:2025 2168:2649 3320:3320 4184:4184">
      <c r="A1332" s="8" t="s">
        <v>9932</v>
      </c>
      <c r="B1332" s="10" t="s">
        <v>14222</v>
      </c>
      <c r="C1332" s="8">
        <v>4165.47</v>
      </c>
      <c r="D1332" s="15">
        <v>10.53</v>
      </c>
      <c r="BEN1332" s="8" t="s">
        <v>458</v>
      </c>
      <c r="BGJ1332" s="8" t="s">
        <v>458</v>
      </c>
      <c r="BPP1332" s="8" t="s">
        <v>5107</v>
      </c>
      <c r="BPQ1332" s="8" t="s">
        <v>5107</v>
      </c>
      <c r="FDX1332" s="8" t="s">
        <v>14222</v>
      </c>
    </row>
    <row r="1333" spans="1:958 1352:2025 2168:2649 3320:3320 4184:4184">
      <c r="A1333" s="8" t="s">
        <v>9933</v>
      </c>
      <c r="B1333" s="10" t="s">
        <v>11388</v>
      </c>
      <c r="C1333" s="8">
        <v>-25.73</v>
      </c>
      <c r="D1333" s="15">
        <v>3.89</v>
      </c>
      <c r="H1333" s="8" t="s">
        <v>11388</v>
      </c>
      <c r="BEQ1333" s="8" t="s">
        <v>459</v>
      </c>
      <c r="BGM1333" s="8" t="s">
        <v>459</v>
      </c>
      <c r="BRL1333" s="8" t="s">
        <v>5108</v>
      </c>
      <c r="BRM1333" s="8" t="s">
        <v>5108</v>
      </c>
    </row>
    <row r="1334" spans="1:958 1352:2025 2168:2649 3320:3320 4184:4184">
      <c r="A1334" s="8" t="s">
        <v>9933</v>
      </c>
      <c r="B1334" s="10" t="s">
        <v>11389</v>
      </c>
      <c r="C1334" s="8">
        <v>-20.84</v>
      </c>
      <c r="D1334" s="15">
        <v>1.56</v>
      </c>
      <c r="H1334" s="8" t="s">
        <v>11389</v>
      </c>
      <c r="BFZ1334" s="8" t="s">
        <v>460</v>
      </c>
      <c r="BHV1334" s="8" t="s">
        <v>460</v>
      </c>
      <c r="BTA1334" s="8" t="s">
        <v>5109</v>
      </c>
      <c r="BTB1334" s="8" t="s">
        <v>5109</v>
      </c>
    </row>
    <row r="1335" spans="1:958 1352:2025 2168:2649 3320:3320 4184:4184">
      <c r="A1335" s="8" t="s">
        <v>9933</v>
      </c>
      <c r="B1335" s="10" t="s">
        <v>11390</v>
      </c>
      <c r="C1335" s="8">
        <v>945.74</v>
      </c>
      <c r="D1335" s="15">
        <v>3.89</v>
      </c>
      <c r="AJV1335" s="8" t="s">
        <v>11390</v>
      </c>
      <c r="BKB1335" s="8" t="s">
        <v>461</v>
      </c>
      <c r="BLX1335" s="8" t="s">
        <v>461</v>
      </c>
      <c r="BTH1335" s="8" t="s">
        <v>5110</v>
      </c>
      <c r="BTI1335" s="8" t="s">
        <v>5110</v>
      </c>
    </row>
    <row r="1336" spans="1:958 1352:2025 2168:2649 3320:3320 4184:4184">
      <c r="A1336" s="8" t="s">
        <v>9933</v>
      </c>
      <c r="B1336" s="10" t="s">
        <v>14223</v>
      </c>
      <c r="C1336" s="8">
        <v>1331.55</v>
      </c>
      <c r="D1336" s="15">
        <v>12.45</v>
      </c>
      <c r="AYZ1336" s="8" t="s">
        <v>14223</v>
      </c>
      <c r="BLX1336" s="8" t="s">
        <v>462</v>
      </c>
      <c r="BNT1336" s="8" t="s">
        <v>462</v>
      </c>
      <c r="BVD1336" s="8" t="s">
        <v>5337</v>
      </c>
      <c r="BVE1336" s="8" t="s">
        <v>5337</v>
      </c>
    </row>
    <row r="1337" spans="1:958 1352:2025 2168:2649 3320:3320 4184:4184">
      <c r="A1337" s="8" t="s">
        <v>1304</v>
      </c>
      <c r="B1337" s="10" t="s">
        <v>14224</v>
      </c>
      <c r="C1337" s="8">
        <v>184.22</v>
      </c>
      <c r="D1337" s="15">
        <v>7.78</v>
      </c>
      <c r="GR1337" s="8" t="s">
        <v>14224</v>
      </c>
      <c r="BMO1337" s="8" t="s">
        <v>1340</v>
      </c>
      <c r="BOK1337" s="8" t="s">
        <v>1340</v>
      </c>
      <c r="BWZ1337" s="8" t="s">
        <v>5111</v>
      </c>
      <c r="BXA1337" s="8" t="s">
        <v>5111</v>
      </c>
    </row>
    <row r="1338" spans="1:958 1352:2025 2168:2649 3320:3320 4184:4184">
      <c r="A1338" s="8" t="s">
        <v>1304</v>
      </c>
      <c r="B1338" s="10" t="s">
        <v>11391</v>
      </c>
      <c r="C1338" s="8">
        <v>196</v>
      </c>
      <c r="D1338" s="15">
        <v>2.72</v>
      </c>
      <c r="GY1338" s="8" t="s">
        <v>11391</v>
      </c>
      <c r="BNY1338" s="8" t="s">
        <v>463</v>
      </c>
      <c r="BPU1338" s="8" t="s">
        <v>463</v>
      </c>
      <c r="BYV1338" s="8" t="s">
        <v>5338</v>
      </c>
      <c r="BYW1338" s="8" t="s">
        <v>5338</v>
      </c>
    </row>
    <row r="1339" spans="1:958 1352:2025 2168:2649 3320:3320 4184:4184">
      <c r="A1339" s="8" t="s">
        <v>1304</v>
      </c>
      <c r="B1339" s="10" t="s">
        <v>14225</v>
      </c>
      <c r="C1339" s="8">
        <v>199.72</v>
      </c>
      <c r="D1339" s="15">
        <v>71.790000000000006</v>
      </c>
      <c r="JT1339" s="8" t="s">
        <v>14225</v>
      </c>
      <c r="BPP1339" s="8" t="s">
        <v>464</v>
      </c>
      <c r="BRL1339" s="8" t="s">
        <v>464</v>
      </c>
      <c r="CEJ1339" s="8" t="s">
        <v>5112</v>
      </c>
      <c r="CEK1339" s="8" t="s">
        <v>5112</v>
      </c>
    </row>
    <row r="1340" spans="1:958 1352:2025 2168:2649 3320:3320 4184:4184">
      <c r="A1340" s="8" t="s">
        <v>1304</v>
      </c>
      <c r="B1340" s="10" t="s">
        <v>11392</v>
      </c>
      <c r="C1340" s="8">
        <v>329.98</v>
      </c>
      <c r="D1340" s="15">
        <v>57.57</v>
      </c>
      <c r="OF1340" s="8" t="s">
        <v>11392</v>
      </c>
      <c r="BSQ1340" s="8" t="s">
        <v>466</v>
      </c>
      <c r="BUM1340" s="8" t="s">
        <v>466</v>
      </c>
      <c r="CTD1340" s="8" t="s">
        <v>5339</v>
      </c>
      <c r="CTE1340" s="8" t="s">
        <v>5339</v>
      </c>
    </row>
    <row r="1341" spans="1:958 1352:2025 2168:2649 3320:3320 4184:4184">
      <c r="A1341" s="8" t="s">
        <v>1304</v>
      </c>
      <c r="B1341" s="10" t="s">
        <v>14226</v>
      </c>
      <c r="C1341" s="8">
        <v>388.55</v>
      </c>
      <c r="D1341" s="15">
        <v>3.5</v>
      </c>
      <c r="OJ1341" s="8" t="s">
        <v>14226</v>
      </c>
      <c r="BTK1341" s="8" t="s">
        <v>467</v>
      </c>
      <c r="BVG1341" s="8" t="s">
        <v>467</v>
      </c>
      <c r="CUZ1341" s="8" t="s">
        <v>5113</v>
      </c>
      <c r="CVA1341" s="8" t="s">
        <v>5113</v>
      </c>
    </row>
    <row r="1342" spans="1:958 1352:2025 2168:2649 3320:3320 4184:4184">
      <c r="A1342" s="8" t="s">
        <v>1304</v>
      </c>
      <c r="B1342" s="10" t="s">
        <v>11393</v>
      </c>
      <c r="C1342" s="8">
        <v>393.05</v>
      </c>
      <c r="D1342" s="15">
        <v>18.18</v>
      </c>
      <c r="PC1342" s="8" t="s">
        <v>11393</v>
      </c>
      <c r="BUN1342" s="8" t="s">
        <v>468</v>
      </c>
      <c r="BWJ1342" s="8" t="s">
        <v>468</v>
      </c>
      <c r="CVV1342" s="8" t="s">
        <v>5114</v>
      </c>
      <c r="CVW1342" s="8" t="s">
        <v>5114</v>
      </c>
    </row>
    <row r="1343" spans="1:958 1352:2025 2168:2649 3320:3320 4184:4184">
      <c r="A1343" s="8" t="s">
        <v>1304</v>
      </c>
      <c r="B1343" s="10" t="s">
        <v>14227</v>
      </c>
      <c r="C1343" s="8">
        <v>408.71</v>
      </c>
      <c r="D1343" s="15">
        <v>317.23</v>
      </c>
      <c r="ABF1343" s="8" t="s">
        <v>14227</v>
      </c>
      <c r="BVI1343" s="8" t="s">
        <v>469</v>
      </c>
      <c r="BXE1343" s="8" t="s">
        <v>469</v>
      </c>
      <c r="CWF1343" s="8" t="s">
        <v>5115</v>
      </c>
      <c r="CWG1343" s="8" t="s">
        <v>5115</v>
      </c>
    </row>
    <row r="1344" spans="1:958 1352:2025 2168:2649 3320:3320 4184:4184">
      <c r="A1344" s="8" t="s">
        <v>1304</v>
      </c>
      <c r="B1344" s="10" t="s">
        <v>11394</v>
      </c>
      <c r="C1344" s="8">
        <v>412.24</v>
      </c>
      <c r="D1344" s="15">
        <v>3.79</v>
      </c>
      <c r="PH1344" s="8" t="s">
        <v>11394</v>
      </c>
      <c r="BWZ1344" s="8" t="s">
        <v>1341</v>
      </c>
      <c r="BYV1344" s="8" t="s">
        <v>1341</v>
      </c>
      <c r="CWV1344" s="8" t="s">
        <v>5116</v>
      </c>
      <c r="CWW1344" s="8" t="s">
        <v>5116</v>
      </c>
    </row>
    <row r="1345" spans="1:1016 1101:2024 2072:3032 3080:3897">
      <c r="A1345" s="8" t="s">
        <v>1304</v>
      </c>
      <c r="B1345" s="10" t="s">
        <v>14228</v>
      </c>
      <c r="C1345" s="8">
        <v>424.93</v>
      </c>
      <c r="D1345" s="15">
        <v>1.95</v>
      </c>
      <c r="PS1345" s="8" t="s">
        <v>14228</v>
      </c>
      <c r="BYV1345" s="8" t="s">
        <v>470</v>
      </c>
      <c r="CAR1345" s="8" t="s">
        <v>470</v>
      </c>
      <c r="CYR1345" s="8" t="s">
        <v>5340</v>
      </c>
      <c r="CYS1345" s="8" t="s">
        <v>5340</v>
      </c>
    </row>
    <row r="1346" spans="1:1016 1101:2024 2072:3032 3080:3897">
      <c r="A1346" s="8" t="s">
        <v>1304</v>
      </c>
      <c r="B1346" s="10" t="s">
        <v>11395</v>
      </c>
      <c r="C1346" s="8">
        <v>624</v>
      </c>
      <c r="D1346" s="15">
        <v>15.47</v>
      </c>
      <c r="XW1346" s="8" t="s">
        <v>11395</v>
      </c>
      <c r="BYV1346" s="8" t="s">
        <v>471</v>
      </c>
      <c r="CAR1346" s="8" t="s">
        <v>471</v>
      </c>
      <c r="DHX1346" s="8" t="s">
        <v>5341</v>
      </c>
      <c r="DHY1346" s="8" t="s">
        <v>5341</v>
      </c>
    </row>
    <row r="1347" spans="1:1016 1101:2024 2072:3032 3080:3897">
      <c r="A1347" s="8" t="s">
        <v>1304</v>
      </c>
      <c r="B1347" s="10" t="s">
        <v>11396</v>
      </c>
      <c r="C1347" s="8">
        <v>655.45</v>
      </c>
      <c r="D1347" s="15">
        <v>5.54</v>
      </c>
      <c r="YS1347" s="8" t="s">
        <v>11396</v>
      </c>
      <c r="CFW1347" s="8" t="s">
        <v>472</v>
      </c>
      <c r="CHS1347" s="8" t="s">
        <v>472</v>
      </c>
      <c r="DSZ1347" s="8" t="s">
        <v>5342</v>
      </c>
      <c r="DTA1347" s="8" t="s">
        <v>5342</v>
      </c>
    </row>
    <row r="1348" spans="1:1016 1101:2024 2072:3032 3080:3897">
      <c r="A1348" s="8" t="s">
        <v>1304</v>
      </c>
      <c r="B1348" s="10" t="s">
        <v>11397</v>
      </c>
      <c r="C1348" s="8">
        <v>739.34</v>
      </c>
      <c r="D1348" s="15">
        <v>7.78</v>
      </c>
      <c r="ACA1348" s="8" t="s">
        <v>11397</v>
      </c>
      <c r="CIB1348" s="8" t="s">
        <v>473</v>
      </c>
      <c r="CJX1348" s="8" t="s">
        <v>473</v>
      </c>
      <c r="EEB1348" s="8" t="s">
        <v>5343</v>
      </c>
      <c r="EEC1348" s="8" t="s">
        <v>5343</v>
      </c>
    </row>
    <row r="1349" spans="1:1016 1101:2024 2072:3032 3080:3897">
      <c r="A1349" s="8" t="s">
        <v>1304</v>
      </c>
      <c r="B1349" s="10" t="s">
        <v>11398</v>
      </c>
      <c r="C1349" s="8">
        <v>748.12</v>
      </c>
      <c r="D1349" s="15">
        <v>5.0599999999999996</v>
      </c>
      <c r="ACG1349" s="8" t="s">
        <v>11398</v>
      </c>
      <c r="CLT1349" s="8" t="s">
        <v>474</v>
      </c>
      <c r="CNP1349" s="8" t="s">
        <v>474</v>
      </c>
      <c r="EII1349" s="8" t="s">
        <v>5117</v>
      </c>
      <c r="EIJ1349" s="8" t="s">
        <v>5117</v>
      </c>
    </row>
    <row r="1350" spans="1:1016 1101:2024 2072:3032 3080:3897">
      <c r="A1350" s="8" t="s">
        <v>1304</v>
      </c>
      <c r="B1350" s="10" t="s">
        <v>11399</v>
      </c>
      <c r="C1350" s="8">
        <v>754.18</v>
      </c>
      <c r="D1350" s="15">
        <v>11</v>
      </c>
      <c r="ACS1350" s="8" t="s">
        <v>11399</v>
      </c>
      <c r="CNP1350" s="8" t="s">
        <v>475</v>
      </c>
      <c r="CPL1350" s="8" t="s">
        <v>475</v>
      </c>
      <c r="EJP1350" s="8" t="s">
        <v>5118</v>
      </c>
      <c r="EJQ1350" s="8" t="s">
        <v>5118</v>
      </c>
    </row>
    <row r="1351" spans="1:1016 1101:2024 2072:3032 3080:3897">
      <c r="A1351" s="8" t="s">
        <v>1304</v>
      </c>
      <c r="B1351" s="10" t="s">
        <v>11400</v>
      </c>
      <c r="C1351" s="8">
        <v>766.18</v>
      </c>
      <c r="D1351" s="15">
        <v>1.82</v>
      </c>
      <c r="ACV1351" s="8" t="s">
        <v>11400</v>
      </c>
      <c r="BDV1351" s="8" t="s">
        <v>498</v>
      </c>
      <c r="CRT1351" s="8" t="s">
        <v>476</v>
      </c>
      <c r="CTP1351" s="8" t="s">
        <v>476</v>
      </c>
      <c r="ESV1351" s="8" t="s">
        <v>5119</v>
      </c>
      <c r="ESW1351" s="8" t="s">
        <v>5119</v>
      </c>
    </row>
    <row r="1352" spans="1:1016 1101:2024 2072:3032 3080:3897">
      <c r="A1352" s="8" t="s">
        <v>1304</v>
      </c>
      <c r="B1352" s="10" t="s">
        <v>11401</v>
      </c>
      <c r="C1352" s="8">
        <v>770.75</v>
      </c>
      <c r="D1352" s="15">
        <v>3.89</v>
      </c>
      <c r="ADC1352" s="8" t="s">
        <v>11401</v>
      </c>
      <c r="AYZ1352" s="8" t="s">
        <v>5079</v>
      </c>
      <c r="AZA1352" s="8" t="s">
        <v>5079</v>
      </c>
      <c r="BEO1352" s="8" t="s">
        <v>499</v>
      </c>
      <c r="CTD1352" s="8" t="s">
        <v>477</v>
      </c>
      <c r="CUZ1352" s="8" t="s">
        <v>477</v>
      </c>
    </row>
    <row r="1353" spans="1:1016 1101:2024 2072:3032 3080:3897">
      <c r="A1353" s="8" t="s">
        <v>1304</v>
      </c>
      <c r="B1353" s="10" t="s">
        <v>11402</v>
      </c>
      <c r="C1353" s="8">
        <v>775.64</v>
      </c>
      <c r="D1353" s="15">
        <v>75.19</v>
      </c>
      <c r="AGA1353" s="8" t="s">
        <v>11402</v>
      </c>
      <c r="AYZ1353" s="8" t="s">
        <v>5080</v>
      </c>
      <c r="AZA1353" s="8" t="s">
        <v>5080</v>
      </c>
      <c r="BAV1353" s="8" t="s">
        <v>5080</v>
      </c>
      <c r="BAW1353" s="8" t="s">
        <v>5080</v>
      </c>
      <c r="BIF1353" s="8" t="s">
        <v>500</v>
      </c>
      <c r="CUZ1353" s="8" t="s">
        <v>478</v>
      </c>
      <c r="CWV1353" s="8" t="s">
        <v>478</v>
      </c>
    </row>
    <row r="1354" spans="1:1016 1101:2024 2072:3032 3080:3897">
      <c r="A1354" s="8" t="s">
        <v>1304</v>
      </c>
      <c r="B1354" s="10" t="s">
        <v>11403</v>
      </c>
      <c r="C1354" s="8">
        <v>814.18</v>
      </c>
      <c r="D1354" s="15">
        <v>1.82</v>
      </c>
      <c r="AER1354" s="8" t="s">
        <v>11403</v>
      </c>
      <c r="BAV1354" s="8" t="s">
        <v>5081</v>
      </c>
      <c r="BCR1354" s="8" t="s">
        <v>5081</v>
      </c>
      <c r="BCS1354" s="8" t="s">
        <v>5081</v>
      </c>
      <c r="BNG1354" s="8" t="s">
        <v>501</v>
      </c>
      <c r="CUZ1354" s="8" t="s">
        <v>479</v>
      </c>
      <c r="CWV1354" s="8" t="s">
        <v>479</v>
      </c>
    </row>
    <row r="1355" spans="1:1016 1101:2024 2072:3032 3080:3897">
      <c r="A1355" s="8" t="s">
        <v>1304</v>
      </c>
      <c r="B1355" s="10" t="s">
        <v>11404</v>
      </c>
      <c r="C1355" s="8">
        <v>856.22</v>
      </c>
      <c r="D1355" s="15">
        <v>5.14</v>
      </c>
      <c r="AGK1355" s="8" t="s">
        <v>11404</v>
      </c>
      <c r="BFS1355" s="8" t="s">
        <v>5082</v>
      </c>
      <c r="BFT1355" s="8" t="s">
        <v>5082</v>
      </c>
      <c r="BHO1355" s="8" t="s">
        <v>5082</v>
      </c>
      <c r="BHP1355" s="8" t="s">
        <v>5082</v>
      </c>
      <c r="BOI1355" s="8" t="s">
        <v>502</v>
      </c>
      <c r="CWA1355" s="8" t="s">
        <v>480</v>
      </c>
      <c r="CXW1355" s="8" t="s">
        <v>480</v>
      </c>
    </row>
    <row r="1356" spans="1:1016 1101:2024 2072:3032 3080:3897">
      <c r="A1356" s="8" t="s">
        <v>1304</v>
      </c>
      <c r="B1356" s="10" t="s">
        <v>11405</v>
      </c>
      <c r="C1356" s="8">
        <v>1004.36</v>
      </c>
      <c r="D1356" s="15">
        <v>3.64</v>
      </c>
      <c r="AMB1356" s="8" t="s">
        <v>11405</v>
      </c>
      <c r="BJB1356" s="8" t="s">
        <v>5083</v>
      </c>
      <c r="BJC1356" s="8" t="s">
        <v>5083</v>
      </c>
      <c r="BKX1356" s="8" t="s">
        <v>5083</v>
      </c>
      <c r="BKY1356" s="8" t="s">
        <v>5083</v>
      </c>
      <c r="BPP1356" s="8" t="s">
        <v>503</v>
      </c>
      <c r="CYR1356" s="8" t="s">
        <v>481</v>
      </c>
      <c r="DAN1356" s="8" t="s">
        <v>481</v>
      </c>
    </row>
    <row r="1357" spans="1:1016 1101:2024 2072:3032 3080:3897">
      <c r="A1357" s="8" t="s">
        <v>1304</v>
      </c>
      <c r="B1357" s="10" t="s">
        <v>11406</v>
      </c>
      <c r="C1357" s="8">
        <v>1084.97</v>
      </c>
      <c r="D1357" s="15">
        <v>7.78</v>
      </c>
      <c r="API1357" s="8" t="s">
        <v>11406</v>
      </c>
      <c r="BKH1357" s="8" t="s">
        <v>5084</v>
      </c>
      <c r="BKI1357" s="8" t="s">
        <v>5084</v>
      </c>
      <c r="BMD1357" s="8" t="s">
        <v>5084</v>
      </c>
      <c r="BME1357" s="8" t="s">
        <v>5084</v>
      </c>
      <c r="BRL1357" s="8" t="s">
        <v>504</v>
      </c>
      <c r="DGF1357" s="8" t="s">
        <v>482</v>
      </c>
      <c r="DIB1357" s="8" t="s">
        <v>482</v>
      </c>
    </row>
    <row r="1358" spans="1:1016 1101:2024 2072:3032 3080:3897">
      <c r="A1358" s="8" t="s">
        <v>1304</v>
      </c>
      <c r="B1358" s="10" t="s">
        <v>14229</v>
      </c>
      <c r="C1358" s="8">
        <v>1094.47</v>
      </c>
      <c r="D1358" s="15">
        <v>3.89</v>
      </c>
      <c r="APN1358" s="8" t="s">
        <v>14229</v>
      </c>
      <c r="BKO1358" s="8" t="s">
        <v>5085</v>
      </c>
      <c r="BMK1358" s="8" t="s">
        <v>5085</v>
      </c>
      <c r="BML1358" s="8" t="s">
        <v>5085</v>
      </c>
      <c r="BSG1358" s="8" t="s">
        <v>505</v>
      </c>
      <c r="DJT1358" s="8" t="s">
        <v>483</v>
      </c>
      <c r="DLP1358" s="8" t="s">
        <v>483</v>
      </c>
    </row>
    <row r="1359" spans="1:1016 1101:2024 2072:3032 3080:3897">
      <c r="A1359" s="8" t="s">
        <v>1304</v>
      </c>
      <c r="B1359" s="10" t="s">
        <v>14230</v>
      </c>
      <c r="C1359" s="8">
        <v>1327.69</v>
      </c>
      <c r="D1359" s="15">
        <v>11.67</v>
      </c>
      <c r="AYU1359" s="8" t="s">
        <v>14230</v>
      </c>
      <c r="BNF1359" s="8" t="s">
        <v>5086</v>
      </c>
      <c r="BNG1359" s="8" t="s">
        <v>5086</v>
      </c>
      <c r="BPB1359" s="8" t="s">
        <v>5086</v>
      </c>
      <c r="BPC1359" s="8" t="s">
        <v>5086</v>
      </c>
      <c r="BTN1359" s="8" t="s">
        <v>506</v>
      </c>
      <c r="DLP1359" s="8" t="s">
        <v>484</v>
      </c>
      <c r="DNL1359" s="8" t="s">
        <v>484</v>
      </c>
    </row>
    <row r="1360" spans="1:1016 1101:2024 2072:3032 3080:3897">
      <c r="A1360" s="8" t="s">
        <v>1304</v>
      </c>
      <c r="B1360" s="10" t="s">
        <v>11407</v>
      </c>
      <c r="C1360" s="8">
        <v>1340.36</v>
      </c>
      <c r="D1360" s="15">
        <v>3.64</v>
      </c>
      <c r="AYZ1360" s="8" t="s">
        <v>11407</v>
      </c>
      <c r="BNM1360" s="8" t="s">
        <v>5087</v>
      </c>
      <c r="BNN1360" s="8" t="s">
        <v>5087</v>
      </c>
      <c r="BPI1360" s="8" t="s">
        <v>5087</v>
      </c>
      <c r="BPJ1360" s="8" t="s">
        <v>5087</v>
      </c>
      <c r="BPK1360" s="8" t="s">
        <v>5087</v>
      </c>
      <c r="BTH1360" s="8" t="s">
        <v>507</v>
      </c>
      <c r="DNL1360" s="8" t="s">
        <v>485</v>
      </c>
      <c r="DPH1360" s="8" t="s">
        <v>485</v>
      </c>
    </row>
    <row r="1361" spans="1:921 1449:2024 2072:3034 3080:4090 4232:4328">
      <c r="A1361" s="8" t="s">
        <v>1304</v>
      </c>
      <c r="B1361" s="10" t="s">
        <v>14231</v>
      </c>
      <c r="C1361" s="8">
        <v>1868.36</v>
      </c>
      <c r="D1361" s="15">
        <v>3.64</v>
      </c>
      <c r="BNU1361" s="8" t="s">
        <v>5088</v>
      </c>
      <c r="BPQ1361" s="8" t="s">
        <v>5088</v>
      </c>
      <c r="BPR1361" s="8" t="s">
        <v>5088</v>
      </c>
      <c r="BTH1361" s="8" t="s">
        <v>14231</v>
      </c>
      <c r="BTW1361" s="8" t="s">
        <v>508</v>
      </c>
      <c r="DPZ1361" s="8" t="s">
        <v>486</v>
      </c>
      <c r="DRV1361" s="8" t="s">
        <v>486</v>
      </c>
    </row>
    <row r="1362" spans="1:921 1449:2024 2072:3034 3080:4090 4232:4328">
      <c r="A1362" s="8" t="s">
        <v>1304</v>
      </c>
      <c r="B1362" s="10" t="s">
        <v>11409</v>
      </c>
      <c r="C1362" s="8">
        <v>2108.11</v>
      </c>
      <c r="D1362" s="15">
        <v>3.89</v>
      </c>
      <c r="BTY1362" s="8" t="s">
        <v>5089</v>
      </c>
      <c r="BTZ1362" s="8" t="s">
        <v>5089</v>
      </c>
      <c r="BUM1362" s="8" t="s">
        <v>509</v>
      </c>
      <c r="BVU1362" s="8" t="s">
        <v>5089</v>
      </c>
      <c r="BVV1362" s="8" t="s">
        <v>5089</v>
      </c>
      <c r="CCN1362" s="8" t="s">
        <v>11409</v>
      </c>
      <c r="DRI1362" s="8" t="s">
        <v>487</v>
      </c>
      <c r="DTE1362" s="8" t="s">
        <v>487</v>
      </c>
    </row>
    <row r="1363" spans="1:921 1449:2024 2072:3034 3080:4090 4232:4328">
      <c r="A1363" s="8" t="s">
        <v>1304</v>
      </c>
      <c r="B1363" s="10" t="s">
        <v>14232</v>
      </c>
      <c r="C1363" s="8">
        <v>2252.36</v>
      </c>
      <c r="D1363" s="15">
        <v>3.64</v>
      </c>
      <c r="BUT1363" s="8" t="s">
        <v>510</v>
      </c>
      <c r="BVD1363" s="8" t="s">
        <v>5090</v>
      </c>
      <c r="BVE1363" s="8" t="s">
        <v>5090</v>
      </c>
      <c r="BWZ1363" s="8" t="s">
        <v>5090</v>
      </c>
      <c r="BXA1363" s="8" t="s">
        <v>5090</v>
      </c>
      <c r="CIB1363" s="8" t="s">
        <v>14232</v>
      </c>
      <c r="DTL1363" s="8" t="s">
        <v>488</v>
      </c>
      <c r="DVH1363" s="8" t="s">
        <v>488</v>
      </c>
    </row>
    <row r="1364" spans="1:921 1449:2024 2072:3034 3080:4090 4232:4328">
      <c r="A1364" s="8" t="s">
        <v>1304</v>
      </c>
      <c r="B1364" s="10" t="s">
        <v>11411</v>
      </c>
      <c r="C1364" s="8">
        <v>2296.73</v>
      </c>
      <c r="D1364" s="15">
        <v>7.27</v>
      </c>
      <c r="BEN1364" s="8" t="s">
        <v>11407</v>
      </c>
      <c r="BGJ1364" s="8" t="s">
        <v>10415</v>
      </c>
      <c r="BUY1364" s="8" t="s">
        <v>511</v>
      </c>
      <c r="CCO1364" s="8" t="s">
        <v>5091</v>
      </c>
      <c r="CEK1364" s="8" t="s">
        <v>5091</v>
      </c>
      <c r="CEL1364" s="8" t="s">
        <v>5091</v>
      </c>
      <c r="CJX1364" s="8" t="s">
        <v>11411</v>
      </c>
      <c r="DUV1364" s="8" t="s">
        <v>489</v>
      </c>
      <c r="DWR1364" s="8" t="s">
        <v>489</v>
      </c>
    </row>
    <row r="1365" spans="1:921 1449:2024 2072:3034 3080:4090 4232:4328">
      <c r="A1365" s="8" t="s">
        <v>1304</v>
      </c>
      <c r="B1365" s="10" t="s">
        <v>11412</v>
      </c>
      <c r="C1365" s="8">
        <v>2764.55</v>
      </c>
      <c r="D1365" s="15">
        <v>19.45</v>
      </c>
      <c r="BXI1365" s="8" t="s">
        <v>512</v>
      </c>
      <c r="BYV1365" s="8" t="s">
        <v>11408</v>
      </c>
      <c r="CAR1365" s="8" t="s">
        <v>10416</v>
      </c>
      <c r="CIG1365" s="8" t="s">
        <v>5092</v>
      </c>
      <c r="CKC1365" s="8" t="s">
        <v>5092</v>
      </c>
      <c r="CKD1365" s="8" t="s">
        <v>5092</v>
      </c>
      <c r="DCJ1365" s="8" t="s">
        <v>11412</v>
      </c>
      <c r="DYN1365" s="8" t="s">
        <v>490</v>
      </c>
      <c r="EAJ1365" s="8" t="s">
        <v>490</v>
      </c>
    </row>
    <row r="1366" spans="1:921 1449:2024 2072:3034 3080:4090 4232:4328">
      <c r="A1366" s="8" t="s">
        <v>1304</v>
      </c>
      <c r="B1366" s="10" t="s">
        <v>11413</v>
      </c>
      <c r="C1366" s="8">
        <v>2780.92</v>
      </c>
      <c r="D1366" s="15">
        <v>3.64</v>
      </c>
      <c r="CGF1366" s="8" t="s">
        <v>513</v>
      </c>
      <c r="CIB1366" s="8" t="s">
        <v>11409</v>
      </c>
      <c r="CJX1366" s="8" t="s">
        <v>10417</v>
      </c>
      <c r="CLT1366" s="8" t="s">
        <v>5093</v>
      </c>
      <c r="CLU1366" s="8" t="s">
        <v>5093</v>
      </c>
      <c r="DCK1366" s="8" t="s">
        <v>11413</v>
      </c>
      <c r="EHV1366" s="8" t="s">
        <v>491</v>
      </c>
      <c r="EJR1366" s="8" t="s">
        <v>491</v>
      </c>
    </row>
    <row r="1367" spans="1:921 1449:2024 2072:3034 3080:4090 4232:4328">
      <c r="A1367" s="8" t="s">
        <v>1304</v>
      </c>
      <c r="B1367" s="10" t="s">
        <v>14233</v>
      </c>
      <c r="C1367" s="8">
        <v>3356.36</v>
      </c>
      <c r="D1367" s="15">
        <v>3.64</v>
      </c>
      <c r="CMY1367" s="8" t="s">
        <v>514</v>
      </c>
      <c r="CNP1367" s="8" t="s">
        <v>11410</v>
      </c>
      <c r="CPL1367" s="8" t="s">
        <v>10418</v>
      </c>
      <c r="CUL1367" s="8" t="s">
        <v>5094</v>
      </c>
      <c r="CUM1367" s="8" t="s">
        <v>5094</v>
      </c>
      <c r="CWH1367" s="8" t="s">
        <v>5094</v>
      </c>
      <c r="CWI1367" s="8" t="s">
        <v>5094</v>
      </c>
      <c r="CWJ1367" s="8" t="s">
        <v>5094</v>
      </c>
      <c r="DYN1367" s="8" t="s">
        <v>14233</v>
      </c>
      <c r="ESR1367" s="8" t="s">
        <v>492</v>
      </c>
      <c r="EUN1367" s="8" t="s">
        <v>492</v>
      </c>
    </row>
    <row r="1368" spans="1:921 1449:2024 2072:3034 3080:4090 4232:4328">
      <c r="A1368" s="8" t="s">
        <v>1305</v>
      </c>
      <c r="B1368" s="10" t="s">
        <v>14234</v>
      </c>
      <c r="C1368" s="8">
        <v>-45.36</v>
      </c>
      <c r="D1368" s="15">
        <v>45.36</v>
      </c>
      <c r="H1368" s="8" t="s">
        <v>14234</v>
      </c>
      <c r="CPL1368" s="8" t="s">
        <v>11411</v>
      </c>
      <c r="CRH1368" s="8" t="s">
        <v>10419</v>
      </c>
      <c r="CRU1368" s="8" t="s">
        <v>515</v>
      </c>
      <c r="DJU1368" s="8" t="s">
        <v>5095</v>
      </c>
      <c r="DLQ1368" s="8" t="s">
        <v>5095</v>
      </c>
      <c r="DLR1368" s="8" t="s">
        <v>5095</v>
      </c>
      <c r="ETI1368" s="8" t="s">
        <v>493</v>
      </c>
      <c r="EVE1368" s="8" t="s">
        <v>493</v>
      </c>
    </row>
    <row r="1369" spans="1:921 1449:2024 2072:3034 3080:4090 4232:4328">
      <c r="A1369" s="8" t="s">
        <v>1305</v>
      </c>
      <c r="B1369" s="10" t="s">
        <v>14235</v>
      </c>
      <c r="C1369" s="8">
        <v>136</v>
      </c>
      <c r="D1369" s="15">
        <v>56</v>
      </c>
      <c r="GR1369" s="8" t="s">
        <v>14235</v>
      </c>
      <c r="CUS1369" s="8" t="s">
        <v>516</v>
      </c>
      <c r="DHX1369" s="8" t="s">
        <v>11412</v>
      </c>
      <c r="DJT1369" s="8" t="s">
        <v>10420</v>
      </c>
      <c r="ESQ1369" s="8" t="s">
        <v>5096</v>
      </c>
      <c r="ESR1369" s="8" t="s">
        <v>5096</v>
      </c>
      <c r="EUM1369" s="8" t="s">
        <v>5096</v>
      </c>
      <c r="EUN1369" s="8" t="s">
        <v>5096</v>
      </c>
      <c r="EWN1369" s="8" t="s">
        <v>494</v>
      </c>
      <c r="EYJ1369" s="8" t="s">
        <v>494</v>
      </c>
    </row>
    <row r="1370" spans="1:921 1449:2024 2072:3034 3080:4090 4232:4328">
      <c r="A1370" s="8" t="s">
        <v>1305</v>
      </c>
      <c r="B1370" s="10" t="s">
        <v>14236</v>
      </c>
      <c r="C1370" s="8">
        <v>136.69999999999999</v>
      </c>
      <c r="D1370" s="15">
        <v>55.3</v>
      </c>
      <c r="GR1370" s="8" t="s">
        <v>14236</v>
      </c>
      <c r="CVA1370" s="8" t="s">
        <v>517</v>
      </c>
      <c r="DHY1370" s="8" t="s">
        <v>11413</v>
      </c>
      <c r="DJU1370" s="8" t="s">
        <v>10421</v>
      </c>
      <c r="ESV1370" s="8" t="s">
        <v>5097</v>
      </c>
      <c r="ESW1370" s="8" t="s">
        <v>5097</v>
      </c>
      <c r="EUR1370" s="8" t="s">
        <v>5097</v>
      </c>
      <c r="EUS1370" s="8" t="s">
        <v>5097</v>
      </c>
      <c r="EYJ1370" s="8" t="s">
        <v>495</v>
      </c>
      <c r="FAF1370" s="8" t="s">
        <v>495</v>
      </c>
    </row>
    <row r="1371" spans="1:921 1449:2024 2072:3034 3080:4090 4232:4328">
      <c r="A1371" s="8" t="s">
        <v>1305</v>
      </c>
      <c r="B1371" s="10" t="s">
        <v>14237</v>
      </c>
      <c r="C1371" s="8">
        <v>153.26</v>
      </c>
      <c r="D1371" s="15">
        <v>536</v>
      </c>
      <c r="ZU1371" s="8" t="s">
        <v>14237</v>
      </c>
      <c r="DBE1371" s="8" t="s">
        <v>518</v>
      </c>
      <c r="EEB1371" s="8" t="s">
        <v>11414</v>
      </c>
      <c r="EFX1371" s="8" t="s">
        <v>10422</v>
      </c>
      <c r="EYC1371" s="8" t="s">
        <v>5098</v>
      </c>
      <c r="EYD1371" s="8" t="s">
        <v>5098</v>
      </c>
      <c r="EZY1371" s="8" t="s">
        <v>5098</v>
      </c>
      <c r="EZZ1371" s="8" t="s">
        <v>5098</v>
      </c>
      <c r="FFT1371" s="8" t="s">
        <v>1342</v>
      </c>
      <c r="FHP1371" s="8" t="s">
        <v>1342</v>
      </c>
    </row>
    <row r="1372" spans="1:921 1449:2024 2072:3034 3080:4090 4232:4328">
      <c r="A1372" s="8" t="s">
        <v>1305</v>
      </c>
      <c r="B1372" s="10" t="s">
        <v>14238</v>
      </c>
      <c r="C1372" s="8">
        <v>672</v>
      </c>
      <c r="D1372" s="15">
        <v>112</v>
      </c>
      <c r="ADL1372" s="8" t="s">
        <v>14238</v>
      </c>
      <c r="DCJ1372" s="8" t="s">
        <v>519</v>
      </c>
      <c r="EYJ1372" s="8" t="s">
        <v>5099</v>
      </c>
      <c r="EYK1372" s="8" t="s">
        <v>5099</v>
      </c>
      <c r="FAF1372" s="8" t="s">
        <v>5099</v>
      </c>
      <c r="FAG1372" s="8" t="s">
        <v>5099</v>
      </c>
      <c r="FAH1372" s="8" t="s">
        <v>5099</v>
      </c>
      <c r="FHP1372" s="8" t="s">
        <v>1343</v>
      </c>
      <c r="FJL1372" s="8" t="s">
        <v>1343</v>
      </c>
    </row>
    <row r="1373" spans="1:921 1449:2024 2072:3034 3080:4090 4232:4328">
      <c r="A1373" s="8" t="s">
        <v>1305</v>
      </c>
      <c r="B1373" s="10" t="s">
        <v>14239</v>
      </c>
      <c r="C1373" s="8">
        <v>690.26</v>
      </c>
      <c r="D1373" s="15">
        <v>56</v>
      </c>
      <c r="ABZ1373" s="8" t="s">
        <v>14239</v>
      </c>
      <c r="DJU1373" s="8" t="s">
        <v>520</v>
      </c>
      <c r="FHP1373" s="8" t="s">
        <v>1344</v>
      </c>
      <c r="FJL1373" s="8" t="s">
        <v>1344</v>
      </c>
    </row>
    <row r="1374" spans="1:921 1449:2024 2072:3034 3080:4090 4232:4328">
      <c r="A1374" s="8" t="s">
        <v>1305</v>
      </c>
      <c r="B1374" s="10" t="s">
        <v>11415</v>
      </c>
      <c r="C1374" s="8">
        <v>747.26</v>
      </c>
      <c r="D1374" s="15">
        <v>106.67</v>
      </c>
      <c r="AGD1374" s="8" t="s">
        <v>11415</v>
      </c>
      <c r="DNL1374" s="8" t="s">
        <v>521</v>
      </c>
    </row>
    <row r="1375" spans="1:921 1449:2024 2072:3034 3080:4090 4232:4328">
      <c r="A1375" s="8" t="s">
        <v>1305</v>
      </c>
      <c r="B1375" s="10" t="s">
        <v>14240</v>
      </c>
      <c r="C1375" s="8">
        <v>854.93</v>
      </c>
      <c r="D1375" s="15">
        <v>35.700000000000003</v>
      </c>
      <c r="AHO1375" s="8" t="s">
        <v>14240</v>
      </c>
      <c r="DPM1375" s="8" t="s">
        <v>522</v>
      </c>
    </row>
    <row r="1376" spans="1:921 1449:2024 2072:3034 3080:4090 4232:4328">
      <c r="A1376" s="8" t="s">
        <v>1305</v>
      </c>
      <c r="B1376" s="10" t="s">
        <v>11416</v>
      </c>
      <c r="C1376" s="8">
        <v>891.63</v>
      </c>
      <c r="D1376" s="15">
        <v>21.33</v>
      </c>
      <c r="AIK1376" s="8" t="s">
        <v>11416</v>
      </c>
      <c r="BCS1376" s="8" t="s">
        <v>11417</v>
      </c>
      <c r="BEO1376" s="8" t="s">
        <v>10423</v>
      </c>
      <c r="EAK1376" s="8" t="s">
        <v>523</v>
      </c>
    </row>
    <row r="1377" spans="1:150 1198:1977 2072:3032 3176:3849">
      <c r="A1377" s="8" t="s">
        <v>1305</v>
      </c>
      <c r="B1377" s="10" t="s">
        <v>14241</v>
      </c>
      <c r="C1377" s="8">
        <v>1167.27</v>
      </c>
      <c r="D1377" s="15">
        <v>22.4</v>
      </c>
      <c r="ATB1377" s="8" t="s">
        <v>14241</v>
      </c>
      <c r="BEN1377" s="8" t="s">
        <v>11418</v>
      </c>
      <c r="BGJ1377" s="8" t="s">
        <v>10424</v>
      </c>
      <c r="EBR1377" s="8" t="s">
        <v>524</v>
      </c>
    </row>
    <row r="1378" spans="1:150 1198:1977 2072:3032 3176:3849">
      <c r="A1378" s="8" t="s">
        <v>1305</v>
      </c>
      <c r="B1378" s="10" t="s">
        <v>11417</v>
      </c>
      <c r="C1378" s="8">
        <v>1190.67</v>
      </c>
      <c r="D1378" s="15">
        <v>106.67</v>
      </c>
      <c r="AXE1378" s="8" t="s">
        <v>11417</v>
      </c>
      <c r="BRL1378" s="8" t="s">
        <v>11419</v>
      </c>
      <c r="BTH1378" s="8" t="s">
        <v>10425</v>
      </c>
      <c r="ERA1378" s="8" t="s">
        <v>525</v>
      </c>
    </row>
    <row r="1379" spans="1:150 1198:1977 2072:3032 3176:3849">
      <c r="A1379" s="8" t="s">
        <v>1305</v>
      </c>
      <c r="B1379" s="10" t="s">
        <v>11419</v>
      </c>
      <c r="C1379" s="8">
        <v>1568</v>
      </c>
      <c r="D1379" s="15">
        <v>112</v>
      </c>
      <c r="AYY1379" s="8" t="s">
        <v>5104</v>
      </c>
      <c r="AYZ1379" s="8" t="s">
        <v>5104</v>
      </c>
      <c r="AZA1379" s="8" t="s">
        <v>5104</v>
      </c>
      <c r="BLX1379" s="8" t="s">
        <v>11419</v>
      </c>
      <c r="BRL1379" s="8" t="s">
        <v>11420</v>
      </c>
      <c r="BTH1379" s="8" t="s">
        <v>10426</v>
      </c>
    </row>
    <row r="1380" spans="1:150 1198:1977 2072:3032 3176:3849">
      <c r="A1380" s="8" t="s">
        <v>1305</v>
      </c>
      <c r="B1380" s="10" t="s">
        <v>11420</v>
      </c>
      <c r="C1380" s="8">
        <v>1626.67</v>
      </c>
      <c r="D1380" s="15">
        <v>53.33</v>
      </c>
      <c r="AYZ1380" s="8" t="s">
        <v>5749</v>
      </c>
      <c r="BAU1380" s="8" t="s">
        <v>5335</v>
      </c>
      <c r="BAV1380" s="8" t="s">
        <v>5335</v>
      </c>
      <c r="BAW1380" s="8" t="s">
        <v>5335</v>
      </c>
      <c r="BLX1380" s="8" t="s">
        <v>11420</v>
      </c>
      <c r="DDW1380" s="8" t="s">
        <v>11421</v>
      </c>
      <c r="DFS1380" s="8" t="s">
        <v>10427</v>
      </c>
    </row>
    <row r="1381" spans="1:150 1198:1977 2072:3032 3176:3849">
      <c r="A1381" s="8" t="s">
        <v>1305</v>
      </c>
      <c r="B1381" s="10" t="s">
        <v>11421</v>
      </c>
      <c r="C1381" s="8">
        <v>2572</v>
      </c>
      <c r="D1381" s="15">
        <v>106.67</v>
      </c>
      <c r="BEJ1381" s="8" t="s">
        <v>5750</v>
      </c>
      <c r="BGE1381" s="8" t="s">
        <v>5336</v>
      </c>
      <c r="BGF1381" s="8" t="s">
        <v>5336</v>
      </c>
      <c r="BGG1381" s="8" t="s">
        <v>5336</v>
      </c>
      <c r="CYI1381" s="8" t="s">
        <v>11421</v>
      </c>
      <c r="DEF1381" s="8" t="s">
        <v>11422</v>
      </c>
      <c r="DGB1381" s="8" t="s">
        <v>10428</v>
      </c>
    </row>
    <row r="1382" spans="1:150 1198:1977 2072:3032 3176:3849">
      <c r="A1382" s="8" t="s">
        <v>1305</v>
      </c>
      <c r="B1382" s="10" t="s">
        <v>11422</v>
      </c>
      <c r="C1382" s="8">
        <v>2634.67</v>
      </c>
      <c r="D1382" s="15">
        <v>53.33</v>
      </c>
      <c r="AYZ1382" s="8" t="s">
        <v>5121</v>
      </c>
      <c r="AZA1382" s="8" t="s">
        <v>5121</v>
      </c>
      <c r="BEN1382" s="8" t="s">
        <v>5751</v>
      </c>
      <c r="BGI1382" s="8" t="s">
        <v>5105</v>
      </c>
      <c r="BGJ1382" s="8" t="s">
        <v>5105</v>
      </c>
      <c r="BGK1382" s="8" t="s">
        <v>5105</v>
      </c>
      <c r="CYR1382" s="8" t="s">
        <v>11422</v>
      </c>
      <c r="DRD1382" s="8" t="s">
        <v>11423</v>
      </c>
      <c r="DSZ1382" s="8" t="s">
        <v>10429</v>
      </c>
    </row>
    <row r="1383" spans="1:150 1198:1977 2072:3032 3176:3849">
      <c r="A1383" s="8" t="s">
        <v>1305</v>
      </c>
      <c r="B1383" s="10" t="s">
        <v>11423</v>
      </c>
      <c r="C1383" s="8">
        <v>2970.67</v>
      </c>
      <c r="D1383" s="15">
        <v>53.33</v>
      </c>
      <c r="AYZ1383" s="8" t="s">
        <v>501</v>
      </c>
      <c r="BGJ1383" s="8" t="s">
        <v>5384</v>
      </c>
      <c r="BGK1383" s="8" t="s">
        <v>5384</v>
      </c>
      <c r="BIE1383" s="8" t="s">
        <v>5106</v>
      </c>
      <c r="BIF1383" s="8" t="s">
        <v>5106</v>
      </c>
      <c r="BIG1383" s="8" t="s">
        <v>5106</v>
      </c>
      <c r="DLP1383" s="8" t="s">
        <v>11423</v>
      </c>
      <c r="DRD1383" s="8" t="s">
        <v>11424</v>
      </c>
      <c r="DSZ1383" s="8" t="s">
        <v>10430</v>
      </c>
    </row>
    <row r="1384" spans="1:150 1198:1977 2072:3032 3176:3849">
      <c r="A1384" s="8" t="s">
        <v>1305</v>
      </c>
      <c r="B1384" s="10" t="s">
        <v>11424</v>
      </c>
      <c r="C1384" s="8">
        <v>2970.67</v>
      </c>
      <c r="D1384" s="15">
        <v>53.33</v>
      </c>
      <c r="BAI1384" s="8" t="s">
        <v>502</v>
      </c>
      <c r="BCE1384" s="8" t="s">
        <v>502</v>
      </c>
      <c r="BEA1384" s="8" t="s">
        <v>502</v>
      </c>
      <c r="BIF1384" s="8" t="s">
        <v>5345</v>
      </c>
      <c r="BIG1384" s="8" t="s">
        <v>5345</v>
      </c>
      <c r="BNT1384" s="8" t="s">
        <v>5752</v>
      </c>
      <c r="BPO1384" s="8" t="s">
        <v>5108</v>
      </c>
      <c r="BPP1384" s="8" t="s">
        <v>5108</v>
      </c>
      <c r="BPQ1384" s="8" t="s">
        <v>5108</v>
      </c>
      <c r="DLP1384" s="8" t="s">
        <v>11424</v>
      </c>
      <c r="EEB1384" s="8" t="s">
        <v>11425</v>
      </c>
      <c r="EFX1384" s="8" t="s">
        <v>10431</v>
      </c>
    </row>
    <row r="1385" spans="1:150 1198:1977 2072:3032 3176:3849">
      <c r="A1385" s="8" t="s">
        <v>1305</v>
      </c>
      <c r="B1385" s="10" t="s">
        <v>11425</v>
      </c>
      <c r="C1385" s="8">
        <v>3306.67</v>
      </c>
      <c r="D1385" s="15">
        <v>53.33</v>
      </c>
      <c r="AZO1385" s="8" t="s">
        <v>503</v>
      </c>
      <c r="BBK1385" s="8" t="s">
        <v>503</v>
      </c>
      <c r="BDG1385" s="8" t="s">
        <v>503</v>
      </c>
      <c r="BFC1385" s="8" t="s">
        <v>503</v>
      </c>
      <c r="BLX1385" s="8" t="s">
        <v>5123</v>
      </c>
      <c r="BLY1385" s="8" t="s">
        <v>5123</v>
      </c>
      <c r="BPI1385" s="8" t="s">
        <v>5753</v>
      </c>
      <c r="BRD1385" s="8" t="s">
        <v>5109</v>
      </c>
      <c r="BRE1385" s="8" t="s">
        <v>5109</v>
      </c>
      <c r="BRF1385" s="8" t="s">
        <v>5109</v>
      </c>
      <c r="DYN1385" s="8" t="s">
        <v>11425</v>
      </c>
    </row>
    <row r="1386" spans="1:150 1198:1977 2072:3032 3176:3849">
      <c r="A1386" s="8" t="s">
        <v>9934</v>
      </c>
      <c r="B1386" s="10" t="s">
        <v>14242</v>
      </c>
      <c r="C1386" s="8">
        <v>-561.6</v>
      </c>
      <c r="D1386" s="15">
        <v>28</v>
      </c>
      <c r="H1386" s="8" t="s">
        <v>14242</v>
      </c>
      <c r="BAV1386" s="8" t="s">
        <v>504</v>
      </c>
      <c r="BCR1386" s="8" t="s">
        <v>504</v>
      </c>
      <c r="BEN1386" s="8" t="s">
        <v>504</v>
      </c>
      <c r="BGJ1386" s="8" t="s">
        <v>504</v>
      </c>
      <c r="BPP1386" s="8" t="s">
        <v>5754</v>
      </c>
      <c r="BRK1386" s="8" t="s">
        <v>5110</v>
      </c>
      <c r="BRL1386" s="8" t="s">
        <v>5110</v>
      </c>
      <c r="BRM1386" s="8" t="s">
        <v>5110</v>
      </c>
      <c r="BTH1386" s="8" t="s">
        <v>5124</v>
      </c>
      <c r="BTI1386" s="8" t="s">
        <v>5124</v>
      </c>
    </row>
    <row r="1387" spans="1:150 1198:1977 2072:3032 3176:3849">
      <c r="A1387" s="8" t="s">
        <v>9934</v>
      </c>
      <c r="B1387" s="10" t="s">
        <v>11426</v>
      </c>
      <c r="C1387" s="8">
        <v>-187.2</v>
      </c>
      <c r="D1387" s="15">
        <v>2.8</v>
      </c>
      <c r="H1387" s="8" t="s">
        <v>11426</v>
      </c>
      <c r="AZI1387" s="8" t="s">
        <v>1745</v>
      </c>
      <c r="BDA1387" s="8" t="s">
        <v>496</v>
      </c>
      <c r="BEW1387" s="8" t="s">
        <v>496</v>
      </c>
      <c r="BGS1387" s="8" t="s">
        <v>496</v>
      </c>
      <c r="BIO1387" s="8" t="s">
        <v>496</v>
      </c>
      <c r="BRL1387" s="8" t="s">
        <v>5755</v>
      </c>
      <c r="BTG1387" s="8" t="s">
        <v>5337</v>
      </c>
      <c r="BTH1387" s="8" t="s">
        <v>5337</v>
      </c>
      <c r="BTI1387" s="8" t="s">
        <v>5337</v>
      </c>
      <c r="DWR1387" s="8" t="s">
        <v>5125</v>
      </c>
      <c r="DWS1387" s="8" t="s">
        <v>5125</v>
      </c>
    </row>
    <row r="1388" spans="1:150 1198:1977 2072:3032 3176:3849">
      <c r="A1388" s="8" t="s">
        <v>9934</v>
      </c>
      <c r="B1388" s="10" t="s">
        <v>11427</v>
      </c>
      <c r="C1388" s="8">
        <v>-130</v>
      </c>
      <c r="D1388" s="15">
        <v>16</v>
      </c>
      <c r="H1388" s="8" t="s">
        <v>11427</v>
      </c>
      <c r="AYZ1388" s="8" t="s">
        <v>1746</v>
      </c>
      <c r="BCR1388" s="8" t="s">
        <v>505</v>
      </c>
      <c r="BEN1388" s="8" t="s">
        <v>505</v>
      </c>
      <c r="BGJ1388" s="8" t="s">
        <v>505</v>
      </c>
      <c r="BIF1388" s="8" t="s">
        <v>505</v>
      </c>
      <c r="BVD1388" s="8" t="s">
        <v>5756</v>
      </c>
      <c r="BWY1388" s="8" t="s">
        <v>5338</v>
      </c>
      <c r="BWZ1388" s="8" t="s">
        <v>5338</v>
      </c>
      <c r="BXA1388" s="8" t="s">
        <v>5338</v>
      </c>
    </row>
    <row r="1389" spans="1:150 1198:1977 2072:3032 3176:3849">
      <c r="A1389" s="8" t="s">
        <v>9934</v>
      </c>
      <c r="B1389" s="10" t="s">
        <v>11428</v>
      </c>
      <c r="C1389" s="8">
        <v>13.6</v>
      </c>
      <c r="D1389" s="15">
        <v>14</v>
      </c>
      <c r="AJ1389" s="17" t="s">
        <v>11428</v>
      </c>
      <c r="AZU1389" s="8" t="s">
        <v>1747</v>
      </c>
      <c r="BDM1389" s="8" t="s">
        <v>506</v>
      </c>
      <c r="BFI1389" s="8" t="s">
        <v>506</v>
      </c>
      <c r="BHE1389" s="8" t="s">
        <v>506</v>
      </c>
      <c r="BJA1389" s="8" t="s">
        <v>506</v>
      </c>
      <c r="CAR1389" s="8" t="s">
        <v>5757</v>
      </c>
      <c r="CAS1389" s="8" t="s">
        <v>5757</v>
      </c>
      <c r="CCM1389" s="8" t="s">
        <v>5112</v>
      </c>
      <c r="CCN1389" s="8" t="s">
        <v>5112</v>
      </c>
      <c r="CCO1389" s="8" t="s">
        <v>5112</v>
      </c>
    </row>
    <row r="1390" spans="1:150 1198:1977 2072:3032 3176:3849">
      <c r="A1390" s="8" t="s">
        <v>9934</v>
      </c>
      <c r="B1390" s="10" t="s">
        <v>14243</v>
      </c>
      <c r="C1390" s="8">
        <v>49.67</v>
      </c>
      <c r="D1390" s="15">
        <v>5.6</v>
      </c>
      <c r="BK1390" s="8" t="s">
        <v>14243</v>
      </c>
      <c r="AYZ1390" s="8" t="s">
        <v>2166</v>
      </c>
      <c r="BAV1390" s="8" t="s">
        <v>1748</v>
      </c>
      <c r="BEN1390" s="8" t="s">
        <v>508</v>
      </c>
      <c r="BGJ1390" s="8" t="s">
        <v>508</v>
      </c>
      <c r="BIF1390" s="8" t="s">
        <v>508</v>
      </c>
      <c r="BKB1390" s="8" t="s">
        <v>508</v>
      </c>
      <c r="CPL1390" s="8" t="s">
        <v>5758</v>
      </c>
      <c r="CRG1390" s="8" t="s">
        <v>5339</v>
      </c>
      <c r="CRH1390" s="8" t="s">
        <v>5339</v>
      </c>
      <c r="CRI1390" s="8" t="s">
        <v>5339</v>
      </c>
    </row>
    <row r="1391" spans="1:150 1198:1977 2072:3032 3176:3849">
      <c r="A1391" s="8" t="s">
        <v>9934</v>
      </c>
      <c r="B1391" s="10" t="s">
        <v>14244</v>
      </c>
      <c r="C1391" s="8">
        <v>97</v>
      </c>
      <c r="D1391" s="15">
        <v>11.2</v>
      </c>
      <c r="DL1391" s="17" t="s">
        <v>14244</v>
      </c>
      <c r="AZO1391" s="8" t="s">
        <v>2167</v>
      </c>
      <c r="BBK1391" s="8" t="s">
        <v>1749</v>
      </c>
      <c r="BFC1391" s="8" t="s">
        <v>509</v>
      </c>
      <c r="BGY1391" s="8" t="s">
        <v>509</v>
      </c>
      <c r="BIU1391" s="8" t="s">
        <v>509</v>
      </c>
      <c r="BKQ1391" s="8" t="s">
        <v>509</v>
      </c>
      <c r="CRH1391" s="8" t="s">
        <v>5759</v>
      </c>
      <c r="CTC1391" s="8" t="s">
        <v>5113</v>
      </c>
      <c r="CTD1391" s="8" t="s">
        <v>5113</v>
      </c>
      <c r="CTE1391" s="8" t="s">
        <v>5113</v>
      </c>
    </row>
    <row r="1392" spans="1:150 1198:1977 2072:3032 3176:3849">
      <c r="A1392" s="8" t="s">
        <v>9934</v>
      </c>
      <c r="B1392" s="10" t="s">
        <v>14245</v>
      </c>
      <c r="C1392" s="8">
        <v>133.6</v>
      </c>
      <c r="D1392" s="15">
        <v>8</v>
      </c>
      <c r="ET1392" s="8" t="s">
        <v>14245</v>
      </c>
      <c r="BAE1392" s="8" t="s">
        <v>2168</v>
      </c>
      <c r="BCA1392" s="8" t="s">
        <v>1750</v>
      </c>
      <c r="BFS1392" s="8" t="s">
        <v>510</v>
      </c>
      <c r="BHO1392" s="8" t="s">
        <v>510</v>
      </c>
      <c r="BJK1392" s="8" t="s">
        <v>510</v>
      </c>
      <c r="BLG1392" s="8" t="s">
        <v>510</v>
      </c>
      <c r="CSD1392" s="8" t="s">
        <v>5760</v>
      </c>
      <c r="CTY1392" s="8" t="s">
        <v>5114</v>
      </c>
      <c r="CTZ1392" s="8" t="s">
        <v>5114</v>
      </c>
      <c r="CUA1392" s="8" t="s">
        <v>5114</v>
      </c>
    </row>
    <row r="1393" spans="1:296 1390:2037 2055:2889 3128:3849">
      <c r="A1393" s="8" t="s">
        <v>9934</v>
      </c>
      <c r="B1393" s="10" t="s">
        <v>14246</v>
      </c>
      <c r="C1393" s="8">
        <v>145</v>
      </c>
      <c r="D1393" s="15">
        <v>11.2</v>
      </c>
      <c r="FH1393" s="17" t="s">
        <v>14246</v>
      </c>
      <c r="BAL1393" s="8" t="s">
        <v>2169</v>
      </c>
      <c r="BCH1393" s="8" t="s">
        <v>1751</v>
      </c>
      <c r="BFZ1393" s="8" t="s">
        <v>511</v>
      </c>
      <c r="BHV1393" s="8" t="s">
        <v>511</v>
      </c>
      <c r="BJR1393" s="8" t="s">
        <v>511</v>
      </c>
      <c r="BLN1393" s="8" t="s">
        <v>511</v>
      </c>
      <c r="CSN1393" s="8" t="s">
        <v>5761</v>
      </c>
      <c r="CUI1393" s="8" t="s">
        <v>5115</v>
      </c>
      <c r="CUJ1393" s="8" t="s">
        <v>5115</v>
      </c>
      <c r="CUK1393" s="8" t="s">
        <v>5115</v>
      </c>
    </row>
    <row r="1394" spans="1:296 1390:2037 2055:2889 3128:3849">
      <c r="A1394" s="8" t="s">
        <v>9934</v>
      </c>
      <c r="B1394" s="10" t="s">
        <v>14247</v>
      </c>
      <c r="C1394" s="8">
        <v>168.13</v>
      </c>
      <c r="D1394" s="15">
        <v>14</v>
      </c>
      <c r="GH1394" s="8" t="s">
        <v>14247</v>
      </c>
      <c r="BAQ1394" s="8" t="s">
        <v>2170</v>
      </c>
      <c r="BCM1394" s="8" t="s">
        <v>1752</v>
      </c>
      <c r="BGE1394" s="8" t="s">
        <v>512</v>
      </c>
      <c r="BIA1394" s="8" t="s">
        <v>512</v>
      </c>
      <c r="BJW1394" s="8" t="s">
        <v>512</v>
      </c>
      <c r="BLS1394" s="8" t="s">
        <v>512</v>
      </c>
      <c r="CTD1394" s="8" t="s">
        <v>5762</v>
      </c>
      <c r="CTE1394" s="8" t="s">
        <v>5762</v>
      </c>
      <c r="CUY1394" s="8" t="s">
        <v>5116</v>
      </c>
      <c r="CUZ1394" s="8" t="s">
        <v>5116</v>
      </c>
      <c r="CVA1394" s="8" t="s">
        <v>5116</v>
      </c>
    </row>
    <row r="1395" spans="1:296 1390:2037 2055:2889 3128:3849">
      <c r="A1395" s="8" t="s">
        <v>9934</v>
      </c>
      <c r="B1395" s="10" t="s">
        <v>14248</v>
      </c>
      <c r="C1395" s="8">
        <v>202.6</v>
      </c>
      <c r="D1395" s="15">
        <v>2.8</v>
      </c>
      <c r="HE1395" s="8" t="s">
        <v>14248</v>
      </c>
      <c r="BDA1395" s="8" t="s">
        <v>2171</v>
      </c>
      <c r="BEW1395" s="8" t="s">
        <v>1753</v>
      </c>
      <c r="BIO1395" s="8" t="s">
        <v>513</v>
      </c>
      <c r="BKK1395" s="8" t="s">
        <v>513</v>
      </c>
      <c r="BMG1395" s="8" t="s">
        <v>513</v>
      </c>
      <c r="BOC1395" s="8" t="s">
        <v>513</v>
      </c>
      <c r="CUZ1395" s="8" t="s">
        <v>5763</v>
      </c>
      <c r="CWU1395" s="8" t="s">
        <v>5340</v>
      </c>
      <c r="CWV1395" s="8" t="s">
        <v>5340</v>
      </c>
      <c r="CWW1395" s="8" t="s">
        <v>5340</v>
      </c>
    </row>
    <row r="1396" spans="1:296 1390:2037 2055:2889 3128:3849">
      <c r="A1396" s="8" t="s">
        <v>9934</v>
      </c>
      <c r="B1396" s="10" t="s">
        <v>11430</v>
      </c>
      <c r="C1396" s="8">
        <v>206.4</v>
      </c>
      <c r="D1396" s="15">
        <v>2</v>
      </c>
      <c r="HH1396" s="8" t="s">
        <v>11430</v>
      </c>
      <c r="BKB1396" s="8" t="s">
        <v>2172</v>
      </c>
      <c r="BLX1396" s="8" t="s">
        <v>1754</v>
      </c>
      <c r="BPP1396" s="8" t="s">
        <v>1394</v>
      </c>
      <c r="BRL1396" s="8" t="s">
        <v>1394</v>
      </c>
      <c r="BTH1396" s="8" t="s">
        <v>1394</v>
      </c>
      <c r="BVD1396" s="8" t="s">
        <v>1394</v>
      </c>
      <c r="DEF1396" s="8" t="s">
        <v>5764</v>
      </c>
      <c r="DGA1396" s="8" t="s">
        <v>5341</v>
      </c>
      <c r="DGB1396" s="8" t="s">
        <v>5341</v>
      </c>
      <c r="DGC1396" s="8" t="s">
        <v>5341</v>
      </c>
    </row>
    <row r="1397" spans="1:296 1390:2037 2055:2889 3128:3849">
      <c r="A1397" s="8" t="s">
        <v>9934</v>
      </c>
      <c r="B1397" s="10" t="s">
        <v>11431</v>
      </c>
      <c r="C1397" s="8">
        <v>209.4</v>
      </c>
      <c r="D1397" s="15">
        <v>2</v>
      </c>
      <c r="HK1397" s="8" t="s">
        <v>11431</v>
      </c>
      <c r="BLX1397" s="8" t="s">
        <v>2173</v>
      </c>
      <c r="BNT1397" s="8" t="s">
        <v>1755</v>
      </c>
      <c r="BRL1397" s="8" t="s">
        <v>514</v>
      </c>
      <c r="BTH1397" s="8" t="s">
        <v>514</v>
      </c>
      <c r="BVD1397" s="8" t="s">
        <v>514</v>
      </c>
      <c r="BWZ1397" s="8" t="s">
        <v>514</v>
      </c>
      <c r="DPH1397" s="8" t="s">
        <v>5765</v>
      </c>
      <c r="DRC1397" s="8" t="s">
        <v>5342</v>
      </c>
      <c r="DRD1397" s="8" t="s">
        <v>5342</v>
      </c>
      <c r="DRE1397" s="8" t="s">
        <v>5342</v>
      </c>
    </row>
    <row r="1398" spans="1:296 1390:2037 2055:2889 3128:3849">
      <c r="A1398" s="8" t="s">
        <v>9934</v>
      </c>
      <c r="B1398" s="10" t="s">
        <v>14249</v>
      </c>
      <c r="C1398" s="8">
        <v>211.5</v>
      </c>
      <c r="D1398" s="15">
        <v>5.6</v>
      </c>
      <c r="HQ1398" s="8" t="s">
        <v>14249</v>
      </c>
      <c r="BNT1398" s="8" t="s">
        <v>2174</v>
      </c>
      <c r="BPP1398" s="8" t="s">
        <v>1756</v>
      </c>
      <c r="BTH1398" s="8" t="s">
        <v>682</v>
      </c>
      <c r="BVD1398" s="8" t="s">
        <v>682</v>
      </c>
      <c r="BWZ1398" s="8" t="s">
        <v>682</v>
      </c>
      <c r="BYV1398" s="8" t="s">
        <v>682</v>
      </c>
      <c r="EAJ1398" s="8" t="s">
        <v>5766</v>
      </c>
      <c r="ECE1398" s="8" t="s">
        <v>5343</v>
      </c>
      <c r="ECF1398" s="8" t="s">
        <v>5343</v>
      </c>
      <c r="ECG1398" s="8" t="s">
        <v>5343</v>
      </c>
    </row>
    <row r="1399" spans="1:296 1390:2037 2055:2889 3128:3849">
      <c r="A1399" s="8" t="s">
        <v>9934</v>
      </c>
      <c r="B1399" s="10" t="s">
        <v>14250</v>
      </c>
      <c r="C1399" s="8">
        <v>221.4</v>
      </c>
      <c r="D1399" s="15">
        <v>5.6</v>
      </c>
      <c r="IA1399" s="8" t="s">
        <v>14250</v>
      </c>
      <c r="BSQ1399" s="8" t="s">
        <v>2175</v>
      </c>
      <c r="BUM1399" s="8" t="s">
        <v>1757</v>
      </c>
      <c r="BYE1399" s="8" t="s">
        <v>515</v>
      </c>
      <c r="CAA1399" s="8" t="s">
        <v>515</v>
      </c>
      <c r="CBW1399" s="8" t="s">
        <v>515</v>
      </c>
      <c r="CDS1399" s="8" t="s">
        <v>515</v>
      </c>
      <c r="EEQ1399" s="8" t="s">
        <v>5767</v>
      </c>
      <c r="EGL1399" s="8" t="s">
        <v>5117</v>
      </c>
      <c r="EGM1399" s="8" t="s">
        <v>5117</v>
      </c>
      <c r="EGN1399" s="8" t="s">
        <v>5117</v>
      </c>
    </row>
    <row r="1400" spans="1:296 1390:2037 2055:2889 3128:3849">
      <c r="A1400" s="8" t="s">
        <v>9934</v>
      </c>
      <c r="B1400" s="10" t="s">
        <v>11432</v>
      </c>
      <c r="C1400" s="8">
        <v>228</v>
      </c>
      <c r="D1400" s="15">
        <v>4</v>
      </c>
      <c r="IF1400" s="8" t="s">
        <v>11432</v>
      </c>
      <c r="BVZ1400" s="8" t="s">
        <v>2176</v>
      </c>
      <c r="BXV1400" s="8" t="s">
        <v>1758</v>
      </c>
      <c r="CBN1400" s="8" t="s">
        <v>1395</v>
      </c>
      <c r="CDJ1400" s="8" t="s">
        <v>1395</v>
      </c>
      <c r="CFF1400" s="8" t="s">
        <v>1395</v>
      </c>
      <c r="CHB1400" s="8" t="s">
        <v>1395</v>
      </c>
      <c r="EFX1400" s="8" t="s">
        <v>5768</v>
      </c>
      <c r="EHS1400" s="8" t="s">
        <v>5118</v>
      </c>
      <c r="EHT1400" s="8" t="s">
        <v>5118</v>
      </c>
      <c r="EHU1400" s="8" t="s">
        <v>5118</v>
      </c>
    </row>
    <row r="1401" spans="1:296 1390:2037 2055:2889 3128:3849">
      <c r="A1401" s="8" t="s">
        <v>9934</v>
      </c>
      <c r="B1401" s="10" t="s">
        <v>11433</v>
      </c>
      <c r="C1401" s="8">
        <v>233</v>
      </c>
      <c r="D1401" s="15">
        <v>6</v>
      </c>
      <c r="IM1401" s="8" t="s">
        <v>11433</v>
      </c>
      <c r="BXF1401" s="8" t="s">
        <v>2177</v>
      </c>
      <c r="BZB1401" s="8" t="s">
        <v>1759</v>
      </c>
      <c r="CCT1401" s="8" t="s">
        <v>507</v>
      </c>
      <c r="CEP1401" s="8" t="s">
        <v>507</v>
      </c>
      <c r="CGL1401" s="8" t="s">
        <v>507</v>
      </c>
      <c r="CIH1401" s="8" t="s">
        <v>507</v>
      </c>
      <c r="EPD1401" s="8" t="s">
        <v>5769</v>
      </c>
      <c r="EQY1401" s="8" t="s">
        <v>5119</v>
      </c>
      <c r="EQZ1401" s="8" t="s">
        <v>5119</v>
      </c>
      <c r="ERA1401" s="8" t="s">
        <v>5119</v>
      </c>
    </row>
    <row r="1402" spans="1:296 1390:2037 2055:2889 3128:3849">
      <c r="A1402" s="8" t="s">
        <v>9934</v>
      </c>
      <c r="B1402" s="10" t="s">
        <v>11434</v>
      </c>
      <c r="C1402" s="8">
        <v>240</v>
      </c>
      <c r="D1402" s="15">
        <v>2</v>
      </c>
      <c r="IP1402" s="8" t="s">
        <v>11434</v>
      </c>
      <c r="BCA1402" s="8" t="s">
        <v>527</v>
      </c>
      <c r="BXM1402" s="8" t="s">
        <v>2178</v>
      </c>
      <c r="BZI1402" s="8" t="s">
        <v>1760</v>
      </c>
      <c r="CDA1402" s="8" t="s">
        <v>516</v>
      </c>
      <c r="CEW1402" s="8" t="s">
        <v>516</v>
      </c>
      <c r="CGS1402" s="8" t="s">
        <v>516</v>
      </c>
      <c r="CIO1402" s="8" t="s">
        <v>516</v>
      </c>
    </row>
    <row r="1403" spans="1:296 1390:2037 2055:2889 3128:3849">
      <c r="A1403" s="8" t="s">
        <v>9934</v>
      </c>
      <c r="B1403" s="10" t="s">
        <v>14251</v>
      </c>
      <c r="C1403" s="8">
        <v>243</v>
      </c>
      <c r="D1403" s="15">
        <v>11.2</v>
      </c>
      <c r="JB1403" s="8" t="s">
        <v>14251</v>
      </c>
      <c r="BCH1403" s="8" t="s">
        <v>528</v>
      </c>
      <c r="CAA1403" s="8" t="s">
        <v>2179</v>
      </c>
      <c r="CBW1403" s="8" t="s">
        <v>1761</v>
      </c>
      <c r="CFO1403" s="8" t="s">
        <v>497</v>
      </c>
      <c r="CHK1403" s="8" t="s">
        <v>497</v>
      </c>
      <c r="CJG1403" s="8" t="s">
        <v>497</v>
      </c>
      <c r="CLC1403" s="8" t="s">
        <v>497</v>
      </c>
    </row>
    <row r="1404" spans="1:296 1390:2037 2055:2889 3128:3849">
      <c r="A1404" s="8" t="s">
        <v>9934</v>
      </c>
      <c r="B1404" s="10" t="s">
        <v>14252</v>
      </c>
      <c r="C1404" s="8">
        <v>259.48</v>
      </c>
      <c r="D1404" s="15">
        <v>2.8</v>
      </c>
      <c r="JJ1404" s="8" t="s">
        <v>14252</v>
      </c>
      <c r="BCN1404" s="8" t="s">
        <v>529</v>
      </c>
      <c r="CAK1404" s="8" t="s">
        <v>2180</v>
      </c>
      <c r="CCG1404" s="8" t="s">
        <v>1762</v>
      </c>
      <c r="CFY1404" s="8" t="s">
        <v>517</v>
      </c>
      <c r="CHU1404" s="8" t="s">
        <v>517</v>
      </c>
      <c r="CJQ1404" s="8" t="s">
        <v>517</v>
      </c>
      <c r="CLM1404" s="8" t="s">
        <v>517</v>
      </c>
    </row>
    <row r="1405" spans="1:296 1390:2037 2055:2889 3128:3849">
      <c r="A1405" s="8" t="s">
        <v>9934</v>
      </c>
      <c r="B1405" s="10" t="s">
        <v>14253</v>
      </c>
      <c r="C1405" s="8">
        <v>263.27999999999997</v>
      </c>
      <c r="D1405" s="15">
        <v>2.8</v>
      </c>
      <c r="JN1405" s="8" t="s">
        <v>14253</v>
      </c>
      <c r="BEK1405" s="8" t="s">
        <v>530</v>
      </c>
      <c r="CAS1405" s="8" t="s">
        <v>2181</v>
      </c>
      <c r="CCO1405" s="8" t="s">
        <v>1763</v>
      </c>
      <c r="CGG1405" s="8" t="s">
        <v>518</v>
      </c>
      <c r="CIC1405" s="8" t="s">
        <v>518</v>
      </c>
      <c r="CJY1405" s="8" t="s">
        <v>518</v>
      </c>
      <c r="CLU1405" s="8" t="s">
        <v>518</v>
      </c>
    </row>
    <row r="1406" spans="1:296 1390:2037 2055:2889 3128:3849">
      <c r="A1406" s="8" t="s">
        <v>9934</v>
      </c>
      <c r="B1406" s="10" t="s">
        <v>14254</v>
      </c>
      <c r="C1406" s="8">
        <v>267.08</v>
      </c>
      <c r="D1406" s="15">
        <v>11.2</v>
      </c>
      <c r="JZ1406" s="8" t="s">
        <v>14254</v>
      </c>
      <c r="BEN1406" s="8" t="s">
        <v>531</v>
      </c>
      <c r="CGW1406" s="8" t="s">
        <v>2182</v>
      </c>
      <c r="CIS1406" s="8" t="s">
        <v>1764</v>
      </c>
      <c r="CMK1406" s="8" t="s">
        <v>519</v>
      </c>
      <c r="COG1406" s="8" t="s">
        <v>519</v>
      </c>
      <c r="CQC1406" s="8" t="s">
        <v>519</v>
      </c>
      <c r="CRY1406" s="8" t="s">
        <v>519</v>
      </c>
    </row>
    <row r="1407" spans="1:296 1390:2037 2055:2889 3128:3849">
      <c r="A1407" s="8" t="s">
        <v>9934</v>
      </c>
      <c r="B1407" s="10" t="s">
        <v>14255</v>
      </c>
      <c r="C1407" s="8">
        <v>280</v>
      </c>
      <c r="D1407" s="15">
        <v>8</v>
      </c>
      <c r="KJ1407" s="8" t="s">
        <v>14255</v>
      </c>
      <c r="BEW1407" s="8" t="s">
        <v>532</v>
      </c>
      <c r="CIB1407" s="8" t="s">
        <v>2183</v>
      </c>
      <c r="CJX1407" s="8" t="s">
        <v>1765</v>
      </c>
      <c r="CNP1407" s="8" t="s">
        <v>520</v>
      </c>
      <c r="CPL1407" s="8" t="s">
        <v>520</v>
      </c>
      <c r="CRH1407" s="8" t="s">
        <v>520</v>
      </c>
      <c r="CTD1407" s="8" t="s">
        <v>520</v>
      </c>
    </row>
    <row r="1408" spans="1:296 1390:2037 2055:2889 3128:3849">
      <c r="A1408" s="8" t="s">
        <v>9934</v>
      </c>
      <c r="B1408" s="10" t="s">
        <v>14256</v>
      </c>
      <c r="C1408" s="8">
        <v>281.67</v>
      </c>
      <c r="D1408" s="15">
        <v>2.8</v>
      </c>
      <c r="KF1408" s="19" t="s">
        <v>14256</v>
      </c>
      <c r="BGC1408" s="8" t="s">
        <v>533</v>
      </c>
      <c r="CPM1408" s="8" t="s">
        <v>2184</v>
      </c>
      <c r="CRI1408" s="8" t="s">
        <v>1766</v>
      </c>
      <c r="CVA1408" s="8" t="s">
        <v>521</v>
      </c>
      <c r="CWW1408" s="8" t="s">
        <v>521</v>
      </c>
      <c r="CYS1408" s="8" t="s">
        <v>521</v>
      </c>
      <c r="DAO1408" s="8" t="s">
        <v>521</v>
      </c>
    </row>
    <row r="1409" spans="1:652 1349:1928 2072:3066 3114:3609">
      <c r="A1409" s="8" t="s">
        <v>9934</v>
      </c>
      <c r="B1409" s="10" t="s">
        <v>14257</v>
      </c>
      <c r="C1409" s="8">
        <v>282.39999999999998</v>
      </c>
      <c r="D1409" s="15">
        <v>5.6</v>
      </c>
      <c r="KJ1409" s="8" t="s">
        <v>14257</v>
      </c>
      <c r="BGJ1409" s="8" t="s">
        <v>534</v>
      </c>
      <c r="CTD1409" s="8" t="s">
        <v>2185</v>
      </c>
      <c r="CUZ1409" s="8" t="s">
        <v>1767</v>
      </c>
      <c r="CYR1409" s="8" t="s">
        <v>522</v>
      </c>
      <c r="DAN1409" s="8" t="s">
        <v>522</v>
      </c>
      <c r="DCJ1409" s="8" t="s">
        <v>522</v>
      </c>
      <c r="DEF1409" s="8" t="s">
        <v>522</v>
      </c>
    </row>
    <row r="1410" spans="1:652 1349:1928 2072:3066 3114:3609">
      <c r="A1410" s="8" t="s">
        <v>9934</v>
      </c>
      <c r="B1410" s="10" t="s">
        <v>14258</v>
      </c>
      <c r="C1410" s="8">
        <v>285.47000000000003</v>
      </c>
      <c r="D1410" s="15">
        <v>5.6</v>
      </c>
      <c r="KM1410" s="8" t="s">
        <v>14258</v>
      </c>
      <c r="AYZ1410" s="8" t="s">
        <v>5129</v>
      </c>
      <c r="AZA1410" s="8" t="s">
        <v>5129</v>
      </c>
      <c r="BOT1410" s="8" t="s">
        <v>535</v>
      </c>
      <c r="CVE1410" s="8" t="s">
        <v>2186</v>
      </c>
      <c r="CXA1410" s="8" t="s">
        <v>1768</v>
      </c>
      <c r="DAS1410" s="8" t="s">
        <v>523</v>
      </c>
      <c r="DCO1410" s="8" t="s">
        <v>523</v>
      </c>
      <c r="DEK1410" s="8" t="s">
        <v>523</v>
      </c>
      <c r="DGG1410" s="8" t="s">
        <v>523</v>
      </c>
    </row>
    <row r="1411" spans="1:652 1349:1928 2072:3066 3114:3609">
      <c r="A1411" s="8" t="s">
        <v>9934</v>
      </c>
      <c r="B1411" s="10" t="s">
        <v>14259</v>
      </c>
      <c r="C1411" s="8">
        <v>292.07</v>
      </c>
      <c r="D1411" s="15">
        <v>8</v>
      </c>
      <c r="KV1411" s="17" t="s">
        <v>14259</v>
      </c>
      <c r="BHV1411" s="8" t="s">
        <v>5131</v>
      </c>
      <c r="BHW1411" s="8" t="s">
        <v>5131</v>
      </c>
      <c r="BUW1411" s="8" t="s">
        <v>536</v>
      </c>
      <c r="DHJ1411" s="8" t="s">
        <v>2187</v>
      </c>
      <c r="DJF1411" s="8" t="s">
        <v>1769</v>
      </c>
      <c r="DMX1411" s="8" t="s">
        <v>525</v>
      </c>
      <c r="DOT1411" s="8" t="s">
        <v>525</v>
      </c>
      <c r="DQP1411" s="8" t="s">
        <v>525</v>
      </c>
      <c r="DSL1411" s="8" t="s">
        <v>525</v>
      </c>
    </row>
    <row r="1412" spans="1:652 1349:1928 2072:3066 3114:3609">
      <c r="A1412" s="8" t="s">
        <v>9934</v>
      </c>
      <c r="B1412" s="10" t="s">
        <v>11435</v>
      </c>
      <c r="C1412" s="8">
        <v>301.07</v>
      </c>
      <c r="D1412" s="15">
        <v>6</v>
      </c>
      <c r="LC1412" s="8" t="s">
        <v>11435</v>
      </c>
      <c r="BIF1412" s="8" t="s">
        <v>5132</v>
      </c>
      <c r="BIG1412" s="8" t="s">
        <v>5132</v>
      </c>
      <c r="BVD1412" s="8" t="s">
        <v>537</v>
      </c>
      <c r="DWS1412" s="8" t="s">
        <v>2188</v>
      </c>
      <c r="DYO1412" s="8" t="s">
        <v>1770</v>
      </c>
      <c r="ECG1412" s="8" t="s">
        <v>526</v>
      </c>
      <c r="EEC1412" s="8" t="s">
        <v>526</v>
      </c>
      <c r="EFY1412" s="8" t="s">
        <v>526</v>
      </c>
      <c r="EHU1412" s="8" t="s">
        <v>526</v>
      </c>
    </row>
    <row r="1413" spans="1:652 1349:1928 2072:3066 3114:3609">
      <c r="A1413" s="8" t="s">
        <v>9934</v>
      </c>
      <c r="B1413" s="10" t="s">
        <v>14260</v>
      </c>
      <c r="C1413" s="8">
        <v>305</v>
      </c>
      <c r="D1413" s="15">
        <v>2.8</v>
      </c>
      <c r="LD1413" s="8" t="s">
        <v>14260</v>
      </c>
      <c r="BLX1413" s="8" t="s">
        <v>5133</v>
      </c>
      <c r="BLY1413" s="8" t="s">
        <v>5133</v>
      </c>
      <c r="CCN1413" s="8" t="s">
        <v>538</v>
      </c>
    </row>
    <row r="1414" spans="1:652 1349:1928 2072:3066 3114:3609">
      <c r="A1414" s="8" t="s">
        <v>9934</v>
      </c>
      <c r="B1414" s="10" t="s">
        <v>14261</v>
      </c>
      <c r="C1414" s="8">
        <v>311.87</v>
      </c>
      <c r="D1414" s="15">
        <v>11.2</v>
      </c>
      <c r="LS1414" s="8" t="s">
        <v>14261</v>
      </c>
      <c r="BAE1414" s="8" t="s">
        <v>1166</v>
      </c>
      <c r="BCA1414" s="8" t="s">
        <v>1166</v>
      </c>
      <c r="CEF1414" s="8" t="s">
        <v>539</v>
      </c>
      <c r="CWV1414" s="8" t="s">
        <v>5134</v>
      </c>
      <c r="CWW1414" s="8" t="s">
        <v>5134</v>
      </c>
    </row>
    <row r="1415" spans="1:652 1349:1928 2072:3066 3114:3609">
      <c r="A1415" s="8" t="s">
        <v>9934</v>
      </c>
      <c r="B1415" s="10" t="s">
        <v>11436</v>
      </c>
      <c r="C1415" s="8">
        <v>324.07</v>
      </c>
      <c r="D1415" s="15">
        <v>14</v>
      </c>
      <c r="MH1415" s="8" t="s">
        <v>11436</v>
      </c>
      <c r="BAL1415" s="8" t="s">
        <v>1167</v>
      </c>
      <c r="BCA1415" s="8" t="s">
        <v>1167</v>
      </c>
      <c r="BCH1415" s="8" t="s">
        <v>1167</v>
      </c>
      <c r="BCQ1415" s="8" t="s">
        <v>528</v>
      </c>
      <c r="CEJ1415" s="8" t="s">
        <v>540</v>
      </c>
      <c r="DBU1415" s="8" t="s">
        <v>5135</v>
      </c>
      <c r="DBV1415" s="8" t="s">
        <v>5135</v>
      </c>
    </row>
    <row r="1416" spans="1:652 1349:1928 2072:3066 3114:3609">
      <c r="A1416" s="8" t="s">
        <v>9934</v>
      </c>
      <c r="B1416" s="10" t="s">
        <v>11439</v>
      </c>
      <c r="C1416" s="8">
        <v>337</v>
      </c>
      <c r="D1416" s="15">
        <v>33.6</v>
      </c>
      <c r="NO1416" s="8" t="s">
        <v>11439</v>
      </c>
      <c r="BAR1416" s="19" t="s">
        <v>1168</v>
      </c>
      <c r="BCH1416" s="8" t="s">
        <v>1168</v>
      </c>
      <c r="BCN1416" s="8" t="s">
        <v>1168</v>
      </c>
      <c r="CIB1416" s="8" t="s">
        <v>541</v>
      </c>
      <c r="DGB1416" s="8" t="s">
        <v>5136</v>
      </c>
      <c r="DGC1416" s="8" t="s">
        <v>5136</v>
      </c>
    </row>
    <row r="1417" spans="1:652 1349:1928 2072:3066 3114:3609">
      <c r="A1417" s="8" t="s">
        <v>9934</v>
      </c>
      <c r="B1417" s="10" t="s">
        <v>11440</v>
      </c>
      <c r="C1417" s="8">
        <v>339.07</v>
      </c>
      <c r="D1417" s="15">
        <v>22.4</v>
      </c>
      <c r="NE1417" s="8" t="s">
        <v>11440</v>
      </c>
      <c r="BAR1417" s="19" t="s">
        <v>1169</v>
      </c>
      <c r="BAS1417" s="8" t="s">
        <v>530</v>
      </c>
      <c r="BCN1417" s="8" t="s">
        <v>530</v>
      </c>
      <c r="BCO1417" s="8" t="s">
        <v>1169</v>
      </c>
      <c r="BEK1417" s="8" t="s">
        <v>1169</v>
      </c>
      <c r="CIQ1417" s="8" t="s">
        <v>542</v>
      </c>
    </row>
    <row r="1418" spans="1:652 1349:1928 2072:3066 3114:3609">
      <c r="A1418" s="8" t="s">
        <v>9934</v>
      </c>
      <c r="B1418" s="10" t="s">
        <v>14262</v>
      </c>
      <c r="C1418" s="8">
        <v>371.6</v>
      </c>
      <c r="D1418" s="15">
        <v>2.8</v>
      </c>
      <c r="NR1418" s="8" t="s">
        <v>14262</v>
      </c>
      <c r="AYW1418" s="8" t="s">
        <v>531</v>
      </c>
      <c r="BBI1418" s="8" t="s">
        <v>531</v>
      </c>
      <c r="BCO1418" s="8" t="s">
        <v>1170</v>
      </c>
      <c r="BDA1418" s="8" t="s">
        <v>1170</v>
      </c>
      <c r="BEK1418" s="8" t="s">
        <v>531</v>
      </c>
      <c r="BEW1418" s="8" t="s">
        <v>1170</v>
      </c>
      <c r="DEF1418" s="8" t="s">
        <v>543</v>
      </c>
    </row>
    <row r="1419" spans="1:652 1349:1928 2072:3066 3114:3609">
      <c r="A1419" s="8" t="s">
        <v>9934</v>
      </c>
      <c r="B1419" s="10" t="s">
        <v>11437</v>
      </c>
      <c r="C1419" s="8">
        <v>375.4</v>
      </c>
      <c r="D1419" s="15">
        <v>16.8</v>
      </c>
      <c r="OJ1419" s="8" t="s">
        <v>11437</v>
      </c>
      <c r="AZI1419" s="8" t="s">
        <v>533</v>
      </c>
      <c r="BEG1419" s="8" t="s">
        <v>1171</v>
      </c>
      <c r="BEW1419" s="8" t="s">
        <v>1171</v>
      </c>
      <c r="BEY1419" s="8" t="s">
        <v>533</v>
      </c>
      <c r="BGC1419" s="8" t="s">
        <v>1171</v>
      </c>
      <c r="EHD1419" s="8" t="s">
        <v>683</v>
      </c>
    </row>
    <row r="1420" spans="1:652 1349:1928 2072:3066 3114:3609">
      <c r="A1420" s="8" t="s">
        <v>9934</v>
      </c>
      <c r="B1420" s="10" t="s">
        <v>11441</v>
      </c>
      <c r="C1420" s="8">
        <v>393.2</v>
      </c>
      <c r="D1420" s="15">
        <v>33.6</v>
      </c>
      <c r="PS1420" s="8" t="s">
        <v>11441</v>
      </c>
      <c r="BAO1420" s="8" t="s">
        <v>534</v>
      </c>
      <c r="BEN1420" s="8" t="s">
        <v>1172</v>
      </c>
      <c r="BGC1420" s="8" t="s">
        <v>1172</v>
      </c>
      <c r="BGJ1420" s="8" t="s">
        <v>1172</v>
      </c>
      <c r="BHI1420" s="8" t="s">
        <v>534</v>
      </c>
      <c r="EHT1420" s="8" t="s">
        <v>544</v>
      </c>
    </row>
    <row r="1421" spans="1:652 1349:1928 2072:3066 3114:3609">
      <c r="A1421" s="8" t="s">
        <v>9934</v>
      </c>
      <c r="B1421" s="10" t="s">
        <v>14263</v>
      </c>
      <c r="C1421" s="8">
        <v>427.8</v>
      </c>
      <c r="D1421" s="15">
        <v>2.8</v>
      </c>
      <c r="PW1421" s="8" t="s">
        <v>14263</v>
      </c>
      <c r="BAV1421" s="8" t="s">
        <v>535</v>
      </c>
      <c r="BGJ1421" s="8" t="s">
        <v>535</v>
      </c>
      <c r="BMX1421" s="8" t="s">
        <v>1173</v>
      </c>
      <c r="BOT1421" s="8" t="s">
        <v>1173</v>
      </c>
    </row>
    <row r="1422" spans="1:652 1349:1928 2072:3066 3114:3609">
      <c r="A1422" s="8" t="s">
        <v>9934</v>
      </c>
      <c r="B1422" s="10" t="s">
        <v>14264</v>
      </c>
      <c r="C1422" s="8">
        <v>625</v>
      </c>
      <c r="D1422" s="15">
        <v>2.8</v>
      </c>
      <c r="XL1422" s="8" t="s">
        <v>14264</v>
      </c>
      <c r="BJF1422" s="8" t="s">
        <v>536</v>
      </c>
      <c r="BKD1422" s="8" t="s">
        <v>536</v>
      </c>
      <c r="BOT1422" s="8" t="s">
        <v>536</v>
      </c>
      <c r="BTA1422" s="8" t="s">
        <v>1174</v>
      </c>
      <c r="BUW1422" s="8" t="s">
        <v>1174</v>
      </c>
    </row>
    <row r="1423" spans="1:652 1349:1928 2072:3066 3114:3609">
      <c r="A1423" s="8" t="s">
        <v>9934</v>
      </c>
      <c r="B1423" s="10" t="s">
        <v>14265</v>
      </c>
      <c r="C1423" s="8">
        <v>628.79999999999995</v>
      </c>
      <c r="D1423" s="15">
        <v>11.2</v>
      </c>
      <c r="XX1423" s="8" t="s">
        <v>14265</v>
      </c>
      <c r="BPI1423" s="8" t="s">
        <v>537</v>
      </c>
      <c r="BTH1423" s="8" t="s">
        <v>1175</v>
      </c>
      <c r="BUW1423" s="8" t="s">
        <v>1175</v>
      </c>
      <c r="BVD1423" s="8" t="s">
        <v>1175</v>
      </c>
    </row>
    <row r="1424" spans="1:652 1349:1928 2072:3066 3114:3609">
      <c r="A1424" s="8" t="s">
        <v>9934</v>
      </c>
      <c r="B1424" s="10" t="s">
        <v>14266</v>
      </c>
      <c r="C1424" s="8">
        <v>641</v>
      </c>
      <c r="D1424" s="15">
        <v>2.8</v>
      </c>
      <c r="YB1424" s="8" t="s">
        <v>14266</v>
      </c>
      <c r="BMU1424" s="8" t="s">
        <v>538</v>
      </c>
      <c r="BNT1424" s="8" t="s">
        <v>1176</v>
      </c>
      <c r="BPP1424" s="8" t="s">
        <v>538</v>
      </c>
      <c r="BVD1424" s="8" t="s">
        <v>538</v>
      </c>
      <c r="CAR1424" s="8" t="s">
        <v>1176</v>
      </c>
      <c r="CCN1424" s="8" t="s">
        <v>1176</v>
      </c>
    </row>
    <row r="1425" spans="1:823 1352:2024 2053:2840 3224:3608 6985:7016">
      <c r="A1425" s="8" t="s">
        <v>9934</v>
      </c>
      <c r="B1425" s="10" t="s">
        <v>14267</v>
      </c>
      <c r="C1425" s="8">
        <v>644.79999999999995</v>
      </c>
      <c r="D1425" s="15">
        <v>5.6</v>
      </c>
      <c r="YH1425" s="8" t="s">
        <v>14267</v>
      </c>
      <c r="BWZ1425" s="8" t="s">
        <v>539</v>
      </c>
      <c r="CAR1425" s="8" t="s">
        <v>1177</v>
      </c>
      <c r="CBC1425" s="8" t="s">
        <v>539</v>
      </c>
      <c r="CCJ1425" s="8" t="s">
        <v>1177</v>
      </c>
      <c r="CCN1425" s="8" t="s">
        <v>539</v>
      </c>
      <c r="CEF1425" s="8" t="s">
        <v>1177</v>
      </c>
    </row>
    <row r="1426" spans="1:823 1352:2024 2053:2840 3224:3608 6985:7016">
      <c r="A1426" s="8" t="s">
        <v>9934</v>
      </c>
      <c r="B1426" s="10" t="s">
        <v>14268</v>
      </c>
      <c r="C1426" s="8">
        <v>652.07000000000005</v>
      </c>
      <c r="D1426" s="15">
        <v>2.8</v>
      </c>
      <c r="YM1426" s="8" t="s">
        <v>14268</v>
      </c>
      <c r="BYR1426" s="8" t="s">
        <v>540</v>
      </c>
      <c r="CCN1426" s="8" t="s">
        <v>1178</v>
      </c>
      <c r="CEF1426" s="8" t="s">
        <v>1178</v>
      </c>
      <c r="CEJ1426" s="8" t="s">
        <v>1178</v>
      </c>
      <c r="CEW1426" s="8" t="s">
        <v>540</v>
      </c>
    </row>
    <row r="1427" spans="1:823 1352:2024 2053:2840 3224:3608 6985:7016">
      <c r="A1427" s="8" t="s">
        <v>9934</v>
      </c>
      <c r="B1427" s="10" t="s">
        <v>14269</v>
      </c>
      <c r="C1427" s="8">
        <v>655.87</v>
      </c>
      <c r="D1427" s="15">
        <v>8.4</v>
      </c>
      <c r="YV1427" s="8" t="s">
        <v>14269</v>
      </c>
      <c r="BYV1427" s="8" t="s">
        <v>541</v>
      </c>
      <c r="CAO1427" s="8" t="s">
        <v>541</v>
      </c>
      <c r="CAR1427" s="8" t="s">
        <v>1179</v>
      </c>
      <c r="CEJ1427" s="8" t="s">
        <v>541</v>
      </c>
      <c r="CGF1427" s="8" t="s">
        <v>1179</v>
      </c>
      <c r="CIB1427" s="8" t="s">
        <v>1179</v>
      </c>
    </row>
    <row r="1428" spans="1:823 1352:2024 2053:2840 3224:3608 6985:7016">
      <c r="A1428" s="8" t="s">
        <v>9934</v>
      </c>
      <c r="B1428" s="10" t="s">
        <v>14270</v>
      </c>
      <c r="C1428" s="8">
        <v>665.27</v>
      </c>
      <c r="D1428" s="15">
        <v>2.8</v>
      </c>
      <c r="YZ1428" s="19" t="s">
        <v>14270</v>
      </c>
      <c r="CCN1428" s="8" t="s">
        <v>542</v>
      </c>
      <c r="CFB1428" s="8" t="s">
        <v>542</v>
      </c>
      <c r="CGF1428" s="8" t="s">
        <v>1180</v>
      </c>
      <c r="CGU1428" s="8" t="s">
        <v>1180</v>
      </c>
      <c r="CIB1428" s="8" t="s">
        <v>542</v>
      </c>
      <c r="CIQ1428" s="8" t="s">
        <v>1180</v>
      </c>
    </row>
    <row r="1429" spans="1:823 1352:2024 2053:2840 3224:3608 6985:7016">
      <c r="A1429" s="8" t="s">
        <v>9934</v>
      </c>
      <c r="B1429" s="10" t="s">
        <v>14271</v>
      </c>
      <c r="C1429" s="8">
        <v>669.07</v>
      </c>
      <c r="D1429" s="15">
        <v>2.8</v>
      </c>
      <c r="ZD1429" s="8" t="s">
        <v>14271</v>
      </c>
      <c r="BOI1429" s="8" t="s">
        <v>1181</v>
      </c>
      <c r="BPM1429" s="8" t="s">
        <v>543</v>
      </c>
      <c r="CDC1429" s="8" t="s">
        <v>543</v>
      </c>
      <c r="CIQ1429" s="8" t="s">
        <v>543</v>
      </c>
      <c r="DCJ1429" s="8" t="s">
        <v>1181</v>
      </c>
      <c r="DEF1429" s="8" t="s">
        <v>1181</v>
      </c>
    </row>
    <row r="1430" spans="1:823 1352:2024 2053:2840 3224:3608 6985:7016">
      <c r="A1430" s="8" t="s">
        <v>9934</v>
      </c>
      <c r="B1430" s="10" t="s">
        <v>14272</v>
      </c>
      <c r="C1430" s="8">
        <v>672.87</v>
      </c>
      <c r="D1430" s="15">
        <v>5.6</v>
      </c>
      <c r="ZJ1430" s="8" t="s">
        <v>14272</v>
      </c>
      <c r="AYZ1430" s="8" t="s">
        <v>683</v>
      </c>
      <c r="AZX1430" s="8" t="s">
        <v>683</v>
      </c>
      <c r="BAV1430" s="8" t="s">
        <v>1182</v>
      </c>
      <c r="BCR1430" s="8" t="s">
        <v>5770</v>
      </c>
      <c r="BCS1430" s="8" t="s">
        <v>5770</v>
      </c>
      <c r="BEM1430" s="8" t="s">
        <v>5122</v>
      </c>
      <c r="BEN1430" s="8" t="s">
        <v>5122</v>
      </c>
      <c r="BEO1430" s="8" t="s">
        <v>5122</v>
      </c>
      <c r="BZY1430" s="8" t="s">
        <v>683</v>
      </c>
      <c r="CAR1430" s="8" t="s">
        <v>1182</v>
      </c>
      <c r="CYR1430" s="8" t="s">
        <v>683</v>
      </c>
      <c r="DEF1430" s="8" t="s">
        <v>683</v>
      </c>
      <c r="EFH1430" s="8" t="s">
        <v>1182</v>
      </c>
      <c r="EHD1430" s="8" t="s">
        <v>1182</v>
      </c>
    </row>
    <row r="1431" spans="1:823 1352:2024 2053:2840 3224:3608 6985:7016">
      <c r="A1431" s="8" t="s">
        <v>9934</v>
      </c>
      <c r="B1431" s="10" t="s">
        <v>11438</v>
      </c>
      <c r="C1431" s="8">
        <v>684.13</v>
      </c>
      <c r="D1431" s="15">
        <v>5.6</v>
      </c>
      <c r="ZV1431" s="8" t="s">
        <v>11438</v>
      </c>
      <c r="BFF1431" s="8" t="s">
        <v>5771</v>
      </c>
      <c r="BHA1431" s="8" t="s">
        <v>5344</v>
      </c>
      <c r="BHB1431" s="8" t="s">
        <v>5344</v>
      </c>
      <c r="BHC1431" s="8" t="s">
        <v>5344</v>
      </c>
      <c r="BNL1431" s="8" t="s">
        <v>544</v>
      </c>
      <c r="BOJ1431" s="8" t="s">
        <v>544</v>
      </c>
      <c r="BPH1431" s="8" t="s">
        <v>1183</v>
      </c>
      <c r="EBP1431" s="8" t="s">
        <v>544</v>
      </c>
      <c r="EFX1431" s="8" t="s">
        <v>1183</v>
      </c>
      <c r="EHD1431" s="8" t="s">
        <v>1183</v>
      </c>
      <c r="EHN1431" s="8" t="s">
        <v>544</v>
      </c>
      <c r="EHT1431" s="8" t="s">
        <v>1183</v>
      </c>
    </row>
    <row r="1432" spans="1:823 1352:2024 2053:2840 3224:3608 6985:7016">
      <c r="A1432" s="8" t="s">
        <v>9934</v>
      </c>
      <c r="B1432" s="10" t="s">
        <v>14273</v>
      </c>
      <c r="C1432" s="8">
        <v>691.07</v>
      </c>
      <c r="D1432" s="15">
        <v>5.6</v>
      </c>
      <c r="AAC1432" s="8" t="s">
        <v>14273</v>
      </c>
      <c r="BIF1432" s="8" t="s">
        <v>5772</v>
      </c>
      <c r="BIG1432" s="8" t="s">
        <v>5772</v>
      </c>
      <c r="BKA1432" s="8" t="s">
        <v>5123</v>
      </c>
      <c r="BKB1432" s="8" t="s">
        <v>5123</v>
      </c>
      <c r="BKC1432" s="8" t="s">
        <v>5123</v>
      </c>
      <c r="BNT1432" s="8" t="s">
        <v>545</v>
      </c>
      <c r="BOR1432" s="8" t="s">
        <v>545</v>
      </c>
      <c r="BPP1432" s="8" t="s">
        <v>1278</v>
      </c>
      <c r="ECF1432" s="8" t="s">
        <v>545</v>
      </c>
      <c r="EHT1432" s="8" t="s">
        <v>545</v>
      </c>
      <c r="JHQ1432" s="8" t="s">
        <v>545</v>
      </c>
      <c r="JIV1432" s="8" t="s">
        <v>1278</v>
      </c>
    </row>
    <row r="1433" spans="1:823 1352:2024 2053:2840 3224:3608 6985:7016">
      <c r="A1433" s="8" t="s">
        <v>9934</v>
      </c>
      <c r="B1433" s="10" t="s">
        <v>14274</v>
      </c>
      <c r="C1433" s="8">
        <v>697.67</v>
      </c>
      <c r="D1433" s="15">
        <v>2.8</v>
      </c>
      <c r="AAF1433" s="17" t="s">
        <v>14274</v>
      </c>
      <c r="BPP1433" s="8" t="s">
        <v>5773</v>
      </c>
      <c r="BPQ1433" s="8" t="s">
        <v>5773</v>
      </c>
      <c r="BRK1433" s="8" t="s">
        <v>5124</v>
      </c>
      <c r="BRL1433" s="8" t="s">
        <v>5124</v>
      </c>
      <c r="BRM1433" s="8" t="s">
        <v>5124</v>
      </c>
    </row>
    <row r="1434" spans="1:823 1352:2024 2053:2840 3224:3608 6985:7016">
      <c r="A1434" s="8" t="s">
        <v>9934</v>
      </c>
      <c r="B1434" s="10" t="s">
        <v>11442</v>
      </c>
      <c r="C1434" s="8">
        <v>701.47</v>
      </c>
      <c r="D1434" s="15">
        <v>2.8</v>
      </c>
      <c r="AAJ1434" s="8" t="s">
        <v>11442</v>
      </c>
      <c r="DSZ1434" s="8" t="s">
        <v>5774</v>
      </c>
      <c r="DTA1434" s="8" t="s">
        <v>5774</v>
      </c>
      <c r="DUU1434" s="8" t="s">
        <v>5125</v>
      </c>
      <c r="DUV1434" s="8" t="s">
        <v>5125</v>
      </c>
      <c r="DUW1434" s="8" t="s">
        <v>5125</v>
      </c>
    </row>
    <row r="1435" spans="1:823 1352:2024 2053:2840 3224:3608 6985:7016">
      <c r="A1435" s="8" t="s">
        <v>9934</v>
      </c>
      <c r="B1435" s="10" t="s">
        <v>11443</v>
      </c>
      <c r="C1435" s="8">
        <v>705.27</v>
      </c>
      <c r="D1435" s="15">
        <v>2.8</v>
      </c>
      <c r="AAN1435" s="8" t="s">
        <v>11443</v>
      </c>
    </row>
    <row r="1436" spans="1:823 1352:2024 2053:2840 3224:3608 6985:7016">
      <c r="A1436" s="8" t="s">
        <v>9934</v>
      </c>
      <c r="B1436" s="10" t="s">
        <v>11444</v>
      </c>
      <c r="C1436" s="8">
        <v>716.33</v>
      </c>
      <c r="D1436" s="15">
        <v>8</v>
      </c>
      <c r="ABD1436" s="8" t="s">
        <v>11444</v>
      </c>
    </row>
    <row r="1437" spans="1:823 1352:2024 2053:2840 3224:3608 6985:7016">
      <c r="A1437" s="8" t="s">
        <v>9934</v>
      </c>
      <c r="B1437" s="10" t="s">
        <v>14275</v>
      </c>
      <c r="C1437" s="8">
        <v>752.93</v>
      </c>
      <c r="D1437" s="15">
        <v>8</v>
      </c>
      <c r="ACO1437" s="8" t="s">
        <v>14275</v>
      </c>
    </row>
    <row r="1438" spans="1:823 1352:2024 2053:2840 3224:3608 6985:7016">
      <c r="A1438" s="8" t="s">
        <v>9934</v>
      </c>
      <c r="B1438" s="10" t="s">
        <v>11447</v>
      </c>
      <c r="C1438" s="8">
        <v>770.93</v>
      </c>
      <c r="D1438" s="15">
        <v>5.6</v>
      </c>
      <c r="ADE1438" s="8" t="s">
        <v>11447</v>
      </c>
    </row>
    <row r="1439" spans="1:823 1352:2024 2053:2840 3224:3608 6985:7016">
      <c r="A1439" s="8" t="s">
        <v>9934</v>
      </c>
      <c r="B1439" s="10" t="s">
        <v>11448</v>
      </c>
      <c r="C1439" s="8">
        <v>777.53</v>
      </c>
      <c r="D1439" s="15">
        <v>5.6</v>
      </c>
      <c r="ADK1439" s="8" t="s">
        <v>11448</v>
      </c>
      <c r="BAR1439" s="19" t="s">
        <v>1345</v>
      </c>
    </row>
    <row r="1440" spans="1:823 1352:2024 2053:2840 3224:3608 6985:7016">
      <c r="A1440" s="8" t="s">
        <v>9934</v>
      </c>
      <c r="B1440" s="10" t="s">
        <v>14276</v>
      </c>
      <c r="C1440" s="8">
        <v>807.13</v>
      </c>
      <c r="D1440" s="15">
        <v>8</v>
      </c>
      <c r="AEQ1440" s="8" t="s">
        <v>14276</v>
      </c>
      <c r="AYZ1440" s="8" t="s">
        <v>501</v>
      </c>
      <c r="BAV1440" s="8" t="s">
        <v>501</v>
      </c>
    </row>
    <row r="1441" spans="1:1007 1112:2024 2072:2840 3368:3416 4280:4280">
      <c r="A1441" s="8" t="s">
        <v>9934</v>
      </c>
      <c r="B1441" s="10" t="s">
        <v>14277</v>
      </c>
      <c r="C1441" s="8">
        <v>816.13</v>
      </c>
      <c r="D1441" s="15">
        <v>5.6</v>
      </c>
      <c r="AEX1441" s="8" t="s">
        <v>14277</v>
      </c>
      <c r="BEA1441" s="8" t="s">
        <v>502</v>
      </c>
      <c r="BFW1441" s="8" t="s">
        <v>502</v>
      </c>
    </row>
    <row r="1442" spans="1:1007 1112:2024 2072:2840 3368:3416 4280:4280">
      <c r="A1442" s="8" t="s">
        <v>9934</v>
      </c>
      <c r="B1442" s="10" t="s">
        <v>11449</v>
      </c>
      <c r="C1442" s="8">
        <v>822.73</v>
      </c>
      <c r="D1442" s="15">
        <v>8</v>
      </c>
      <c r="AFG1442" s="8" t="s">
        <v>11449</v>
      </c>
      <c r="BFC1442" s="8" t="s">
        <v>503</v>
      </c>
      <c r="BGY1442" s="8" t="s">
        <v>503</v>
      </c>
    </row>
    <row r="1443" spans="1:1007 1112:2024 2072:2840 3368:3416 4280:4280">
      <c r="A1443" s="8" t="s">
        <v>9934</v>
      </c>
      <c r="B1443" s="10" t="s">
        <v>11450</v>
      </c>
      <c r="C1443" s="8">
        <v>831.73</v>
      </c>
      <c r="D1443" s="15">
        <v>8</v>
      </c>
      <c r="AFP1443" s="8" t="s">
        <v>11450</v>
      </c>
      <c r="BGJ1443" s="8" t="s">
        <v>504</v>
      </c>
      <c r="BIF1443" s="8" t="s">
        <v>504</v>
      </c>
    </row>
    <row r="1444" spans="1:1007 1112:2024 2072:2840 3368:3416 4280:4280">
      <c r="A1444" s="8" t="s">
        <v>9934</v>
      </c>
      <c r="B1444" s="10" t="s">
        <v>11451</v>
      </c>
      <c r="C1444" s="8">
        <v>840.73</v>
      </c>
      <c r="D1444" s="15">
        <v>8</v>
      </c>
      <c r="AFY1444" s="8" t="s">
        <v>11451</v>
      </c>
      <c r="BIO1444" s="8" t="s">
        <v>496</v>
      </c>
      <c r="BKK1444" s="8" t="s">
        <v>496</v>
      </c>
    </row>
    <row r="1445" spans="1:1007 1112:2024 2072:2840 3368:3416 4280:4280">
      <c r="A1445" s="8" t="s">
        <v>9934</v>
      </c>
      <c r="B1445" s="10" t="s">
        <v>11452</v>
      </c>
      <c r="C1445" s="8">
        <v>849.73</v>
      </c>
      <c r="D1445" s="15">
        <v>4</v>
      </c>
      <c r="AGD1445" s="8" t="s">
        <v>11452</v>
      </c>
      <c r="BIF1445" s="8" t="s">
        <v>505</v>
      </c>
      <c r="BKB1445" s="8" t="s">
        <v>505</v>
      </c>
    </row>
    <row r="1446" spans="1:1007 1112:2024 2072:2840 3368:3416 4280:4280">
      <c r="A1446" s="8" t="s">
        <v>9934</v>
      </c>
      <c r="B1446" s="10" t="s">
        <v>11453</v>
      </c>
      <c r="C1446" s="8">
        <v>854.73</v>
      </c>
      <c r="D1446" s="15">
        <v>8</v>
      </c>
      <c r="AGM1446" s="8" t="s">
        <v>11453</v>
      </c>
      <c r="BAV1446" s="8" t="s">
        <v>546</v>
      </c>
      <c r="BJA1446" s="8" t="s">
        <v>506</v>
      </c>
      <c r="BKW1446" s="8" t="s">
        <v>506</v>
      </c>
    </row>
    <row r="1447" spans="1:1007 1112:2024 2072:2840 3368:3416 4280:4280">
      <c r="A1447" s="8" t="s">
        <v>9934</v>
      </c>
      <c r="B1447" s="10" t="s">
        <v>11454</v>
      </c>
      <c r="C1447" s="8">
        <v>863.73</v>
      </c>
      <c r="D1447" s="15">
        <v>8</v>
      </c>
      <c r="AGV1447" s="8" t="s">
        <v>11454</v>
      </c>
      <c r="BKB1447" s="8" t="s">
        <v>508</v>
      </c>
      <c r="BLX1447" s="8" t="s">
        <v>508</v>
      </c>
    </row>
    <row r="1448" spans="1:1007 1112:2024 2072:2840 3368:3416 4280:4280">
      <c r="A1448" s="8" t="s">
        <v>9934</v>
      </c>
      <c r="B1448" s="10" t="s">
        <v>11455</v>
      </c>
      <c r="C1448" s="8">
        <v>990.59</v>
      </c>
      <c r="D1448" s="15">
        <v>8</v>
      </c>
      <c r="ALS1448" s="8" t="s">
        <v>11455</v>
      </c>
      <c r="BKQ1448" s="8" t="s">
        <v>509</v>
      </c>
      <c r="BMM1448" s="8" t="s">
        <v>509</v>
      </c>
      <c r="BYV1448" s="8" t="s">
        <v>548</v>
      </c>
    </row>
    <row r="1449" spans="1:1007 1112:2024 2072:2840 3368:3416 4280:4280">
      <c r="A1449" s="8" t="s">
        <v>9934</v>
      </c>
      <c r="B1449" s="10" t="s">
        <v>14278</v>
      </c>
      <c r="C1449" s="8">
        <v>1101.2</v>
      </c>
      <c r="D1449" s="15">
        <v>2.8</v>
      </c>
      <c r="APT1449" s="8" t="s">
        <v>14278</v>
      </c>
      <c r="BLG1449" s="8" t="s">
        <v>510</v>
      </c>
      <c r="BNC1449" s="8" t="s">
        <v>510</v>
      </c>
      <c r="CPQ1449" s="8" t="s">
        <v>549</v>
      </c>
    </row>
    <row r="1450" spans="1:1007 1112:2024 2072:2840 3368:3416 4280:4280">
      <c r="A1450" s="8" t="s">
        <v>9934</v>
      </c>
      <c r="B1450" s="10" t="s">
        <v>11456</v>
      </c>
      <c r="C1450" s="8">
        <v>1336</v>
      </c>
      <c r="D1450" s="15">
        <v>8</v>
      </c>
      <c r="AYZ1450" s="8" t="s">
        <v>11456</v>
      </c>
      <c r="BLN1450" s="8" t="s">
        <v>511</v>
      </c>
      <c r="BNJ1450" s="8" t="s">
        <v>511</v>
      </c>
      <c r="DEF1450" s="8" t="s">
        <v>550</v>
      </c>
    </row>
    <row r="1451" spans="1:1007 1112:2024 2072:2840 3368:3416 4280:4280">
      <c r="A1451" s="8" t="s">
        <v>9934</v>
      </c>
      <c r="B1451" s="10" t="s">
        <v>14279</v>
      </c>
      <c r="C1451" s="8">
        <v>1426</v>
      </c>
      <c r="D1451" s="15">
        <v>14</v>
      </c>
      <c r="BCR1451" s="8" t="s">
        <v>14279</v>
      </c>
      <c r="BLS1451" s="8" t="s">
        <v>512</v>
      </c>
      <c r="BNO1451" s="8" t="s">
        <v>512</v>
      </c>
      <c r="DYN1451" s="8" t="s">
        <v>551</v>
      </c>
    </row>
    <row r="1452" spans="1:1007 1112:2024 2072:2840 3368:3416 4280:4280">
      <c r="A1452" s="8" t="s">
        <v>9934</v>
      </c>
      <c r="B1452" s="10" t="s">
        <v>14280</v>
      </c>
      <c r="C1452" s="8">
        <v>1677.2</v>
      </c>
      <c r="D1452" s="15">
        <v>2.8</v>
      </c>
      <c r="BLX1452" s="8" t="s">
        <v>14280</v>
      </c>
      <c r="BOC1452" s="8" t="s">
        <v>513</v>
      </c>
      <c r="BPY1452" s="8" t="s">
        <v>513</v>
      </c>
      <c r="FHP1452" s="8" t="s">
        <v>552</v>
      </c>
    </row>
    <row r="1453" spans="1:1007 1112:2024 2072:2840 3368:3416 4280:4280">
      <c r="A1453" s="8" t="s">
        <v>9934</v>
      </c>
      <c r="B1453" s="10" t="s">
        <v>14281</v>
      </c>
      <c r="C1453" s="8">
        <v>1768</v>
      </c>
      <c r="D1453" s="15">
        <v>8</v>
      </c>
      <c r="BPP1453" s="8" t="s">
        <v>14281</v>
      </c>
      <c r="BWZ1453" s="8" t="s">
        <v>514</v>
      </c>
      <c r="BYV1453" s="8" t="s">
        <v>514</v>
      </c>
    </row>
    <row r="1454" spans="1:1007 1112:2024 2072:2840 3368:3416 4280:4280">
      <c r="A1454" s="8" t="s">
        <v>9934</v>
      </c>
      <c r="B1454" s="10" t="s">
        <v>11459</v>
      </c>
      <c r="C1454" s="8">
        <v>3406</v>
      </c>
      <c r="D1454" s="15">
        <v>2</v>
      </c>
      <c r="BYV1454" s="8" t="s">
        <v>682</v>
      </c>
      <c r="CAR1454" s="8" t="s">
        <v>682</v>
      </c>
      <c r="EAJ1454" s="8" t="s">
        <v>11459</v>
      </c>
    </row>
    <row r="1455" spans="1:1007 1112:2024 2072:2840 3368:3416 4280:4280">
      <c r="A1455" s="8" t="s">
        <v>9935</v>
      </c>
      <c r="B1455" s="10" t="s">
        <v>11460</v>
      </c>
      <c r="C1455" s="8">
        <v>-124.25</v>
      </c>
      <c r="D1455" s="15">
        <v>6.25</v>
      </c>
      <c r="H1455" s="8" t="s">
        <v>11460</v>
      </c>
      <c r="CDS1455" s="8" t="s">
        <v>515</v>
      </c>
      <c r="CFO1455" s="8" t="s">
        <v>515</v>
      </c>
    </row>
    <row r="1456" spans="1:1007 1112:2024 2072:2840 3368:3416 4280:4280">
      <c r="A1456" s="8" t="s">
        <v>9935</v>
      </c>
      <c r="B1456" s="10" t="s">
        <v>11463</v>
      </c>
      <c r="C1456" s="8">
        <v>28.25</v>
      </c>
      <c r="D1456" s="15">
        <v>3.5</v>
      </c>
      <c r="AN1456" s="8" t="s">
        <v>11463</v>
      </c>
      <c r="CIH1456" s="8" t="s">
        <v>507</v>
      </c>
      <c r="CKD1456" s="8" t="s">
        <v>507</v>
      </c>
    </row>
    <row r="1457" spans="1:304 1352:2024 2072:2941 3109:3849 4136:4280 8735:8744">
      <c r="A1457" s="8" t="s">
        <v>9935</v>
      </c>
      <c r="B1457" s="10" t="s">
        <v>14282</v>
      </c>
      <c r="C1457" s="8">
        <v>49</v>
      </c>
      <c r="D1457" s="15">
        <v>17.5</v>
      </c>
      <c r="BV1457" s="8" t="s">
        <v>14282</v>
      </c>
      <c r="AYZ1457" s="8" t="s">
        <v>1184</v>
      </c>
      <c r="BAV1457" s="8" t="s">
        <v>1184</v>
      </c>
      <c r="BED1457" s="8" t="s">
        <v>5775</v>
      </c>
      <c r="BEN1457" s="8" t="s">
        <v>11456</v>
      </c>
      <c r="BFY1457" s="8" t="s">
        <v>5131</v>
      </c>
      <c r="BFZ1457" s="8" t="s">
        <v>5131</v>
      </c>
      <c r="BGA1457" s="8" t="s">
        <v>5131</v>
      </c>
      <c r="BGJ1457" s="8" t="s">
        <v>10432</v>
      </c>
      <c r="CIO1457" s="8" t="s">
        <v>516</v>
      </c>
      <c r="CKK1457" s="8" t="s">
        <v>516</v>
      </c>
    </row>
    <row r="1458" spans="1:304 1352:2024 2072:2941 3109:3849 4136:4280 8735:8744">
      <c r="A1458" s="8" t="s">
        <v>9935</v>
      </c>
      <c r="B1458" s="10" t="s">
        <v>11473</v>
      </c>
      <c r="C1458" s="8">
        <v>67.5</v>
      </c>
      <c r="D1458" s="15">
        <v>5.25</v>
      </c>
      <c r="CC1458" s="8" t="s">
        <v>11473</v>
      </c>
      <c r="BAV1458" s="8" t="s">
        <v>547</v>
      </c>
      <c r="BEN1458" s="8" t="s">
        <v>5776</v>
      </c>
      <c r="BGI1458" s="8" t="s">
        <v>5132</v>
      </c>
      <c r="BGJ1458" s="8" t="s">
        <v>5132</v>
      </c>
      <c r="BGK1458" s="8" t="s">
        <v>5132</v>
      </c>
      <c r="BIF1458" s="8" t="s">
        <v>1185</v>
      </c>
      <c r="BKB1458" s="8" t="s">
        <v>1185</v>
      </c>
      <c r="BRL1458" s="8" t="s">
        <v>11457</v>
      </c>
      <c r="BTH1458" s="8" t="s">
        <v>10433</v>
      </c>
      <c r="CLC1458" s="8" t="s">
        <v>497</v>
      </c>
      <c r="CMY1458" s="8" t="s">
        <v>497</v>
      </c>
    </row>
    <row r="1459" spans="1:304 1352:2024 2072:2941 3109:3849 4136:4280 8735:8744">
      <c r="A1459" s="8" t="s">
        <v>9935</v>
      </c>
      <c r="B1459" s="10" t="s">
        <v>11461</v>
      </c>
      <c r="C1459" s="8">
        <v>98</v>
      </c>
      <c r="D1459" s="15">
        <v>10</v>
      </c>
      <c r="DL1459" s="17" t="s">
        <v>11461</v>
      </c>
      <c r="BEN1459" s="8" t="s">
        <v>548</v>
      </c>
      <c r="BIF1459" s="8" t="s">
        <v>5777</v>
      </c>
      <c r="BIG1459" s="8" t="s">
        <v>5777</v>
      </c>
      <c r="BKA1459" s="8" t="s">
        <v>5133</v>
      </c>
      <c r="BKB1459" s="8" t="s">
        <v>5133</v>
      </c>
      <c r="BKC1459" s="8" t="s">
        <v>5133</v>
      </c>
      <c r="BVD1459" s="8" t="s">
        <v>11458</v>
      </c>
      <c r="BWZ1459" s="8" t="s">
        <v>10434</v>
      </c>
      <c r="BYV1459" s="8" t="s">
        <v>1186</v>
      </c>
      <c r="CLM1459" s="8" t="s">
        <v>517</v>
      </c>
      <c r="CNI1459" s="8" t="s">
        <v>517</v>
      </c>
    </row>
    <row r="1460" spans="1:304 1352:2024 2072:2941 3109:3849 4136:4280 8735:8744">
      <c r="A1460" s="8" t="s">
        <v>9935</v>
      </c>
      <c r="B1460" s="10" t="s">
        <v>14283</v>
      </c>
      <c r="C1460" s="8">
        <v>113</v>
      </c>
      <c r="D1460" s="15">
        <v>10.5</v>
      </c>
      <c r="EB1460" s="17" t="s">
        <v>14283</v>
      </c>
      <c r="BIF1460" s="8" t="s">
        <v>1187</v>
      </c>
      <c r="BIK1460" s="8" t="s">
        <v>549</v>
      </c>
      <c r="BTH1460" s="8" t="s">
        <v>549</v>
      </c>
      <c r="BYV1460" s="8" t="s">
        <v>549</v>
      </c>
      <c r="CLU1460" s="8" t="s">
        <v>518</v>
      </c>
      <c r="CNQ1460" s="8" t="s">
        <v>518</v>
      </c>
      <c r="CNU1460" s="8" t="s">
        <v>1187</v>
      </c>
      <c r="CPQ1460" s="8" t="s">
        <v>1187</v>
      </c>
      <c r="CTD1460" s="8" t="s">
        <v>5778</v>
      </c>
      <c r="CUY1460" s="8" t="s">
        <v>5134</v>
      </c>
      <c r="CUZ1460" s="8" t="s">
        <v>5134</v>
      </c>
      <c r="CVA1460" s="8" t="s">
        <v>5134</v>
      </c>
      <c r="EFX1460" s="8" t="s">
        <v>11459</v>
      </c>
      <c r="EHT1460" s="8" t="s">
        <v>10435</v>
      </c>
    </row>
    <row r="1461" spans="1:304 1352:2024 2072:2941 3109:3849 4136:4280 8735:8744">
      <c r="A1461" s="8" t="s">
        <v>9935</v>
      </c>
      <c r="B1461" s="10" t="s">
        <v>11462</v>
      </c>
      <c r="C1461" s="8">
        <v>118</v>
      </c>
      <c r="D1461" s="15">
        <v>19.25</v>
      </c>
      <c r="EO1461" s="8" t="s">
        <v>11462</v>
      </c>
      <c r="CAR1461" s="8" t="s">
        <v>550</v>
      </c>
      <c r="CAW1461" s="8" t="s">
        <v>1188</v>
      </c>
      <c r="CKC1461" s="8" t="s">
        <v>550</v>
      </c>
      <c r="CPQ1461" s="8" t="s">
        <v>550</v>
      </c>
      <c r="CRY1461" s="8" t="s">
        <v>519</v>
      </c>
      <c r="CTU1461" s="8" t="s">
        <v>519</v>
      </c>
      <c r="DCJ1461" s="8" t="s">
        <v>5779</v>
      </c>
      <c r="DCK1461" s="8" t="s">
        <v>5779</v>
      </c>
      <c r="DEE1461" s="8" t="s">
        <v>5136</v>
      </c>
      <c r="DEF1461" s="8" t="s">
        <v>5136</v>
      </c>
      <c r="DEG1461" s="8" t="s">
        <v>5136</v>
      </c>
    </row>
    <row r="1462" spans="1:304 1352:2024 2072:2941 3109:3849 4136:4280 8735:8744">
      <c r="A1462" s="8" t="s">
        <v>9935</v>
      </c>
      <c r="B1462" s="10" t="s">
        <v>14284</v>
      </c>
      <c r="C1462" s="8">
        <v>142.6</v>
      </c>
      <c r="D1462" s="15">
        <v>5</v>
      </c>
      <c r="EZ1462" s="8" t="s">
        <v>14284</v>
      </c>
      <c r="AYZ1462" s="8" t="s">
        <v>551</v>
      </c>
      <c r="AZX1462" s="8" t="s">
        <v>551</v>
      </c>
      <c r="BAV1462" s="8" t="s">
        <v>5138</v>
      </c>
      <c r="BAW1462" s="8" t="s">
        <v>5138</v>
      </c>
      <c r="CJX1462" s="8" t="s">
        <v>1189</v>
      </c>
      <c r="CTD1462" s="8" t="s">
        <v>520</v>
      </c>
      <c r="CUZ1462" s="8" t="s">
        <v>520</v>
      </c>
      <c r="CYR1462" s="8" t="s">
        <v>551</v>
      </c>
      <c r="DEF1462" s="8" t="s">
        <v>551</v>
      </c>
      <c r="DWR1462" s="8" t="s">
        <v>1189</v>
      </c>
      <c r="DYN1462" s="8" t="s">
        <v>1189</v>
      </c>
    </row>
    <row r="1463" spans="1:304 1352:2024 2072:2941 3109:3849 4136:4280 8735:8744">
      <c r="A1463" s="8" t="s">
        <v>9935</v>
      </c>
      <c r="B1463" s="10" t="s">
        <v>14285</v>
      </c>
      <c r="C1463" s="8">
        <v>192</v>
      </c>
      <c r="D1463" s="15">
        <v>24.5</v>
      </c>
      <c r="HP1463" s="8" t="s">
        <v>14285</v>
      </c>
      <c r="BJD1463" s="8" t="s">
        <v>552</v>
      </c>
      <c r="BKB1463" s="8" t="s">
        <v>5141</v>
      </c>
      <c r="BKC1463" s="8" t="s">
        <v>5141</v>
      </c>
      <c r="BKZ1463" s="8" t="s">
        <v>1190</v>
      </c>
      <c r="CPL1463" s="8" t="s">
        <v>1190</v>
      </c>
      <c r="CQR1463" s="8" t="s">
        <v>552</v>
      </c>
      <c r="DAO1463" s="8" t="s">
        <v>521</v>
      </c>
      <c r="DCK1463" s="8" t="s">
        <v>521</v>
      </c>
      <c r="DSZ1463" s="8" t="s">
        <v>552</v>
      </c>
      <c r="DYN1463" s="8" t="s">
        <v>552</v>
      </c>
      <c r="FFT1463" s="8" t="s">
        <v>1190</v>
      </c>
      <c r="FHP1463" s="8" t="s">
        <v>1190</v>
      </c>
    </row>
    <row r="1464" spans="1:304 1352:2024 2072:2941 3109:3849 4136:4280 8735:8744">
      <c r="A1464" s="8" t="s">
        <v>9935</v>
      </c>
      <c r="B1464" s="10" t="s">
        <v>11464</v>
      </c>
      <c r="C1464" s="8">
        <v>228.18</v>
      </c>
      <c r="D1464" s="15">
        <v>5.25</v>
      </c>
      <c r="IG1464" s="8" t="s">
        <v>11464</v>
      </c>
      <c r="BLX1464" s="8" t="s">
        <v>5142</v>
      </c>
      <c r="BLY1464" s="8" t="s">
        <v>5142</v>
      </c>
      <c r="CAR1464" s="8" t="s">
        <v>553</v>
      </c>
      <c r="CBP1464" s="8" t="s">
        <v>553</v>
      </c>
      <c r="CCN1464" s="8" t="s">
        <v>1279</v>
      </c>
      <c r="DEF1464" s="8" t="s">
        <v>522</v>
      </c>
      <c r="DGB1464" s="8" t="s">
        <v>522</v>
      </c>
      <c r="FCB1464" s="8" t="s">
        <v>553</v>
      </c>
      <c r="FHP1464" s="8" t="s">
        <v>553</v>
      </c>
      <c r="LWY1464" s="8" t="s">
        <v>553</v>
      </c>
      <c r="LXH1464" s="8" t="s">
        <v>1279</v>
      </c>
    </row>
    <row r="1465" spans="1:304 1352:2024 2072:2941 3109:3849 4136:4280 8735:8744">
      <c r="A1465" s="8" t="s">
        <v>9935</v>
      </c>
      <c r="B1465" s="10" t="s">
        <v>14286</v>
      </c>
      <c r="C1465" s="8">
        <v>241</v>
      </c>
      <c r="D1465" s="15">
        <v>7</v>
      </c>
      <c r="IV1465" s="8" t="s">
        <v>14286</v>
      </c>
      <c r="BTG1465" s="8" t="s">
        <v>5143</v>
      </c>
      <c r="BTH1465" s="8" t="s">
        <v>5143</v>
      </c>
      <c r="DGG1465" s="8" t="s">
        <v>523</v>
      </c>
      <c r="DIC1465" s="8" t="s">
        <v>523</v>
      </c>
    </row>
    <row r="1466" spans="1:304 1352:2024 2072:2941 3109:3849 4136:4280 8735:8744">
      <c r="A1466" s="8" t="s">
        <v>9935</v>
      </c>
      <c r="B1466" s="10" t="s">
        <v>11472</v>
      </c>
      <c r="C1466" s="8">
        <v>248.75</v>
      </c>
      <c r="D1466" s="15">
        <v>10.5</v>
      </c>
      <c r="JG1466" s="8" t="s">
        <v>11472</v>
      </c>
      <c r="BWZ1466" s="8" t="s">
        <v>5346</v>
      </c>
      <c r="BXA1466" s="8" t="s">
        <v>5346</v>
      </c>
      <c r="DSL1466" s="8" t="s">
        <v>525</v>
      </c>
      <c r="DUH1466" s="8" t="s">
        <v>525</v>
      </c>
    </row>
    <row r="1467" spans="1:304 1352:2024 2072:2941 3109:3849 4136:4280 8735:8744">
      <c r="A1467" s="8" t="s">
        <v>9935</v>
      </c>
      <c r="B1467" s="10" t="s">
        <v>14287</v>
      </c>
      <c r="C1467" s="8">
        <v>249</v>
      </c>
      <c r="D1467" s="15">
        <v>3.5</v>
      </c>
      <c r="IZ1467" s="17" t="s">
        <v>14287</v>
      </c>
      <c r="CGF1467" s="8" t="s">
        <v>5145</v>
      </c>
      <c r="CGG1467" s="8" t="s">
        <v>5145</v>
      </c>
      <c r="EHU1467" s="8" t="s">
        <v>526</v>
      </c>
      <c r="EJQ1467" s="8" t="s">
        <v>526</v>
      </c>
    </row>
    <row r="1468" spans="1:304 1352:2024 2072:2941 3109:3849 4136:4280 8735:8744">
      <c r="A1468" s="8" t="s">
        <v>9935</v>
      </c>
      <c r="B1468" s="10" t="s">
        <v>14288</v>
      </c>
      <c r="C1468" s="8">
        <v>268.25</v>
      </c>
      <c r="D1468" s="15">
        <v>7</v>
      </c>
      <c r="JW1468" s="8" t="s">
        <v>14288</v>
      </c>
      <c r="CII1468" s="8" t="s">
        <v>5347</v>
      </c>
      <c r="CIJ1468" s="8" t="s">
        <v>5347</v>
      </c>
    </row>
    <row r="1469" spans="1:304 1352:2024 2072:2941 3109:3849 4136:4280 8735:8744">
      <c r="A1469" s="8" t="s">
        <v>9935</v>
      </c>
      <c r="B1469" s="10" t="s">
        <v>11465</v>
      </c>
      <c r="C1469" s="8">
        <v>280.75</v>
      </c>
      <c r="D1469" s="15">
        <v>1.75</v>
      </c>
      <c r="KD1469" s="8" t="s">
        <v>11465</v>
      </c>
      <c r="CJX1469" s="8" t="s">
        <v>5348</v>
      </c>
      <c r="CJY1469" s="8" t="s">
        <v>5348</v>
      </c>
    </row>
    <row r="1470" spans="1:304 1352:2024 2072:2941 3109:3849 4136:4280 8735:8744">
      <c r="A1470" s="8" t="s">
        <v>9935</v>
      </c>
      <c r="B1470" s="10" t="s">
        <v>11466</v>
      </c>
      <c r="C1470" s="8">
        <v>283.5</v>
      </c>
      <c r="D1470" s="15">
        <v>1.25</v>
      </c>
      <c r="KG1470" s="8" t="s">
        <v>11466</v>
      </c>
      <c r="DGB1470" s="8" t="s">
        <v>5349</v>
      </c>
      <c r="DGC1470" s="8" t="s">
        <v>5349</v>
      </c>
    </row>
    <row r="1471" spans="1:304 1352:2024 2072:2941 3109:3849 4136:4280 8735:8744">
      <c r="A1471" s="8" t="s">
        <v>9935</v>
      </c>
      <c r="B1471" s="10" t="s">
        <v>11467</v>
      </c>
      <c r="C1471" s="8">
        <v>285.75</v>
      </c>
      <c r="D1471" s="15">
        <v>3.5</v>
      </c>
      <c r="KK1471" s="8" t="s">
        <v>11467</v>
      </c>
      <c r="DOO1471" s="8" t="s">
        <v>5146</v>
      </c>
      <c r="DOP1471" s="8" t="s">
        <v>5146</v>
      </c>
    </row>
    <row r="1472" spans="1:304 1352:2024 2072:2941 3109:3849 4136:4280 8735:8744">
      <c r="A1472" s="8" t="s">
        <v>9935</v>
      </c>
      <c r="B1472" s="10" t="s">
        <v>14289</v>
      </c>
      <c r="C1472" s="8">
        <v>289.33</v>
      </c>
      <c r="D1472" s="15">
        <v>7</v>
      </c>
      <c r="KR1472" s="8" t="s">
        <v>14289</v>
      </c>
      <c r="EQZ1472" s="8" t="s">
        <v>5147</v>
      </c>
      <c r="ERA1472" s="8" t="s">
        <v>5147</v>
      </c>
    </row>
    <row r="1473" spans="1:431 1431:1928 2120:2279">
      <c r="A1473" s="8" t="s">
        <v>9935</v>
      </c>
      <c r="B1473" s="10" t="s">
        <v>11468</v>
      </c>
      <c r="C1473" s="8">
        <v>290.58</v>
      </c>
      <c r="D1473" s="15">
        <v>5</v>
      </c>
      <c r="KR1473" s="8" t="s">
        <v>11468</v>
      </c>
      <c r="BCA1473" s="8" t="s">
        <v>527</v>
      </c>
    </row>
    <row r="1474" spans="1:431 1431:1928 2120:2279">
      <c r="A1474" s="8" t="s">
        <v>9935</v>
      </c>
      <c r="B1474" s="10" t="s">
        <v>14290</v>
      </c>
      <c r="C1474" s="8">
        <v>296.58</v>
      </c>
      <c r="D1474" s="15">
        <v>3.5</v>
      </c>
      <c r="KV1474" s="17" t="s">
        <v>14290</v>
      </c>
      <c r="BCH1474" s="8" t="s">
        <v>528</v>
      </c>
    </row>
    <row r="1475" spans="1:431 1431:1928 2120:2279">
      <c r="A1475" s="8" t="s">
        <v>9935</v>
      </c>
      <c r="B1475" s="10" t="s">
        <v>11469</v>
      </c>
      <c r="C1475" s="8">
        <v>314.33</v>
      </c>
      <c r="D1475" s="15">
        <v>1.25</v>
      </c>
      <c r="LL1475" s="17" t="s">
        <v>11469</v>
      </c>
      <c r="BCN1475" s="8" t="s">
        <v>529</v>
      </c>
    </row>
    <row r="1476" spans="1:431 1431:1928 2120:2279">
      <c r="A1476" s="8" t="s">
        <v>9935</v>
      </c>
      <c r="B1476" s="10" t="s">
        <v>14291</v>
      </c>
      <c r="C1476" s="8">
        <v>321.14999999999998</v>
      </c>
      <c r="D1476" s="15">
        <v>2.5</v>
      </c>
      <c r="LT1476" s="8" t="s">
        <v>14291</v>
      </c>
      <c r="BEK1476" s="8" t="s">
        <v>530</v>
      </c>
    </row>
    <row r="1477" spans="1:431 1431:1928 2120:2279">
      <c r="A1477" s="8" t="s">
        <v>9935</v>
      </c>
      <c r="B1477" s="10" t="s">
        <v>14292</v>
      </c>
      <c r="C1477" s="8">
        <v>324.64999999999998</v>
      </c>
      <c r="D1477" s="15">
        <v>14</v>
      </c>
      <c r="MI1477" s="8" t="s">
        <v>14292</v>
      </c>
      <c r="BEN1477" s="8" t="s">
        <v>531</v>
      </c>
    </row>
    <row r="1478" spans="1:431 1431:1928 2120:2279">
      <c r="A1478" s="8" t="s">
        <v>9935</v>
      </c>
      <c r="B1478" s="10" t="s">
        <v>14293</v>
      </c>
      <c r="C1478" s="8">
        <v>340.4</v>
      </c>
      <c r="D1478" s="15">
        <v>5.25</v>
      </c>
      <c r="MP1478" s="8" t="s">
        <v>14293</v>
      </c>
      <c r="BEW1478" s="8" t="s">
        <v>532</v>
      </c>
    </row>
    <row r="1479" spans="1:431 1431:1928 2120:2279">
      <c r="A1479" s="8" t="s">
        <v>9935</v>
      </c>
      <c r="B1479" s="10" t="s">
        <v>14294</v>
      </c>
      <c r="C1479" s="8">
        <v>346.65</v>
      </c>
      <c r="D1479" s="15">
        <v>1.75</v>
      </c>
      <c r="MR1479" s="17" t="s">
        <v>14294</v>
      </c>
      <c r="BGC1479" s="8" t="s">
        <v>533</v>
      </c>
    </row>
    <row r="1480" spans="1:431 1431:1928 2120:2279">
      <c r="A1480" s="8" t="s">
        <v>9935</v>
      </c>
      <c r="B1480" s="10" t="s">
        <v>14295</v>
      </c>
      <c r="C1480" s="8">
        <v>349.4</v>
      </c>
      <c r="D1480" s="15">
        <v>8.75</v>
      </c>
      <c r="NB1480" s="8" t="s">
        <v>14295</v>
      </c>
      <c r="BGJ1480" s="8" t="s">
        <v>534</v>
      </c>
    </row>
    <row r="1481" spans="1:431 1431:1928 2120:2279">
      <c r="A1481" s="8" t="s">
        <v>9935</v>
      </c>
      <c r="B1481" s="10" t="s">
        <v>14296</v>
      </c>
      <c r="C1481" s="8">
        <v>359.15</v>
      </c>
      <c r="D1481" s="15">
        <v>3.5</v>
      </c>
      <c r="NG1481" s="8" t="s">
        <v>14296</v>
      </c>
      <c r="BOT1481" s="8" t="s">
        <v>535</v>
      </c>
    </row>
    <row r="1482" spans="1:431 1431:1928 2120:2279">
      <c r="A1482" s="8" t="s">
        <v>9935</v>
      </c>
      <c r="B1482" s="10" t="s">
        <v>14297</v>
      </c>
      <c r="C1482" s="8">
        <v>363.65</v>
      </c>
      <c r="D1482" s="15">
        <v>12.25</v>
      </c>
      <c r="NT1482" s="8" t="s">
        <v>14297</v>
      </c>
      <c r="BUW1482" s="8" t="s">
        <v>536</v>
      </c>
    </row>
    <row r="1483" spans="1:431 1431:1928 2120:2279">
      <c r="A1483" s="8" t="s">
        <v>9935</v>
      </c>
      <c r="B1483" s="10" t="s">
        <v>14298</v>
      </c>
      <c r="C1483" s="8">
        <v>376.9</v>
      </c>
      <c r="D1483" s="15">
        <v>5</v>
      </c>
      <c r="NZ1483" s="8" t="s">
        <v>14298</v>
      </c>
      <c r="BVD1483" s="8" t="s">
        <v>537</v>
      </c>
    </row>
    <row r="1484" spans="1:431 1431:1928 2120:2279">
      <c r="A1484" s="8" t="s">
        <v>9935</v>
      </c>
      <c r="B1484" s="10" t="s">
        <v>14299</v>
      </c>
      <c r="C1484" s="8">
        <v>384.58</v>
      </c>
      <c r="D1484" s="15">
        <v>5.25</v>
      </c>
      <c r="OH1484" s="8" t="s">
        <v>14299</v>
      </c>
      <c r="CCN1484" s="8" t="s">
        <v>538</v>
      </c>
    </row>
    <row r="1485" spans="1:431 1431:1928 2120:2279">
      <c r="A1485" s="8" t="s">
        <v>9935</v>
      </c>
      <c r="B1485" s="10" t="s">
        <v>14300</v>
      </c>
      <c r="C1485" s="8">
        <v>390.83</v>
      </c>
      <c r="D1485" s="15">
        <v>14</v>
      </c>
      <c r="OW1485" s="8" t="s">
        <v>14300</v>
      </c>
      <c r="CEF1485" s="8" t="s">
        <v>539</v>
      </c>
    </row>
    <row r="1486" spans="1:431 1431:1928 2120:2279">
      <c r="A1486" s="8" t="s">
        <v>9935</v>
      </c>
      <c r="B1486" s="10" t="s">
        <v>14301</v>
      </c>
      <c r="C1486" s="8">
        <v>404.5</v>
      </c>
      <c r="D1486" s="15">
        <v>3.5</v>
      </c>
      <c r="OZ1486" s="8" t="s">
        <v>14301</v>
      </c>
      <c r="CEJ1486" s="8" t="s">
        <v>540</v>
      </c>
    </row>
    <row r="1487" spans="1:431 1431:1928 2120:2279">
      <c r="A1487" s="8" t="s">
        <v>9935</v>
      </c>
      <c r="B1487" s="10" t="s">
        <v>14302</v>
      </c>
      <c r="C1487" s="8">
        <v>405.83</v>
      </c>
      <c r="D1487" s="15">
        <v>17.5</v>
      </c>
      <c r="PO1487" s="8" t="s">
        <v>14302</v>
      </c>
      <c r="CIB1487" s="8" t="s">
        <v>541</v>
      </c>
    </row>
    <row r="1488" spans="1:431 1431:1928 2120:2279">
      <c r="A1488" s="8" t="s">
        <v>9935</v>
      </c>
      <c r="B1488" s="10" t="s">
        <v>14303</v>
      </c>
      <c r="C1488" s="8">
        <v>406.25</v>
      </c>
      <c r="D1488" s="15">
        <v>1.75</v>
      </c>
      <c r="OZ1488" s="8" t="s">
        <v>14303</v>
      </c>
      <c r="CIQ1488" s="8" t="s">
        <v>542</v>
      </c>
    </row>
    <row r="1489" spans="1:776 1351:2025 2072:2648 3592:3848">
      <c r="A1489" s="8" t="s">
        <v>9935</v>
      </c>
      <c r="B1489" s="10" t="s">
        <v>14304</v>
      </c>
      <c r="C1489" s="8">
        <v>424.33</v>
      </c>
      <c r="D1489" s="15">
        <v>1.75</v>
      </c>
      <c r="PR1489" s="8" t="s">
        <v>14304</v>
      </c>
      <c r="BEM1489" s="8" t="s">
        <v>555</v>
      </c>
      <c r="EHD1489" s="8" t="s">
        <v>543</v>
      </c>
    </row>
    <row r="1490" spans="1:776 1351:2025 2072:2648 3592:3848">
      <c r="A1490" s="8" t="s">
        <v>9935</v>
      </c>
      <c r="B1490" s="10" t="s">
        <v>14305</v>
      </c>
      <c r="C1490" s="8">
        <v>427.08</v>
      </c>
      <c r="D1490" s="15">
        <v>1.75</v>
      </c>
      <c r="PU1490" s="8" t="s">
        <v>14305</v>
      </c>
      <c r="BIB1490" s="8" t="s">
        <v>556</v>
      </c>
      <c r="EHT1490" s="8" t="s">
        <v>544</v>
      </c>
    </row>
    <row r="1491" spans="1:776 1351:2025 2072:2648 3592:3848">
      <c r="A1491" s="8" t="s">
        <v>9935</v>
      </c>
      <c r="B1491" s="10" t="s">
        <v>14306</v>
      </c>
      <c r="C1491" s="8">
        <v>431.93</v>
      </c>
      <c r="D1491" s="15">
        <v>7.0000000000000007E-2</v>
      </c>
      <c r="PX1491" s="8" t="s">
        <v>14306</v>
      </c>
      <c r="BIF1491" s="8" t="s">
        <v>557</v>
      </c>
    </row>
    <row r="1492" spans="1:776 1351:2025 2072:2648 3592:3848">
      <c r="A1492" s="8" t="s">
        <v>9935</v>
      </c>
      <c r="B1492" s="10" t="s">
        <v>14307</v>
      </c>
      <c r="C1492" s="8">
        <v>625</v>
      </c>
      <c r="D1492" s="15">
        <v>5.25</v>
      </c>
      <c r="XN1492" s="8" t="s">
        <v>14307</v>
      </c>
      <c r="BAK1492" s="8" t="s">
        <v>5100</v>
      </c>
      <c r="BCG1492" s="8" t="s">
        <v>5100</v>
      </c>
      <c r="BCH1492" s="8" t="s">
        <v>5100</v>
      </c>
      <c r="BPP1492" s="8" t="s">
        <v>558</v>
      </c>
    </row>
    <row r="1493" spans="1:776 1351:2025 2072:2648 3592:3848">
      <c r="A1493" s="8" t="s">
        <v>9935</v>
      </c>
      <c r="B1493" s="10" t="s">
        <v>14308</v>
      </c>
      <c r="C1493" s="8">
        <v>631.25</v>
      </c>
      <c r="D1493" s="15">
        <v>7</v>
      </c>
      <c r="XV1493" s="8" t="s">
        <v>14308</v>
      </c>
      <c r="BAO1493" s="8" t="s">
        <v>5101</v>
      </c>
      <c r="BAP1493" s="8" t="s">
        <v>5101</v>
      </c>
      <c r="BCK1493" s="8" t="s">
        <v>5101</v>
      </c>
      <c r="BCL1493" s="8" t="s">
        <v>5101</v>
      </c>
      <c r="BWZ1493" s="8" t="s">
        <v>559</v>
      </c>
    </row>
    <row r="1494" spans="1:776 1351:2025 2072:2648 3592:3848">
      <c r="A1494" s="8" t="s">
        <v>9935</v>
      </c>
      <c r="B1494" s="10" t="s">
        <v>11496</v>
      </c>
      <c r="C1494" s="8">
        <v>639.25</v>
      </c>
      <c r="D1494" s="15">
        <v>5</v>
      </c>
      <c r="YB1494" s="8" t="s">
        <v>11496</v>
      </c>
      <c r="BAV1494" s="8" t="s">
        <v>5102</v>
      </c>
      <c r="BAW1494" s="8" t="s">
        <v>5102</v>
      </c>
      <c r="BCR1494" s="8" t="s">
        <v>5102</v>
      </c>
      <c r="BCS1494" s="8" t="s">
        <v>5102</v>
      </c>
      <c r="CCF1494" s="8" t="s">
        <v>560</v>
      </c>
    </row>
    <row r="1495" spans="1:776 1351:2025 2072:2648 3592:3848">
      <c r="A1495" s="8" t="s">
        <v>9935</v>
      </c>
      <c r="B1495" s="10" t="s">
        <v>11471</v>
      </c>
      <c r="C1495" s="8">
        <v>645.25</v>
      </c>
      <c r="D1495" s="15">
        <v>3.5</v>
      </c>
      <c r="YG1495" s="8" t="s">
        <v>11471</v>
      </c>
      <c r="BDH1495" s="8" t="s">
        <v>5103</v>
      </c>
      <c r="BFD1495" s="8" t="s">
        <v>5103</v>
      </c>
      <c r="BFE1495" s="8" t="s">
        <v>5103</v>
      </c>
      <c r="CCN1495" s="8" t="s">
        <v>561</v>
      </c>
    </row>
    <row r="1496" spans="1:776 1351:2025 2072:2648 3592:3848">
      <c r="A1496" s="8" t="s">
        <v>9935</v>
      </c>
      <c r="B1496" s="10" t="s">
        <v>14309</v>
      </c>
      <c r="C1496" s="8">
        <v>705.75</v>
      </c>
      <c r="D1496" s="15">
        <v>3.5</v>
      </c>
      <c r="AAO1496" s="8" t="s">
        <v>14309</v>
      </c>
      <c r="BCR1496" s="8" t="s">
        <v>5780</v>
      </c>
      <c r="BCS1496" s="8" t="s">
        <v>5780</v>
      </c>
      <c r="BEM1496" s="8" t="s">
        <v>5138</v>
      </c>
      <c r="BEN1496" s="8" t="s">
        <v>5138</v>
      </c>
      <c r="BEO1496" s="8" t="s">
        <v>5138</v>
      </c>
      <c r="BGJ1496" s="8" t="s">
        <v>5104</v>
      </c>
      <c r="BGK1496" s="8" t="s">
        <v>5104</v>
      </c>
      <c r="CIB1496" s="8" t="s">
        <v>562</v>
      </c>
    </row>
    <row r="1497" spans="1:776 1351:2025 2072:2648 3592:3848">
      <c r="A1497" s="8" t="s">
        <v>9935</v>
      </c>
      <c r="B1497" s="10" t="s">
        <v>14310</v>
      </c>
      <c r="C1497" s="8">
        <v>707.23</v>
      </c>
      <c r="D1497" s="15">
        <v>14</v>
      </c>
      <c r="ABA1497" s="8" t="s">
        <v>14310</v>
      </c>
      <c r="BGJ1497" s="8" t="s">
        <v>5781</v>
      </c>
      <c r="BIE1497" s="8" t="s">
        <v>5141</v>
      </c>
      <c r="BIF1497" s="8" t="s">
        <v>5141</v>
      </c>
      <c r="BIG1497" s="8" t="s">
        <v>5141</v>
      </c>
      <c r="BLX1497" s="8" t="s">
        <v>5105</v>
      </c>
      <c r="BLY1497" s="8" t="s">
        <v>5105</v>
      </c>
      <c r="BNT1497" s="8" t="s">
        <v>5105</v>
      </c>
      <c r="BNU1497" s="8" t="s">
        <v>5105</v>
      </c>
      <c r="CLT1497" s="8" t="s">
        <v>563</v>
      </c>
    </row>
    <row r="1498" spans="1:776 1351:2025 2072:2648 3592:3848">
      <c r="A1498" s="8" t="s">
        <v>9935</v>
      </c>
      <c r="B1498" s="10" t="s">
        <v>11474</v>
      </c>
      <c r="C1498" s="8">
        <v>712</v>
      </c>
      <c r="D1498" s="15">
        <v>3.5</v>
      </c>
      <c r="AAV1498" s="19" t="s">
        <v>11474</v>
      </c>
      <c r="BIF1498" s="8" t="s">
        <v>5782</v>
      </c>
      <c r="BKA1498" s="8" t="s">
        <v>5142</v>
      </c>
      <c r="BKB1498" s="8" t="s">
        <v>5142</v>
      </c>
      <c r="BKC1498" s="8" t="s">
        <v>5142</v>
      </c>
      <c r="BNT1498" s="8" t="s">
        <v>5106</v>
      </c>
      <c r="BPP1498" s="8" t="s">
        <v>5106</v>
      </c>
      <c r="BPQ1498" s="8" t="s">
        <v>5106</v>
      </c>
      <c r="CTD1498" s="8" t="s">
        <v>564</v>
      </c>
    </row>
    <row r="1499" spans="1:776 1351:2025 2072:2648 3592:3848">
      <c r="A1499" s="8" t="s">
        <v>9935</v>
      </c>
      <c r="B1499" s="10" t="s">
        <v>11475</v>
      </c>
      <c r="C1499" s="8">
        <v>716.5</v>
      </c>
      <c r="D1499" s="15">
        <v>3.5</v>
      </c>
      <c r="AAZ1499" s="8" t="s">
        <v>11475</v>
      </c>
      <c r="BPO1499" s="8" t="s">
        <v>5783</v>
      </c>
      <c r="BRJ1499" s="8" t="s">
        <v>5143</v>
      </c>
      <c r="BRK1499" s="8" t="s">
        <v>5143</v>
      </c>
      <c r="BRL1499" s="8" t="s">
        <v>5143</v>
      </c>
      <c r="BTH1499" s="8" t="s">
        <v>5107</v>
      </c>
      <c r="BTI1499" s="8" t="s">
        <v>5107</v>
      </c>
      <c r="BVD1499" s="8" t="s">
        <v>5107</v>
      </c>
      <c r="BVE1499" s="8" t="s">
        <v>5107</v>
      </c>
      <c r="CUB1499" s="8" t="s">
        <v>565</v>
      </c>
    </row>
    <row r="1500" spans="1:776 1351:2025 2072:2648 3592:3848">
      <c r="A1500" s="8" t="s">
        <v>9935</v>
      </c>
      <c r="B1500" s="10" t="s">
        <v>14311</v>
      </c>
      <c r="C1500" s="8">
        <v>735.13</v>
      </c>
      <c r="D1500" s="15">
        <v>7.5</v>
      </c>
      <c r="ABW1500" s="8" t="s">
        <v>14311</v>
      </c>
      <c r="BTE1500" s="8" t="s">
        <v>5784</v>
      </c>
      <c r="BUZ1500" s="8" t="s">
        <v>5369</v>
      </c>
      <c r="BVA1500" s="8" t="s">
        <v>5369</v>
      </c>
      <c r="BVB1500" s="8" t="s">
        <v>5369</v>
      </c>
      <c r="BVD1500" s="8" t="s">
        <v>5108</v>
      </c>
      <c r="BVE1500" s="8" t="s">
        <v>5108</v>
      </c>
      <c r="BWZ1500" s="8" t="s">
        <v>5108</v>
      </c>
      <c r="BXA1500" s="8" t="s">
        <v>5108</v>
      </c>
      <c r="CWV1500" s="8" t="s">
        <v>566</v>
      </c>
    </row>
    <row r="1501" spans="1:776 1351:2025 2072:2648 3592:3848">
      <c r="A1501" s="8" t="s">
        <v>9935</v>
      </c>
      <c r="B1501" s="10" t="s">
        <v>14312</v>
      </c>
      <c r="C1501" s="8">
        <v>751</v>
      </c>
      <c r="D1501" s="15">
        <v>5</v>
      </c>
      <c r="ACJ1501" s="8" t="s">
        <v>14312</v>
      </c>
      <c r="BCQ1501" s="8" t="s">
        <v>1191</v>
      </c>
      <c r="BED1501" s="8" t="s">
        <v>5149</v>
      </c>
      <c r="BEE1501" s="8" t="s">
        <v>5149</v>
      </c>
      <c r="BEM1501" s="8" t="s">
        <v>1191</v>
      </c>
      <c r="BTH1501" s="8" t="s">
        <v>5785</v>
      </c>
      <c r="BVC1501" s="8" t="s">
        <v>5346</v>
      </c>
      <c r="BVD1501" s="8" t="s">
        <v>5346</v>
      </c>
      <c r="BVE1501" s="8" t="s">
        <v>5346</v>
      </c>
      <c r="BWS1501" s="8" t="s">
        <v>5109</v>
      </c>
      <c r="BWT1501" s="8" t="s">
        <v>5109</v>
      </c>
      <c r="BYO1501" s="8" t="s">
        <v>5109</v>
      </c>
      <c r="BYP1501" s="8" t="s">
        <v>5109</v>
      </c>
      <c r="EHT1501" s="8" t="s">
        <v>567</v>
      </c>
    </row>
    <row r="1502" spans="1:776 1351:2025 2072:2648 3592:3848">
      <c r="A1502" s="8" t="s">
        <v>9935</v>
      </c>
      <c r="B1502" s="10" t="s">
        <v>14313</v>
      </c>
      <c r="C1502" s="8">
        <v>757</v>
      </c>
      <c r="D1502" s="15">
        <v>5</v>
      </c>
      <c r="ACP1502" s="8" t="s">
        <v>14313</v>
      </c>
      <c r="AYY1502" s="8" t="s">
        <v>556</v>
      </c>
      <c r="BAP1502" s="8" t="s">
        <v>556</v>
      </c>
      <c r="BAU1502" s="8" t="s">
        <v>1192</v>
      </c>
      <c r="BEM1502" s="8" t="s">
        <v>556</v>
      </c>
      <c r="BGF1502" s="8" t="s">
        <v>1192</v>
      </c>
      <c r="BIB1502" s="8" t="s">
        <v>1192</v>
      </c>
      <c r="BWZ1502" s="8" t="s">
        <v>5110</v>
      </c>
      <c r="BXA1502" s="8" t="s">
        <v>5110</v>
      </c>
      <c r="BYV1502" s="8" t="s">
        <v>5110</v>
      </c>
      <c r="BYW1502" s="8" t="s">
        <v>5110</v>
      </c>
      <c r="CCN1502" s="8" t="s">
        <v>5786</v>
      </c>
      <c r="CCO1502" s="8" t="s">
        <v>5786</v>
      </c>
      <c r="CEI1502" s="8" t="s">
        <v>5145</v>
      </c>
      <c r="CEJ1502" s="8" t="s">
        <v>5145</v>
      </c>
      <c r="CEK1502" s="8" t="s">
        <v>5145</v>
      </c>
      <c r="EQZ1502" s="8" t="s">
        <v>568</v>
      </c>
    </row>
    <row r="1503" spans="1:776 1351:2025 2072:2648 3592:3848">
      <c r="A1503" s="8" t="s">
        <v>9935</v>
      </c>
      <c r="B1503" s="10" t="s">
        <v>11446</v>
      </c>
      <c r="C1503" s="8">
        <v>761.93</v>
      </c>
      <c r="D1503" s="15">
        <v>5</v>
      </c>
      <c r="ACU1503" s="8" t="s">
        <v>11446</v>
      </c>
      <c r="AYZ1503" s="8" t="s">
        <v>1396</v>
      </c>
      <c r="BCN1503" s="8" t="s">
        <v>557</v>
      </c>
      <c r="BGJ1503" s="8" t="s">
        <v>1193</v>
      </c>
      <c r="BIB1503" s="8" t="s">
        <v>1193</v>
      </c>
      <c r="BIE1503" s="8" t="s">
        <v>557</v>
      </c>
      <c r="BIF1503" s="8" t="s">
        <v>1193</v>
      </c>
      <c r="CAR1503" s="8" t="s">
        <v>5111</v>
      </c>
      <c r="CAS1503" s="8" t="s">
        <v>5111</v>
      </c>
      <c r="CCN1503" s="8" t="s">
        <v>5111</v>
      </c>
      <c r="CCO1503" s="8" t="s">
        <v>5111</v>
      </c>
      <c r="CEQ1503" s="8" t="s">
        <v>5787</v>
      </c>
      <c r="CER1503" s="8" t="s">
        <v>5787</v>
      </c>
      <c r="CGL1503" s="8" t="s">
        <v>5347</v>
      </c>
      <c r="CGM1503" s="8" t="s">
        <v>5347</v>
      </c>
      <c r="CGN1503" s="8" t="s">
        <v>5347</v>
      </c>
    </row>
    <row r="1504" spans="1:776 1351:2025 2072:2648 3592:3848">
      <c r="A1504" s="8" t="s">
        <v>9935</v>
      </c>
      <c r="B1504" s="10" t="s">
        <v>11476</v>
      </c>
      <c r="C1504" s="8">
        <v>763</v>
      </c>
      <c r="D1504" s="15">
        <v>5</v>
      </c>
      <c r="ACV1504" s="8" t="s">
        <v>11476</v>
      </c>
      <c r="AZZ1504" s="8" t="s">
        <v>536</v>
      </c>
      <c r="BBV1504" s="8" t="s">
        <v>536</v>
      </c>
      <c r="BCL1504" s="8" t="s">
        <v>558</v>
      </c>
      <c r="BCR1504" s="8" t="s">
        <v>558</v>
      </c>
      <c r="BDR1504" s="8" t="s">
        <v>536</v>
      </c>
      <c r="BFN1504" s="8" t="s">
        <v>536</v>
      </c>
      <c r="BIF1504" s="8" t="s">
        <v>558</v>
      </c>
      <c r="BNT1504" s="8" t="s">
        <v>1194</v>
      </c>
      <c r="BPP1504" s="8" t="s">
        <v>1194</v>
      </c>
      <c r="CGF1504" s="8" t="s">
        <v>5788</v>
      </c>
      <c r="CGG1504" s="8" t="s">
        <v>5788</v>
      </c>
      <c r="CIA1504" s="8" t="s">
        <v>5348</v>
      </c>
      <c r="CIB1504" s="8" t="s">
        <v>5348</v>
      </c>
      <c r="CIC1504" s="8" t="s">
        <v>5348</v>
      </c>
      <c r="CJX1504" s="8" t="s">
        <v>5112</v>
      </c>
      <c r="CJY1504" s="8" t="s">
        <v>5112</v>
      </c>
    </row>
    <row r="1505" spans="1:1016 1112:2039 2064:3064 3080:4041 7492:7496">
      <c r="A1505" s="8" t="s">
        <v>9935</v>
      </c>
      <c r="B1505" s="10" t="s">
        <v>11477</v>
      </c>
      <c r="C1505" s="8">
        <v>769.83</v>
      </c>
      <c r="D1505" s="15">
        <v>5</v>
      </c>
      <c r="ADC1505" s="8" t="s">
        <v>11477</v>
      </c>
      <c r="AZU1505" s="8" t="s">
        <v>2189</v>
      </c>
      <c r="BBQ1505" s="8" t="s">
        <v>1771</v>
      </c>
      <c r="BFI1505" s="8" t="s">
        <v>580</v>
      </c>
      <c r="BHE1505" s="8" t="s">
        <v>580</v>
      </c>
      <c r="BIF1505" s="8" t="s">
        <v>1195</v>
      </c>
      <c r="BJA1505" s="8" t="s">
        <v>580</v>
      </c>
      <c r="BKB1505" s="8" t="s">
        <v>559</v>
      </c>
      <c r="BKW1505" s="8" t="s">
        <v>580</v>
      </c>
      <c r="BPP1505" s="8" t="s">
        <v>559</v>
      </c>
      <c r="BVD1505" s="8" t="s">
        <v>1195</v>
      </c>
      <c r="BWZ1505" s="8" t="s">
        <v>1195</v>
      </c>
      <c r="CYR1505" s="8" t="s">
        <v>5113</v>
      </c>
      <c r="CYS1505" s="8" t="s">
        <v>5113</v>
      </c>
      <c r="DAN1505" s="8" t="s">
        <v>5113</v>
      </c>
      <c r="DAO1505" s="8" t="s">
        <v>5113</v>
      </c>
      <c r="DCJ1505" s="8" t="s">
        <v>5789</v>
      </c>
      <c r="DEE1505" s="8" t="s">
        <v>5349</v>
      </c>
      <c r="DEF1505" s="8" t="s">
        <v>5349</v>
      </c>
      <c r="DEG1505" s="8" t="s">
        <v>5349</v>
      </c>
    </row>
    <row r="1506" spans="1:1016 1112:2039 2064:3064 3080:4041 7492:7496">
      <c r="A1506" s="8" t="s">
        <v>9935</v>
      </c>
      <c r="B1506" s="10" t="s">
        <v>11478</v>
      </c>
      <c r="C1506" s="8">
        <v>775.83</v>
      </c>
      <c r="D1506" s="15">
        <v>7.5</v>
      </c>
      <c r="ADK1506" s="8" t="s">
        <v>11478</v>
      </c>
      <c r="BAO1506" s="8" t="s">
        <v>2190</v>
      </c>
      <c r="BCK1506" s="8" t="s">
        <v>1772</v>
      </c>
      <c r="BGC1506" s="8" t="s">
        <v>537</v>
      </c>
      <c r="BHY1506" s="8" t="s">
        <v>537</v>
      </c>
      <c r="BJU1506" s="8" t="s">
        <v>537</v>
      </c>
      <c r="BLQ1506" s="8" t="s">
        <v>537</v>
      </c>
      <c r="BPK1506" s="8" t="s">
        <v>560</v>
      </c>
      <c r="BPP1506" s="8" t="s">
        <v>1196</v>
      </c>
      <c r="BRL1506" s="8" t="s">
        <v>560</v>
      </c>
      <c r="BWZ1506" s="8" t="s">
        <v>560</v>
      </c>
      <c r="CAJ1506" s="8" t="s">
        <v>1196</v>
      </c>
      <c r="CCF1506" s="8" t="s">
        <v>1196</v>
      </c>
      <c r="CZN1506" s="8" t="s">
        <v>5114</v>
      </c>
      <c r="CZO1506" s="8" t="s">
        <v>5114</v>
      </c>
      <c r="DBJ1506" s="8" t="s">
        <v>5114</v>
      </c>
      <c r="DBK1506" s="8" t="s">
        <v>5114</v>
      </c>
      <c r="DKV1506" s="8" t="s">
        <v>5790</v>
      </c>
      <c r="DKW1506" s="8" t="s">
        <v>5790</v>
      </c>
      <c r="DMR1506" s="8" t="s">
        <v>5146</v>
      </c>
      <c r="DMS1506" s="8" t="s">
        <v>5146</v>
      </c>
      <c r="DMT1506" s="8" t="s">
        <v>5146</v>
      </c>
    </row>
    <row r="1507" spans="1:1016 1112:2039 2064:3064 3080:4041 7492:7496">
      <c r="A1507" s="8" t="s">
        <v>9935</v>
      </c>
      <c r="B1507" s="10" t="s">
        <v>11479</v>
      </c>
      <c r="C1507" s="8">
        <v>784.33</v>
      </c>
      <c r="D1507" s="15">
        <v>25</v>
      </c>
      <c r="AEK1507" s="8" t="s">
        <v>11479</v>
      </c>
      <c r="BAV1507" s="8" t="s">
        <v>2191</v>
      </c>
      <c r="BCR1507" s="8" t="s">
        <v>1773</v>
      </c>
      <c r="BGJ1507" s="8" t="s">
        <v>538</v>
      </c>
      <c r="BIF1507" s="8" t="s">
        <v>538</v>
      </c>
      <c r="BKB1507" s="8" t="s">
        <v>538</v>
      </c>
      <c r="BLX1507" s="8" t="s">
        <v>538</v>
      </c>
      <c r="BWR1507" s="8" t="s">
        <v>561</v>
      </c>
      <c r="CAR1507" s="8" t="s">
        <v>1197</v>
      </c>
      <c r="CCF1507" s="8" t="s">
        <v>1197</v>
      </c>
      <c r="CCN1507" s="8" t="s">
        <v>1197</v>
      </c>
      <c r="CZX1507" s="8" t="s">
        <v>5115</v>
      </c>
      <c r="CZY1507" s="8" t="s">
        <v>5115</v>
      </c>
      <c r="DBT1507" s="8" t="s">
        <v>5115</v>
      </c>
      <c r="DBU1507" s="8" t="s">
        <v>5115</v>
      </c>
      <c r="ENH1507" s="8" t="s">
        <v>5791</v>
      </c>
      <c r="ENI1507" s="8" t="s">
        <v>5791</v>
      </c>
      <c r="EPC1507" s="8" t="s">
        <v>5147</v>
      </c>
      <c r="EPD1507" s="8" t="s">
        <v>5147</v>
      </c>
      <c r="EPE1507" s="8" t="s">
        <v>5147</v>
      </c>
    </row>
    <row r="1508" spans="1:1016 1112:2039 2064:3064 3080:4041 7492:7496">
      <c r="A1508" s="8" t="s">
        <v>9935</v>
      </c>
      <c r="B1508" s="10" t="s">
        <v>11480</v>
      </c>
      <c r="C1508" s="8">
        <v>811</v>
      </c>
      <c r="D1508" s="15">
        <v>5</v>
      </c>
      <c r="AER1508" s="8" t="s">
        <v>11480</v>
      </c>
      <c r="BCR1508" s="8" t="s">
        <v>2192</v>
      </c>
      <c r="BEN1508" s="8" t="s">
        <v>1774</v>
      </c>
      <c r="BIF1508" s="8" t="s">
        <v>1346</v>
      </c>
      <c r="BKB1508" s="8" t="s">
        <v>1346</v>
      </c>
      <c r="BLX1508" s="8" t="s">
        <v>1346</v>
      </c>
      <c r="BNT1508" s="8" t="s">
        <v>1346</v>
      </c>
      <c r="BWR1508" s="8" t="s">
        <v>562</v>
      </c>
      <c r="BWZ1508" s="8" t="s">
        <v>562</v>
      </c>
      <c r="CCN1508" s="8" t="s">
        <v>562</v>
      </c>
      <c r="CGF1508" s="8" t="s">
        <v>1198</v>
      </c>
      <c r="CIB1508" s="8" t="s">
        <v>1198</v>
      </c>
      <c r="DAN1508" s="8" t="s">
        <v>5116</v>
      </c>
      <c r="DCJ1508" s="8" t="s">
        <v>5116</v>
      </c>
      <c r="DCK1508" s="8" t="s">
        <v>5116</v>
      </c>
    </row>
    <row r="1509" spans="1:1016 1112:2039 2064:3064 3080:4041 7492:7496">
      <c r="A1509" s="8" t="s">
        <v>9935</v>
      </c>
      <c r="B1509" s="10" t="s">
        <v>14314</v>
      </c>
      <c r="C1509" s="8">
        <v>959.35</v>
      </c>
      <c r="D1509" s="15">
        <v>5</v>
      </c>
      <c r="AKJ1509" s="8" t="s">
        <v>14314</v>
      </c>
      <c r="BGZ1509" s="8" t="s">
        <v>2193</v>
      </c>
      <c r="BIV1509" s="8" t="s">
        <v>1775</v>
      </c>
      <c r="BMN1509" s="8" t="s">
        <v>1347</v>
      </c>
      <c r="BOJ1509" s="8" t="s">
        <v>1347</v>
      </c>
      <c r="BQF1509" s="8" t="s">
        <v>1347</v>
      </c>
      <c r="BSB1509" s="8" t="s">
        <v>1347</v>
      </c>
      <c r="CCN1509" s="8" t="s">
        <v>563</v>
      </c>
      <c r="CEJ1509" s="8" t="s">
        <v>1199</v>
      </c>
      <c r="CEV1509" s="8" t="s">
        <v>563</v>
      </c>
      <c r="CIB1509" s="8" t="s">
        <v>563</v>
      </c>
      <c r="CJX1509" s="8" t="s">
        <v>1199</v>
      </c>
      <c r="CLT1509" s="8" t="s">
        <v>1199</v>
      </c>
      <c r="EMA1509" s="8" t="s">
        <v>5117</v>
      </c>
      <c r="EMB1509" s="8" t="s">
        <v>5117</v>
      </c>
      <c r="ENW1509" s="8" t="s">
        <v>5117</v>
      </c>
      <c r="ENX1509" s="8" t="s">
        <v>5117</v>
      </c>
    </row>
    <row r="1510" spans="1:1016 1112:2039 2064:3064 3080:4041 7492:7496">
      <c r="A1510" s="8" t="s">
        <v>9935</v>
      </c>
      <c r="B1510" s="10" t="s">
        <v>11481</v>
      </c>
      <c r="C1510" s="8">
        <v>962</v>
      </c>
      <c r="D1510" s="15">
        <v>1.75</v>
      </c>
      <c r="AKJ1510" s="8" t="s">
        <v>11481</v>
      </c>
      <c r="BIF1510" s="8" t="s">
        <v>2194</v>
      </c>
      <c r="BKB1510" s="8" t="s">
        <v>1776</v>
      </c>
      <c r="BNT1510" s="8" t="s">
        <v>539</v>
      </c>
      <c r="BPP1510" s="8" t="s">
        <v>539</v>
      </c>
      <c r="BRL1510" s="8" t="s">
        <v>539</v>
      </c>
      <c r="BTH1510" s="8" t="s">
        <v>539</v>
      </c>
      <c r="CEF1510" s="8" t="s">
        <v>564</v>
      </c>
      <c r="CEJ1510" s="8" t="s">
        <v>1200</v>
      </c>
      <c r="CGF1510" s="8" t="s">
        <v>564</v>
      </c>
      <c r="CLT1510" s="8" t="s">
        <v>564</v>
      </c>
      <c r="CRH1510" s="8" t="s">
        <v>1200</v>
      </c>
      <c r="CTD1510" s="8" t="s">
        <v>1200</v>
      </c>
      <c r="ENH1510" s="8" t="s">
        <v>5118</v>
      </c>
      <c r="ENI1510" s="8" t="s">
        <v>5118</v>
      </c>
      <c r="EPD1510" s="8" t="s">
        <v>5118</v>
      </c>
      <c r="EPE1510" s="8" t="s">
        <v>5118</v>
      </c>
    </row>
    <row r="1511" spans="1:1016 1112:2039 2064:3064 3080:4041 7492:7496">
      <c r="A1511" s="8" t="s">
        <v>9935</v>
      </c>
      <c r="B1511" s="10" t="s">
        <v>11482</v>
      </c>
      <c r="C1511" s="8">
        <v>1000.75</v>
      </c>
      <c r="D1511" s="15">
        <v>5</v>
      </c>
      <c r="ALZ1511" s="8" t="s">
        <v>11482</v>
      </c>
      <c r="BJX1511" s="8" t="s">
        <v>2195</v>
      </c>
      <c r="BLT1511" s="8" t="s">
        <v>1777</v>
      </c>
      <c r="BPL1511" s="8" t="s">
        <v>540</v>
      </c>
      <c r="BRH1511" s="8" t="s">
        <v>540</v>
      </c>
      <c r="BTD1511" s="8" t="s">
        <v>540</v>
      </c>
      <c r="BUZ1511" s="8" t="s">
        <v>540</v>
      </c>
      <c r="CNP1511" s="8" t="s">
        <v>565</v>
      </c>
      <c r="CQN1511" s="8" t="s">
        <v>565</v>
      </c>
      <c r="CRH1511" s="8" t="s">
        <v>1201</v>
      </c>
      <c r="CSF1511" s="8" t="s">
        <v>1201</v>
      </c>
      <c r="CTD1511" s="8" t="s">
        <v>565</v>
      </c>
      <c r="CUB1511" s="8" t="s">
        <v>1201</v>
      </c>
      <c r="EWN1511" s="8" t="s">
        <v>5119</v>
      </c>
      <c r="EWO1511" s="8" t="s">
        <v>5119</v>
      </c>
      <c r="EYJ1511" s="8" t="s">
        <v>5119</v>
      </c>
      <c r="EYK1511" s="8" t="s">
        <v>5119</v>
      </c>
    </row>
    <row r="1512" spans="1:1016 1112:2039 2064:3064 3080:4041 7492:7496">
      <c r="A1512" s="8" t="s">
        <v>9935</v>
      </c>
      <c r="B1512" s="10" t="s">
        <v>11483</v>
      </c>
      <c r="C1512" s="8">
        <v>1006.75</v>
      </c>
      <c r="D1512" s="15">
        <v>1.25</v>
      </c>
      <c r="AMB1512" s="8" t="s">
        <v>11483</v>
      </c>
      <c r="BKB1512" s="8" t="s">
        <v>2196</v>
      </c>
      <c r="BLX1512" s="8" t="s">
        <v>1778</v>
      </c>
      <c r="BPP1512" s="8" t="s">
        <v>541</v>
      </c>
      <c r="BRL1512" s="8" t="s">
        <v>541</v>
      </c>
      <c r="BTH1512" s="8" t="s">
        <v>541</v>
      </c>
      <c r="BVD1512" s="8" t="s">
        <v>541</v>
      </c>
      <c r="CON1512" s="8" t="s">
        <v>566</v>
      </c>
      <c r="CUB1512" s="8" t="s">
        <v>1202</v>
      </c>
      <c r="CUR1512" s="8" t="s">
        <v>566</v>
      </c>
      <c r="CUZ1512" s="8" t="s">
        <v>1202</v>
      </c>
      <c r="CWV1512" s="8" t="s">
        <v>1202</v>
      </c>
    </row>
    <row r="1513" spans="1:1016 1112:2039 2064:3064 3080:4041 7492:7496">
      <c r="A1513" s="8" t="s">
        <v>9935</v>
      </c>
      <c r="B1513" s="10" t="s">
        <v>11484</v>
      </c>
      <c r="C1513" s="8">
        <v>1099</v>
      </c>
      <c r="D1513" s="15">
        <v>5</v>
      </c>
      <c r="APT1513" s="8" t="s">
        <v>11484</v>
      </c>
      <c r="BKB1513" s="8" t="s">
        <v>1203</v>
      </c>
      <c r="BKC1513" s="8" t="s">
        <v>567</v>
      </c>
      <c r="BNM1513" s="8" t="s">
        <v>2197</v>
      </c>
      <c r="BPI1513" s="8" t="s">
        <v>1779</v>
      </c>
      <c r="BTA1513" s="8" t="s">
        <v>1397</v>
      </c>
      <c r="BUW1513" s="8" t="s">
        <v>1397</v>
      </c>
      <c r="BWS1513" s="8" t="s">
        <v>1397</v>
      </c>
      <c r="BYO1513" s="8" t="s">
        <v>1397</v>
      </c>
      <c r="CRH1513" s="8" t="s">
        <v>567</v>
      </c>
      <c r="CWV1513" s="8" t="s">
        <v>567</v>
      </c>
      <c r="EFX1513" s="8" t="s">
        <v>1203</v>
      </c>
      <c r="EHT1513" s="8" t="s">
        <v>1203</v>
      </c>
    </row>
    <row r="1514" spans="1:1016 1112:2039 2064:3064 3080:4041 7492:7496">
      <c r="A1514" s="8" t="s">
        <v>9935</v>
      </c>
      <c r="B1514" s="10" t="s">
        <v>14315</v>
      </c>
      <c r="C1514" s="8">
        <v>1147</v>
      </c>
      <c r="D1514" s="15">
        <v>5</v>
      </c>
      <c r="ARP1514" s="8" t="s">
        <v>14315</v>
      </c>
      <c r="BNT1514" s="8" t="s">
        <v>2198</v>
      </c>
      <c r="BOR1514" s="8" t="s">
        <v>568</v>
      </c>
      <c r="BPP1514" s="8" t="s">
        <v>1780</v>
      </c>
      <c r="BTH1514" s="8" t="s">
        <v>542</v>
      </c>
      <c r="BVD1514" s="8" t="s">
        <v>542</v>
      </c>
      <c r="BWZ1514" s="8" t="s">
        <v>542</v>
      </c>
      <c r="BYV1514" s="8" t="s">
        <v>542</v>
      </c>
      <c r="DYN1514" s="8" t="s">
        <v>1204</v>
      </c>
      <c r="DYT1514" s="8" t="s">
        <v>568</v>
      </c>
      <c r="ECF1514" s="8" t="s">
        <v>568</v>
      </c>
      <c r="EHT1514" s="8" t="s">
        <v>568</v>
      </c>
      <c r="EPD1514" s="8" t="s">
        <v>1204</v>
      </c>
      <c r="EQZ1514" s="8" t="s">
        <v>1204</v>
      </c>
    </row>
    <row r="1515" spans="1:1016 1112:2039 2064:3064 3080:4041 7492:7496">
      <c r="A1515" s="8" t="s">
        <v>9935</v>
      </c>
      <c r="B1515" s="10" t="s">
        <v>11485</v>
      </c>
      <c r="C1515" s="8">
        <v>1463</v>
      </c>
      <c r="D1515" s="15">
        <v>25</v>
      </c>
      <c r="BEN1515" s="8" t="s">
        <v>11485</v>
      </c>
      <c r="BOI1515" s="8" t="s">
        <v>2199</v>
      </c>
      <c r="BQE1515" s="8" t="s">
        <v>1781</v>
      </c>
      <c r="BSJ1515" s="8" t="s">
        <v>569</v>
      </c>
      <c r="BTH1515" s="8" t="s">
        <v>569</v>
      </c>
      <c r="BTW1515" s="8" t="s">
        <v>543</v>
      </c>
      <c r="BUF1515" s="8" t="s">
        <v>1280</v>
      </c>
      <c r="BVS1515" s="8" t="s">
        <v>543</v>
      </c>
      <c r="BXO1515" s="8" t="s">
        <v>543</v>
      </c>
      <c r="BZK1515" s="8" t="s">
        <v>543</v>
      </c>
      <c r="ELL1515" s="8" t="s">
        <v>569</v>
      </c>
      <c r="EQZ1515" s="8" t="s">
        <v>569</v>
      </c>
      <c r="KBD1515" s="8" t="s">
        <v>569</v>
      </c>
      <c r="KBH1515" s="8" t="s">
        <v>1280</v>
      </c>
    </row>
    <row r="1516" spans="1:1016 1112:2039 2064:3064 3080:4041 7492:7496">
      <c r="A1516" s="8" t="s">
        <v>9935</v>
      </c>
      <c r="B1516" s="10" t="s">
        <v>11486</v>
      </c>
      <c r="C1516" s="8">
        <v>1630.25</v>
      </c>
      <c r="D1516" s="15">
        <v>1.75</v>
      </c>
      <c r="BKB1516" s="8" t="s">
        <v>11486</v>
      </c>
      <c r="BRL1516" s="8" t="s">
        <v>2200</v>
      </c>
      <c r="BTH1516" s="8" t="s">
        <v>1782</v>
      </c>
      <c r="BWZ1516" s="8" t="s">
        <v>1348</v>
      </c>
      <c r="BYV1516" s="8" t="s">
        <v>1348</v>
      </c>
      <c r="CAR1516" s="8" t="s">
        <v>1348</v>
      </c>
      <c r="CCN1516" s="8" t="s">
        <v>1348</v>
      </c>
    </row>
    <row r="1517" spans="1:1016 1112:2039 2064:3064 3080:4041 7492:7496">
      <c r="A1517" s="8" t="s">
        <v>9935</v>
      </c>
      <c r="B1517" s="10" t="s">
        <v>14316</v>
      </c>
      <c r="C1517" s="8">
        <v>1655.5</v>
      </c>
      <c r="D1517" s="15">
        <v>24.5</v>
      </c>
      <c r="BLX1517" s="8" t="s">
        <v>14316</v>
      </c>
      <c r="CJX1517" s="8" t="s">
        <v>2201</v>
      </c>
      <c r="CLT1517" s="8" t="s">
        <v>1783</v>
      </c>
      <c r="CPL1517" s="8" t="s">
        <v>683</v>
      </c>
      <c r="CRH1517" s="8" t="s">
        <v>683</v>
      </c>
      <c r="CTD1517" s="8" t="s">
        <v>683</v>
      </c>
      <c r="CUZ1517" s="8" t="s">
        <v>683</v>
      </c>
    </row>
    <row r="1518" spans="1:1016 1112:2039 2064:3064 3080:4041 7492:7496">
      <c r="A1518" s="8" t="s">
        <v>9936</v>
      </c>
      <c r="B1518" s="10" t="s">
        <v>11488</v>
      </c>
      <c r="C1518" s="8">
        <v>-95</v>
      </c>
      <c r="D1518" s="15">
        <v>14</v>
      </c>
      <c r="H1518" s="8" t="s">
        <v>11488</v>
      </c>
      <c r="BAV1518" s="8" t="s">
        <v>546</v>
      </c>
      <c r="DMV1518" s="8" t="s">
        <v>2202</v>
      </c>
      <c r="DOR1518" s="8" t="s">
        <v>1784</v>
      </c>
      <c r="DSJ1518" s="8" t="s">
        <v>544</v>
      </c>
      <c r="DUF1518" s="8" t="s">
        <v>544</v>
      </c>
      <c r="DWB1518" s="8" t="s">
        <v>544</v>
      </c>
      <c r="DXX1518" s="8" t="s">
        <v>544</v>
      </c>
    </row>
    <row r="1519" spans="1:1016 1112:2039 2064:3064 3080:4041 7492:7496">
      <c r="A1519" s="8" t="s">
        <v>9936</v>
      </c>
      <c r="B1519" s="10" t="s">
        <v>11489</v>
      </c>
      <c r="C1519" s="8">
        <v>-80</v>
      </c>
      <c r="D1519" s="15">
        <v>2.8</v>
      </c>
      <c r="H1519" s="8" t="s">
        <v>11489</v>
      </c>
      <c r="BKB1519" s="8" t="s">
        <v>547</v>
      </c>
      <c r="DNL1519" s="8" t="s">
        <v>2203</v>
      </c>
      <c r="DPH1519" s="8" t="s">
        <v>1785</v>
      </c>
      <c r="DSZ1519" s="8" t="s">
        <v>545</v>
      </c>
      <c r="DUV1519" s="8" t="s">
        <v>545</v>
      </c>
      <c r="DWR1519" s="8" t="s">
        <v>545</v>
      </c>
      <c r="DYN1519" s="8" t="s">
        <v>545</v>
      </c>
    </row>
    <row r="1520" spans="1:1016 1112:2039 2064:3064 3080:4041 7492:7496">
      <c r="A1520" s="8" t="s">
        <v>9936</v>
      </c>
      <c r="B1520" s="10" t="s">
        <v>11490</v>
      </c>
      <c r="C1520" s="8">
        <v>39</v>
      </c>
      <c r="D1520" s="15">
        <v>2</v>
      </c>
      <c r="AW1520" s="8" t="s">
        <v>11490</v>
      </c>
      <c r="BYV1520" s="8" t="s">
        <v>548</v>
      </c>
    </row>
    <row r="1521" spans="1:433 1390:1880 2461:2840 3368:3368 4280:4280">
      <c r="A1521" s="8" t="s">
        <v>9936</v>
      </c>
      <c r="B1521" s="10" t="s">
        <v>11491</v>
      </c>
      <c r="C1521" s="8">
        <v>125.44</v>
      </c>
      <c r="D1521" s="15">
        <v>2</v>
      </c>
      <c r="EE1521" s="8" t="s">
        <v>11491</v>
      </c>
      <c r="BKB1521" s="8" t="s">
        <v>11485</v>
      </c>
      <c r="BLX1521" s="8" t="s">
        <v>10436</v>
      </c>
      <c r="CPQ1521" s="8" t="s">
        <v>549</v>
      </c>
    </row>
    <row r="1522" spans="1:433 1390:1880 2461:2840 3368:3368 4280:4280">
      <c r="A1522" s="8" t="s">
        <v>9936</v>
      </c>
      <c r="B1522" s="10" t="s">
        <v>11429</v>
      </c>
      <c r="C1522" s="8">
        <v>145</v>
      </c>
      <c r="D1522" s="15">
        <v>2.8</v>
      </c>
      <c r="EZ1522" s="8" t="s">
        <v>11429</v>
      </c>
      <c r="BPP1522" s="8" t="s">
        <v>11486</v>
      </c>
      <c r="BRL1522" s="8" t="s">
        <v>10437</v>
      </c>
      <c r="DEF1522" s="8" t="s">
        <v>550</v>
      </c>
    </row>
    <row r="1523" spans="1:433 1390:1880 2461:2840 3368:3368 4280:4280">
      <c r="A1523" s="8" t="s">
        <v>9936</v>
      </c>
      <c r="B1523" s="10" t="s">
        <v>11492</v>
      </c>
      <c r="C1523" s="8">
        <v>241</v>
      </c>
      <c r="D1523" s="15">
        <v>2.8</v>
      </c>
      <c r="IR1523" s="8" t="s">
        <v>11492</v>
      </c>
      <c r="BRL1523" s="8" t="s">
        <v>11487</v>
      </c>
      <c r="BTH1523" s="8" t="s">
        <v>10438</v>
      </c>
      <c r="DYN1523" s="8" t="s">
        <v>551</v>
      </c>
    </row>
    <row r="1524" spans="1:433 1390:1880 2461:2840 3368:3368 4280:4280">
      <c r="A1524" s="8" t="s">
        <v>9936</v>
      </c>
      <c r="B1524" s="10" t="s">
        <v>14317</v>
      </c>
      <c r="C1524" s="8">
        <v>242</v>
      </c>
      <c r="D1524" s="15">
        <v>11.2</v>
      </c>
      <c r="JA1524" s="8" t="s">
        <v>14317</v>
      </c>
      <c r="FHP1524" s="8" t="s">
        <v>552</v>
      </c>
    </row>
    <row r="1525" spans="1:433 1390:1880 2461:2840 3368:3368 4280:4280">
      <c r="A1525" s="8" t="s">
        <v>9936</v>
      </c>
      <c r="B1525" s="10" t="s">
        <v>14318</v>
      </c>
      <c r="C1525" s="8">
        <v>282.39999999999998</v>
      </c>
      <c r="D1525" s="15">
        <v>5.6</v>
      </c>
      <c r="KJ1525" s="8" t="s">
        <v>14318</v>
      </c>
    </row>
    <row r="1526" spans="1:433 1390:1880 2461:2840 3368:3368 4280:4280">
      <c r="A1526" s="8" t="s">
        <v>9936</v>
      </c>
      <c r="B1526" s="10" t="s">
        <v>11493</v>
      </c>
      <c r="C1526" s="8">
        <v>290</v>
      </c>
      <c r="D1526" s="15">
        <v>19.600000000000001</v>
      </c>
      <c r="LF1526" s="8" t="s">
        <v>11493</v>
      </c>
    </row>
    <row r="1527" spans="1:433 1390:1880 2461:2840 3368:3368 4280:4280">
      <c r="A1527" s="8" t="s">
        <v>9936</v>
      </c>
      <c r="B1527" s="10" t="s">
        <v>11494</v>
      </c>
      <c r="C1527" s="8">
        <v>313.41000000000003</v>
      </c>
      <c r="D1527" s="15">
        <v>24</v>
      </c>
      <c r="MG1527" s="8" t="s">
        <v>11494</v>
      </c>
    </row>
    <row r="1528" spans="1:433 1390:1880 2461:2840 3368:3368 4280:4280">
      <c r="A1528" s="8" t="s">
        <v>9936</v>
      </c>
      <c r="B1528" s="10" t="s">
        <v>11470</v>
      </c>
      <c r="C1528" s="8">
        <v>338.41</v>
      </c>
      <c r="D1528" s="15">
        <v>5.6</v>
      </c>
      <c r="MN1528" s="8" t="s">
        <v>11470</v>
      </c>
      <c r="BAL1528" s="8" t="s">
        <v>5792</v>
      </c>
      <c r="BAM1528" s="8" t="s">
        <v>5792</v>
      </c>
      <c r="BCG1528" s="8" t="s">
        <v>5149</v>
      </c>
      <c r="BCH1528" s="8" t="s">
        <v>5149</v>
      </c>
      <c r="BCI1528" s="8" t="s">
        <v>5149</v>
      </c>
    </row>
    <row r="1529" spans="1:433 1390:1880 2461:2840 3368:3368 4280:4280">
      <c r="A1529" s="8" t="s">
        <v>9936</v>
      </c>
      <c r="B1529" s="10" t="s">
        <v>14319</v>
      </c>
      <c r="C1529" s="8">
        <v>378.4</v>
      </c>
      <c r="D1529" s="15">
        <v>5.6</v>
      </c>
      <c r="OB1529" s="8" t="s">
        <v>14319</v>
      </c>
    </row>
    <row r="1530" spans="1:433 1390:1880 2461:2840 3368:3368 4280:4280">
      <c r="A1530" s="8" t="s">
        <v>9936</v>
      </c>
      <c r="B1530" s="10" t="s">
        <v>14320</v>
      </c>
      <c r="C1530" s="8">
        <v>385</v>
      </c>
      <c r="D1530" s="15">
        <v>2.8</v>
      </c>
      <c r="OF1530" s="8" t="s">
        <v>14320</v>
      </c>
    </row>
    <row r="1531" spans="1:433 1390:1880 2461:2840 3368:3368 4280:4280">
      <c r="A1531" s="8" t="s">
        <v>9936</v>
      </c>
      <c r="B1531" s="10" t="s">
        <v>14321</v>
      </c>
      <c r="C1531" s="8">
        <v>385</v>
      </c>
      <c r="D1531" s="15">
        <v>2.8</v>
      </c>
      <c r="OF1531" s="8" t="s">
        <v>14321</v>
      </c>
    </row>
    <row r="1532" spans="1:433 1390:1880 2461:2840 3368:3368 4280:4280">
      <c r="A1532" s="8" t="s">
        <v>9936</v>
      </c>
      <c r="B1532" s="10" t="s">
        <v>14322</v>
      </c>
      <c r="C1532" s="8">
        <v>388.8</v>
      </c>
      <c r="D1532" s="15">
        <v>11.2</v>
      </c>
      <c r="OR1532" s="8" t="s">
        <v>14322</v>
      </c>
    </row>
    <row r="1533" spans="1:433 1390:1880 2461:2840 3368:3368 4280:4280">
      <c r="A1533" s="8" t="s">
        <v>9936</v>
      </c>
      <c r="B1533" s="10" t="s">
        <v>14323</v>
      </c>
      <c r="C1533" s="8">
        <v>404.8</v>
      </c>
      <c r="D1533" s="15">
        <v>5.6</v>
      </c>
      <c r="PB1533" s="8" t="s">
        <v>14323</v>
      </c>
    </row>
    <row r="1534" spans="1:433 1390:1880 2461:2840 3368:3368 4280:4280">
      <c r="A1534" s="8" t="s">
        <v>9936</v>
      </c>
      <c r="B1534" s="10" t="s">
        <v>14324</v>
      </c>
      <c r="C1534" s="8">
        <v>411.4</v>
      </c>
      <c r="D1534" s="15">
        <v>2.8</v>
      </c>
      <c r="PF1534" s="8" t="s">
        <v>14324</v>
      </c>
    </row>
    <row r="1535" spans="1:433 1390:1880 2461:2840 3368:3368 4280:4280">
      <c r="A1535" s="8" t="s">
        <v>9936</v>
      </c>
      <c r="B1535" s="10" t="s">
        <v>11495</v>
      </c>
      <c r="C1535" s="8">
        <v>415.2</v>
      </c>
      <c r="D1535" s="15">
        <v>2.8</v>
      </c>
      <c r="PJ1535" s="8" t="s">
        <v>11495</v>
      </c>
    </row>
    <row r="1536" spans="1:433 1390:1880 2461:2840 3368:3368 4280:4280">
      <c r="A1536" s="8" t="s">
        <v>9936</v>
      </c>
      <c r="B1536" s="10" t="s">
        <v>14325</v>
      </c>
      <c r="C1536" s="8">
        <v>419.8</v>
      </c>
      <c r="D1536" s="15">
        <v>5.6</v>
      </c>
      <c r="PQ1536" s="8" t="s">
        <v>14325</v>
      </c>
    </row>
    <row r="1537" spans="1:837 1064:2024 2120:2841 3752:4040 4136:4136">
      <c r="A1537" s="8" t="s">
        <v>9936</v>
      </c>
      <c r="B1537" s="10" t="s">
        <v>14326</v>
      </c>
      <c r="C1537" s="8">
        <v>426.4</v>
      </c>
      <c r="D1537" s="15">
        <v>5.6</v>
      </c>
      <c r="PX1537" s="8" t="s">
        <v>14326</v>
      </c>
    </row>
    <row r="1538" spans="1:837 1064:2024 2120:2841 3752:4040 4136:4136">
      <c r="A1538" s="8" t="s">
        <v>9936</v>
      </c>
      <c r="B1538" s="10" t="s">
        <v>14327</v>
      </c>
      <c r="C1538" s="8">
        <v>628.79999999999995</v>
      </c>
      <c r="D1538" s="15">
        <v>11.2</v>
      </c>
      <c r="XX1538" s="8" t="s">
        <v>14327</v>
      </c>
    </row>
    <row r="1539" spans="1:837 1064:2024 2120:2841 3752:4040 4136:4136">
      <c r="A1539" s="8" t="s">
        <v>9936</v>
      </c>
      <c r="B1539" s="10" t="s">
        <v>14328</v>
      </c>
      <c r="C1539" s="8">
        <v>674</v>
      </c>
      <c r="D1539" s="15">
        <v>5.6</v>
      </c>
      <c r="ZL1539" s="8" t="s">
        <v>14328</v>
      </c>
    </row>
    <row r="1540" spans="1:837 1064:2024 2120:2841 3752:4040 4136:4136">
      <c r="A1540" s="8" t="s">
        <v>9936</v>
      </c>
      <c r="B1540" s="10" t="s">
        <v>11445</v>
      </c>
      <c r="C1540" s="8">
        <v>721</v>
      </c>
      <c r="D1540" s="15">
        <v>2.8</v>
      </c>
      <c r="ABD1540" s="8" t="s">
        <v>11445</v>
      </c>
    </row>
    <row r="1541" spans="1:837 1064:2024 2120:2841 3752:4040 4136:4136">
      <c r="A1541" s="8" t="s">
        <v>9936</v>
      </c>
      <c r="B1541" s="10" t="s">
        <v>14329</v>
      </c>
      <c r="C1541" s="8">
        <v>724.8</v>
      </c>
      <c r="D1541" s="15">
        <v>2.8</v>
      </c>
      <c r="ABH1541" s="8" t="s">
        <v>14329</v>
      </c>
    </row>
    <row r="1542" spans="1:837 1064:2024 2120:2841 3752:4040 4136:4136">
      <c r="A1542" s="8" t="s">
        <v>9936</v>
      </c>
      <c r="B1542" s="10" t="s">
        <v>14330</v>
      </c>
      <c r="C1542" s="8">
        <v>737.6</v>
      </c>
      <c r="D1542" s="15">
        <v>22.4</v>
      </c>
      <c r="ACN1542" s="8" t="s">
        <v>14330</v>
      </c>
      <c r="AYZ1542" s="8" t="s">
        <v>5154</v>
      </c>
      <c r="AZA1542" s="8" t="s">
        <v>5154</v>
      </c>
    </row>
    <row r="1543" spans="1:837 1064:2024 2120:2841 3752:4040 4136:4136">
      <c r="A1543" s="8" t="s">
        <v>9936</v>
      </c>
      <c r="B1543" s="10" t="s">
        <v>11497</v>
      </c>
      <c r="C1543" s="8">
        <v>761</v>
      </c>
      <c r="D1543" s="15">
        <v>2</v>
      </c>
      <c r="ACQ1543" s="8" t="s">
        <v>11497</v>
      </c>
      <c r="BGJ1543" s="8" t="s">
        <v>5155</v>
      </c>
      <c r="BGK1543" s="8" t="s">
        <v>5155</v>
      </c>
    </row>
    <row r="1544" spans="1:837 1064:2024 2120:2841 3752:4040 4136:4136">
      <c r="A1544" s="8" t="s">
        <v>9936</v>
      </c>
      <c r="B1544" s="10" t="s">
        <v>14331</v>
      </c>
      <c r="C1544" s="8">
        <v>818</v>
      </c>
      <c r="D1544" s="15">
        <v>11.2</v>
      </c>
      <c r="AFE1544" s="8" t="s">
        <v>14331</v>
      </c>
      <c r="BJP1544" s="8" t="s">
        <v>5350</v>
      </c>
      <c r="BJQ1544" s="8" t="s">
        <v>5350</v>
      </c>
    </row>
    <row r="1545" spans="1:837 1064:2024 2120:2841 3752:4040 4136:4136">
      <c r="A1545" s="8" t="s">
        <v>9936</v>
      </c>
      <c r="B1545" s="10" t="s">
        <v>11498</v>
      </c>
      <c r="C1545" s="8">
        <v>1032</v>
      </c>
      <c r="D1545" s="15">
        <v>24</v>
      </c>
      <c r="ANX1545" s="8" t="s">
        <v>11498</v>
      </c>
      <c r="BKB1545" s="8" t="s">
        <v>5351</v>
      </c>
      <c r="BKC1545" s="8" t="s">
        <v>5351</v>
      </c>
    </row>
    <row r="1546" spans="1:837 1064:2024 2120:2841 3752:4040 4136:4136">
      <c r="A1546" s="8" t="s">
        <v>9936</v>
      </c>
      <c r="B1546" s="10" t="s">
        <v>14332</v>
      </c>
      <c r="C1546" s="8">
        <v>1084</v>
      </c>
      <c r="D1546" s="15">
        <v>8</v>
      </c>
      <c r="APH1546" s="8" t="s">
        <v>14332</v>
      </c>
      <c r="AYZ1546" s="8" t="s">
        <v>548</v>
      </c>
      <c r="BAV1546" s="8" t="s">
        <v>548</v>
      </c>
      <c r="BVH1546" s="8" t="s">
        <v>5156</v>
      </c>
    </row>
    <row r="1547" spans="1:837 1064:2024 2120:2841 3752:4040 4136:4136">
      <c r="A1547" s="8" t="s">
        <v>9936</v>
      </c>
      <c r="B1547" s="10" t="s">
        <v>11499</v>
      </c>
      <c r="C1547" s="8">
        <v>1093</v>
      </c>
      <c r="D1547" s="15">
        <v>2</v>
      </c>
      <c r="APK1547" s="8" t="s">
        <v>11499</v>
      </c>
      <c r="BEN1547" s="8" t="s">
        <v>2204</v>
      </c>
      <c r="BGJ1547" s="8" t="s">
        <v>1786</v>
      </c>
      <c r="BKB1547" s="8" t="s">
        <v>549</v>
      </c>
      <c r="BLX1547" s="8" t="s">
        <v>549</v>
      </c>
      <c r="BNT1547" s="8" t="s">
        <v>549</v>
      </c>
      <c r="BPP1547" s="8" t="s">
        <v>549</v>
      </c>
      <c r="BWZ1547" s="8" t="s">
        <v>5157</v>
      </c>
      <c r="BXA1547" s="8" t="s">
        <v>5157</v>
      </c>
    </row>
    <row r="1548" spans="1:837 1064:2024 2120:2841 3752:4040 4136:4136">
      <c r="A1548" s="8" t="s">
        <v>9936</v>
      </c>
      <c r="B1548" s="10" t="s">
        <v>11500</v>
      </c>
      <c r="C1548" s="8">
        <v>1096</v>
      </c>
      <c r="D1548" s="15">
        <v>8</v>
      </c>
      <c r="APT1548" s="8" t="s">
        <v>11500</v>
      </c>
      <c r="CCN1548" s="8" t="s">
        <v>2205</v>
      </c>
      <c r="CEJ1548" s="8" t="s">
        <v>1787</v>
      </c>
      <c r="CIB1548" s="8" t="s">
        <v>1398</v>
      </c>
      <c r="CJX1548" s="8" t="s">
        <v>1398</v>
      </c>
      <c r="CLT1548" s="8" t="s">
        <v>1398</v>
      </c>
      <c r="CNP1548" s="8" t="s">
        <v>5158</v>
      </c>
      <c r="CNQ1548" s="8" t="s">
        <v>5158</v>
      </c>
    </row>
    <row r="1549" spans="1:837 1064:2024 2120:2841 3752:4040 4136:4136">
      <c r="A1549" s="8" t="s">
        <v>9936</v>
      </c>
      <c r="B1549" s="10" t="s">
        <v>11501</v>
      </c>
      <c r="C1549" s="8">
        <v>1100</v>
      </c>
      <c r="D1549" s="15">
        <v>4</v>
      </c>
      <c r="APT1549" s="8" t="s">
        <v>11501</v>
      </c>
      <c r="BDP1549" s="8" t="s">
        <v>570</v>
      </c>
      <c r="CEJ1549" s="8" t="s">
        <v>11502</v>
      </c>
      <c r="CGF1549" s="8" t="s">
        <v>10439</v>
      </c>
      <c r="CJX1549" s="8" t="s">
        <v>2206</v>
      </c>
      <c r="CLT1549" s="8" t="s">
        <v>1788</v>
      </c>
      <c r="CPL1549" s="8" t="s">
        <v>551</v>
      </c>
      <c r="CRH1549" s="8" t="s">
        <v>551</v>
      </c>
      <c r="CTD1549" s="8" t="s">
        <v>551</v>
      </c>
      <c r="CUZ1549" s="8" t="s">
        <v>551</v>
      </c>
      <c r="DCJ1549" s="8" t="s">
        <v>5159</v>
      </c>
      <c r="DCK1549" s="8" t="s">
        <v>5159</v>
      </c>
    </row>
    <row r="1550" spans="1:837 1064:2024 2120:2841 3752:4040 4136:4136">
      <c r="A1550" s="8" t="s">
        <v>9936</v>
      </c>
      <c r="B1550" s="10" t="s">
        <v>14333</v>
      </c>
      <c r="C1550" s="8">
        <v>1951</v>
      </c>
      <c r="D1550" s="15">
        <v>56</v>
      </c>
      <c r="BAV1550" s="8" t="s">
        <v>5120</v>
      </c>
      <c r="BAW1550" s="8" t="s">
        <v>5120</v>
      </c>
      <c r="BCR1550" s="8" t="s">
        <v>5120</v>
      </c>
      <c r="BCS1550" s="8" t="s">
        <v>5120</v>
      </c>
      <c r="BYM1550" s="8" t="s">
        <v>14333</v>
      </c>
      <c r="CNU1550" s="8" t="s">
        <v>571</v>
      </c>
      <c r="DEF1550" s="8" t="s">
        <v>5160</v>
      </c>
      <c r="DEG1550" s="8" t="s">
        <v>5160</v>
      </c>
      <c r="ENH1550" s="8" t="s">
        <v>2207</v>
      </c>
      <c r="EPD1550" s="8" t="s">
        <v>1789</v>
      </c>
      <c r="ESV1550" s="8" t="s">
        <v>553</v>
      </c>
      <c r="EUR1550" s="8" t="s">
        <v>553</v>
      </c>
      <c r="EWN1550" s="8" t="s">
        <v>553</v>
      </c>
      <c r="EYJ1550" s="8" t="s">
        <v>553</v>
      </c>
    </row>
    <row r="1551" spans="1:837 1064:2024 2120:2841 3752:4040 4136:4136">
      <c r="A1551" s="8" t="s">
        <v>9936</v>
      </c>
      <c r="B1551" s="10" t="s">
        <v>11502</v>
      </c>
      <c r="C1551" s="8">
        <v>2008</v>
      </c>
      <c r="D1551" s="15">
        <v>8</v>
      </c>
      <c r="BCR1551" s="8" t="s">
        <v>5121</v>
      </c>
      <c r="BEN1551" s="8" t="s">
        <v>5121</v>
      </c>
      <c r="BEO1551" s="8" t="s">
        <v>5121</v>
      </c>
      <c r="BYV1551" s="8" t="s">
        <v>11502</v>
      </c>
      <c r="CTD1551" s="8" t="s">
        <v>572</v>
      </c>
      <c r="ESV1551" s="8" t="s">
        <v>5161</v>
      </c>
      <c r="ESW1551" s="8" t="s">
        <v>5161</v>
      </c>
    </row>
    <row r="1552" spans="1:837 1064:2024 2120:2841 3752:4040 4136:4136">
      <c r="A1552" s="8" t="s">
        <v>9936</v>
      </c>
      <c r="B1552" s="10" t="s">
        <v>14334</v>
      </c>
      <c r="C1552" s="8">
        <v>4125.2</v>
      </c>
      <c r="D1552" s="15">
        <v>2.8</v>
      </c>
      <c r="BKB1552" s="8" t="s">
        <v>5122</v>
      </c>
      <c r="BLX1552" s="8" t="s">
        <v>5122</v>
      </c>
      <c r="BLY1552" s="8" t="s">
        <v>5122</v>
      </c>
      <c r="CWV1552" s="8" t="s">
        <v>573</v>
      </c>
      <c r="FCB1552" s="8" t="s">
        <v>14334</v>
      </c>
    </row>
    <row r="1553" spans="1:160 1355:2025 2216:2888 3224:3897 5691:5720">
      <c r="A1553" s="8" t="s">
        <v>9937</v>
      </c>
      <c r="B1553" s="10" t="s">
        <v>11503</v>
      </c>
      <c r="C1553" s="8">
        <v>-312.2</v>
      </c>
      <c r="D1553" s="15">
        <v>24</v>
      </c>
      <c r="H1553" s="8" t="s">
        <v>11503</v>
      </c>
      <c r="BDO1553" s="8" t="s">
        <v>5162</v>
      </c>
      <c r="BPP1553" s="8" t="s">
        <v>5123</v>
      </c>
      <c r="BRL1553" s="8" t="s">
        <v>5123</v>
      </c>
      <c r="BRM1553" s="8" t="s">
        <v>5123</v>
      </c>
      <c r="DGB1553" s="8" t="s">
        <v>574</v>
      </c>
    </row>
    <row r="1554" spans="1:160 1355:2025 2216:2888 3224:3897 5691:5720">
      <c r="A1554" s="8" t="s">
        <v>9937</v>
      </c>
      <c r="B1554" s="10" t="s">
        <v>11504</v>
      </c>
      <c r="C1554" s="8">
        <v>-198.39</v>
      </c>
      <c r="D1554" s="15">
        <v>4</v>
      </c>
      <c r="H1554" s="8" t="s">
        <v>11504</v>
      </c>
      <c r="BJS1554" s="8" t="s">
        <v>5163</v>
      </c>
      <c r="BJT1554" s="8" t="s">
        <v>5163</v>
      </c>
      <c r="BWZ1554" s="8" t="s">
        <v>5124</v>
      </c>
      <c r="BYV1554" s="8" t="s">
        <v>5124</v>
      </c>
      <c r="BYW1554" s="8" t="s">
        <v>5124</v>
      </c>
    </row>
    <row r="1555" spans="1:160 1355:2025 2216:2888 3224:3897 5691:5720">
      <c r="A1555" s="8" t="s">
        <v>9937</v>
      </c>
      <c r="B1555" s="10" t="s">
        <v>11505</v>
      </c>
      <c r="C1555" s="8">
        <v>-146.77000000000001</v>
      </c>
      <c r="D1555" s="15">
        <v>13.44</v>
      </c>
      <c r="H1555" s="8" t="s">
        <v>11505</v>
      </c>
      <c r="BNU1555" s="8" t="s">
        <v>5164</v>
      </c>
      <c r="BNV1555" s="8" t="s">
        <v>5164</v>
      </c>
      <c r="EAJ1555" s="8" t="s">
        <v>5125</v>
      </c>
      <c r="ECF1555" s="8" t="s">
        <v>5125</v>
      </c>
      <c r="ECG1555" s="8" t="s">
        <v>5125</v>
      </c>
    </row>
    <row r="1556" spans="1:160 1355:2025 2216:2888 3224:3897 5691:5720">
      <c r="A1556" s="8" t="s">
        <v>9937</v>
      </c>
      <c r="B1556" s="10" t="s">
        <v>11506</v>
      </c>
      <c r="C1556" s="8">
        <v>-95</v>
      </c>
      <c r="D1556" s="15">
        <v>16.8</v>
      </c>
      <c r="H1556" s="8" t="s">
        <v>11506</v>
      </c>
      <c r="BTH1556" s="8" t="s">
        <v>5165</v>
      </c>
      <c r="BTI1556" s="8" t="s">
        <v>5165</v>
      </c>
    </row>
    <row r="1557" spans="1:160 1355:2025 2216:2888 3224:3897 5691:5720">
      <c r="A1557" s="8" t="s">
        <v>9937</v>
      </c>
      <c r="B1557" s="10" t="s">
        <v>14335</v>
      </c>
      <c r="C1557" s="8">
        <v>-54.72</v>
      </c>
      <c r="D1557" s="15">
        <v>6.72</v>
      </c>
      <c r="H1557" s="8" t="s">
        <v>14335</v>
      </c>
      <c r="CGF1557" s="8" t="s">
        <v>5166</v>
      </c>
      <c r="CGG1557" s="8" t="s">
        <v>5166</v>
      </c>
    </row>
    <row r="1558" spans="1:160 1355:2025 2216:2888 3224:3897 5691:5720">
      <c r="A1558" s="8" t="s">
        <v>9937</v>
      </c>
      <c r="B1558" s="10" t="s">
        <v>11507</v>
      </c>
      <c r="C1558" s="8">
        <v>-1.8</v>
      </c>
      <c r="D1558" s="15">
        <v>2.8</v>
      </c>
      <c r="H1558" s="8" t="s">
        <v>11507</v>
      </c>
      <c r="DSZ1558" s="8" t="s">
        <v>5167</v>
      </c>
      <c r="DTA1558" s="8" t="s">
        <v>5167</v>
      </c>
    </row>
    <row r="1559" spans="1:160 1355:2025 2216:2888 3224:3897 5691:5720">
      <c r="A1559" s="8" t="s">
        <v>9937</v>
      </c>
      <c r="B1559" s="10" t="s">
        <v>11510</v>
      </c>
      <c r="C1559" s="8">
        <v>2</v>
      </c>
      <c r="D1559" s="15">
        <v>2.8</v>
      </c>
      <c r="M1559" s="8" t="s">
        <v>11510</v>
      </c>
      <c r="EFX1559" s="8" t="s">
        <v>5168</v>
      </c>
      <c r="EFY1559" s="8" t="s">
        <v>5168</v>
      </c>
    </row>
    <row r="1560" spans="1:160 1355:2025 2216:2888 3224:3897 5691:5720">
      <c r="A1560" s="8" t="s">
        <v>9937</v>
      </c>
      <c r="B1560" s="10" t="s">
        <v>11508</v>
      </c>
      <c r="C1560" s="8">
        <v>5.8</v>
      </c>
      <c r="D1560" s="15">
        <v>2.8</v>
      </c>
      <c r="Q1560" s="8" t="s">
        <v>11508</v>
      </c>
      <c r="EFX1560" s="8" t="s">
        <v>5169</v>
      </c>
      <c r="EFY1560" s="8" t="s">
        <v>5169</v>
      </c>
    </row>
    <row r="1561" spans="1:160 1355:2025 2216:2888 3224:3897 5691:5720">
      <c r="A1561" s="8" t="s">
        <v>9937</v>
      </c>
      <c r="B1561" s="10" t="s">
        <v>11509</v>
      </c>
      <c r="C1561" s="8">
        <v>9.6</v>
      </c>
      <c r="D1561" s="15">
        <v>2.8</v>
      </c>
      <c r="T1561" s="17" t="s">
        <v>11509</v>
      </c>
      <c r="ESV1561" s="8" t="s">
        <v>5170</v>
      </c>
      <c r="ESW1561" s="8" t="s">
        <v>5170</v>
      </c>
    </row>
    <row r="1562" spans="1:160 1355:2025 2216:2888 3224:3897 5691:5720">
      <c r="A1562" s="8" t="s">
        <v>9937</v>
      </c>
      <c r="B1562" s="10" t="s">
        <v>11511</v>
      </c>
      <c r="C1562" s="8">
        <v>57.6</v>
      </c>
      <c r="D1562" s="15">
        <v>2.2400000000000002</v>
      </c>
      <c r="BP1562" s="17" t="s">
        <v>11511</v>
      </c>
    </row>
    <row r="1563" spans="1:160 1355:2025 2216:2888 3224:3897 5691:5720">
      <c r="A1563" s="8" t="s">
        <v>9937</v>
      </c>
      <c r="B1563" s="10" t="s">
        <v>11521</v>
      </c>
      <c r="C1563" s="8">
        <v>71.599999999999994</v>
      </c>
      <c r="D1563" s="15">
        <v>2.8</v>
      </c>
      <c r="CD1563" s="8" t="s">
        <v>11521</v>
      </c>
      <c r="BBT1563" s="8" t="s">
        <v>1205</v>
      </c>
      <c r="BDP1563" s="8" t="s">
        <v>1205</v>
      </c>
    </row>
    <row r="1564" spans="1:160 1355:2025 2216:2888 3224:3897 5691:5720">
      <c r="A1564" s="8" t="s">
        <v>9937</v>
      </c>
      <c r="B1564" s="10" t="s">
        <v>11512</v>
      </c>
      <c r="C1564" s="8">
        <v>79.64</v>
      </c>
      <c r="D1564" s="15">
        <v>8.4</v>
      </c>
      <c r="CR1564" s="8" t="s">
        <v>11512</v>
      </c>
      <c r="BDP1564" s="8" t="s">
        <v>571</v>
      </c>
      <c r="CLY1564" s="8" t="s">
        <v>1206</v>
      </c>
      <c r="CNU1564" s="8" t="s">
        <v>1206</v>
      </c>
    </row>
    <row r="1565" spans="1:160 1355:2025 2216:2888 3224:3897 5691:5720">
      <c r="A1565" s="8" t="s">
        <v>9937</v>
      </c>
      <c r="B1565" s="10" t="s">
        <v>11513</v>
      </c>
      <c r="C1565" s="8">
        <v>98</v>
      </c>
      <c r="D1565" s="15">
        <v>2.2400000000000002</v>
      </c>
      <c r="DD1565" s="8" t="s">
        <v>11513</v>
      </c>
      <c r="BCR1565" s="8" t="s">
        <v>5793</v>
      </c>
      <c r="BCS1565" s="8" t="s">
        <v>5793</v>
      </c>
      <c r="BEM1565" s="8" t="s">
        <v>5155</v>
      </c>
      <c r="BEN1565" s="8" t="s">
        <v>5155</v>
      </c>
      <c r="BEO1565" s="8" t="s">
        <v>5155</v>
      </c>
      <c r="CIG1565" s="8" t="s">
        <v>572</v>
      </c>
      <c r="CKC1565" s="8" t="s">
        <v>1207</v>
      </c>
      <c r="CLM1565" s="8" t="s">
        <v>572</v>
      </c>
      <c r="CNU1565" s="8" t="s">
        <v>572</v>
      </c>
      <c r="CRH1565" s="8" t="s">
        <v>1207</v>
      </c>
      <c r="CTD1565" s="8" t="s">
        <v>1207</v>
      </c>
    </row>
    <row r="1566" spans="1:160 1355:2025 2216:2888 3224:3897 5691:5720">
      <c r="A1566" s="8" t="s">
        <v>9937</v>
      </c>
      <c r="B1566" s="10" t="s">
        <v>14336</v>
      </c>
      <c r="C1566" s="8">
        <v>100</v>
      </c>
      <c r="D1566" s="15">
        <v>2.8</v>
      </c>
      <c r="DG1566" s="8" t="s">
        <v>14336</v>
      </c>
      <c r="BEM1566" s="8" t="s">
        <v>555</v>
      </c>
      <c r="BFY1566" s="8" t="s">
        <v>5794</v>
      </c>
      <c r="BHS1566" s="8" t="s">
        <v>5350</v>
      </c>
      <c r="BHU1566" s="8" t="s">
        <v>5350</v>
      </c>
      <c r="CNP1566" s="8" t="s">
        <v>573</v>
      </c>
      <c r="CPA1566" s="8" t="s">
        <v>573</v>
      </c>
      <c r="CPL1566" s="8" t="s">
        <v>1208</v>
      </c>
      <c r="CTD1566" s="8" t="s">
        <v>573</v>
      </c>
      <c r="CUZ1566" s="8" t="s">
        <v>1208</v>
      </c>
      <c r="CWV1566" s="8" t="s">
        <v>1208</v>
      </c>
    </row>
    <row r="1567" spans="1:160 1355:2025 2216:2888 3224:3897 5691:5720">
      <c r="A1567" s="8" t="s">
        <v>9937</v>
      </c>
      <c r="B1567" s="10" t="s">
        <v>14337</v>
      </c>
      <c r="C1567" s="8">
        <v>104.13</v>
      </c>
      <c r="D1567" s="15">
        <v>2.8</v>
      </c>
      <c r="DK1567" s="8" t="s">
        <v>14337</v>
      </c>
      <c r="AZC1567" s="8" t="s">
        <v>576</v>
      </c>
      <c r="BGJ1567" s="8" t="s">
        <v>5795</v>
      </c>
      <c r="BGK1567" s="8" t="s">
        <v>5795</v>
      </c>
      <c r="BIB1567" s="8" t="s">
        <v>556</v>
      </c>
      <c r="BIE1567" s="8" t="s">
        <v>5351</v>
      </c>
      <c r="BIF1567" s="8" t="s">
        <v>5351</v>
      </c>
      <c r="BIG1567" s="8" t="s">
        <v>5351</v>
      </c>
      <c r="CNP1567" s="8" t="s">
        <v>1209</v>
      </c>
      <c r="COA1567" s="8" t="s">
        <v>574</v>
      </c>
      <c r="CRH1567" s="8" t="s">
        <v>574</v>
      </c>
      <c r="CWV1567" s="8" t="s">
        <v>574</v>
      </c>
      <c r="DEF1567" s="8" t="s">
        <v>1209</v>
      </c>
      <c r="DGB1567" s="8" t="s">
        <v>1209</v>
      </c>
    </row>
    <row r="1568" spans="1:160 1355:2025 2216:2888 3224:3897 5691:5720">
      <c r="A1568" s="8" t="s">
        <v>9937</v>
      </c>
      <c r="B1568" s="10" t="s">
        <v>14338</v>
      </c>
      <c r="C1568" s="8">
        <v>123.2</v>
      </c>
      <c r="D1568" s="15">
        <v>29.12</v>
      </c>
      <c r="FD1568" s="8" t="s">
        <v>14338</v>
      </c>
      <c r="AZX1568" s="8" t="s">
        <v>575</v>
      </c>
      <c r="BAV1568" s="8" t="s">
        <v>575</v>
      </c>
      <c r="BBT1568" s="8" t="s">
        <v>1281</v>
      </c>
      <c r="BIF1568" s="8" t="s">
        <v>557</v>
      </c>
      <c r="BKB1568" s="8" t="s">
        <v>577</v>
      </c>
      <c r="BPP1568" s="8" t="s">
        <v>5796</v>
      </c>
      <c r="BPQ1568" s="8" t="s">
        <v>5796</v>
      </c>
      <c r="BRK1568" s="8" t="s">
        <v>5157</v>
      </c>
      <c r="BRL1568" s="8" t="s">
        <v>5157</v>
      </c>
      <c r="BRM1568" s="8" t="s">
        <v>5157</v>
      </c>
      <c r="DAN1568" s="8" t="s">
        <v>575</v>
      </c>
      <c r="DGB1568" s="8" t="s">
        <v>575</v>
      </c>
      <c r="HJW1568" s="8" t="s">
        <v>575</v>
      </c>
      <c r="HKZ1568" s="8" t="s">
        <v>1281</v>
      </c>
    </row>
    <row r="1569" spans="1:665 1352:2039 2072:2793 3119:3849">
      <c r="A1569" s="8" t="s">
        <v>9937</v>
      </c>
      <c r="B1569" s="10" t="s">
        <v>11514</v>
      </c>
      <c r="C1569" s="8">
        <v>222.37</v>
      </c>
      <c r="D1569" s="15">
        <v>2</v>
      </c>
      <c r="HX1569" s="8" t="s">
        <v>11514</v>
      </c>
      <c r="BPP1569" s="8" t="s">
        <v>578</v>
      </c>
      <c r="BRP1569" s="8" t="s">
        <v>5797</v>
      </c>
      <c r="BTK1569" s="8" t="s">
        <v>5156</v>
      </c>
      <c r="BTL1569" s="8" t="s">
        <v>5156</v>
      </c>
    </row>
    <row r="1570" spans="1:665 1352:2039 2072:2793 3119:3849">
      <c r="A1570" s="8" t="s">
        <v>9937</v>
      </c>
      <c r="B1570" s="10" t="s">
        <v>14339</v>
      </c>
      <c r="C1570" s="8">
        <v>237.2</v>
      </c>
      <c r="D1570" s="15">
        <v>2.8</v>
      </c>
      <c r="IN1570" s="8" t="s">
        <v>14339</v>
      </c>
      <c r="BUC1570" s="8" t="s">
        <v>579</v>
      </c>
      <c r="BWZ1570" s="8" t="s">
        <v>559</v>
      </c>
      <c r="CJX1570" s="8" t="s">
        <v>5798</v>
      </c>
      <c r="CJY1570" s="8" t="s">
        <v>5798</v>
      </c>
      <c r="CLS1570" s="8" t="s">
        <v>5158</v>
      </c>
      <c r="CLT1570" s="8" t="s">
        <v>5158</v>
      </c>
      <c r="CLU1570" s="8" t="s">
        <v>5158</v>
      </c>
    </row>
    <row r="1571" spans="1:665 1352:2039 2072:2793 3119:3849">
      <c r="A1571" s="8" t="s">
        <v>9937</v>
      </c>
      <c r="B1571" s="10" t="s">
        <v>11522</v>
      </c>
      <c r="C1571" s="8">
        <v>256.60000000000002</v>
      </c>
      <c r="D1571" s="15">
        <v>2.8</v>
      </c>
      <c r="JG1571" s="8" t="s">
        <v>11522</v>
      </c>
      <c r="BWZ1571" s="8" t="s">
        <v>580</v>
      </c>
      <c r="CCF1571" s="8" t="s">
        <v>560</v>
      </c>
      <c r="CYR1571" s="8" t="s">
        <v>5799</v>
      </c>
      <c r="CYS1571" s="8" t="s">
        <v>5799</v>
      </c>
      <c r="DAM1571" s="8" t="s">
        <v>5159</v>
      </c>
      <c r="DAN1571" s="8" t="s">
        <v>5159</v>
      </c>
      <c r="DAO1571" s="8" t="s">
        <v>5159</v>
      </c>
    </row>
    <row r="1572" spans="1:665 1352:2039 2072:2793 3119:3849">
      <c r="A1572" s="8" t="s">
        <v>9937</v>
      </c>
      <c r="B1572" s="10" t="s">
        <v>11516</v>
      </c>
      <c r="C1572" s="8">
        <v>289</v>
      </c>
      <c r="D1572" s="15">
        <v>6.72</v>
      </c>
      <c r="KR1572" s="8" t="s">
        <v>11516</v>
      </c>
      <c r="AYZ1572" s="8" t="s">
        <v>535</v>
      </c>
      <c r="CCN1572" s="8" t="s">
        <v>561</v>
      </c>
      <c r="CEJ1572" s="8" t="s">
        <v>581</v>
      </c>
      <c r="DAN1572" s="8" t="s">
        <v>5800</v>
      </c>
      <c r="DCI1572" s="8" t="s">
        <v>5160</v>
      </c>
      <c r="DCJ1572" s="8" t="s">
        <v>5160</v>
      </c>
      <c r="DCK1572" s="8" t="s">
        <v>5160</v>
      </c>
    </row>
    <row r="1573" spans="1:665 1352:2039 2072:2793 3119:3849">
      <c r="A1573" s="8" t="s">
        <v>9937</v>
      </c>
      <c r="B1573" s="10" t="s">
        <v>11515</v>
      </c>
      <c r="C1573" s="8">
        <v>295.13</v>
      </c>
      <c r="D1573" s="15">
        <v>2.8</v>
      </c>
      <c r="KT1573" s="8" t="s">
        <v>11515</v>
      </c>
      <c r="BFN1573" s="8" t="s">
        <v>536</v>
      </c>
      <c r="BHJ1573" s="8" t="s">
        <v>536</v>
      </c>
      <c r="CIB1573" s="8" t="s">
        <v>562</v>
      </c>
      <c r="CTE1573" s="8" t="s">
        <v>582</v>
      </c>
      <c r="EPD1573" s="8" t="s">
        <v>5801</v>
      </c>
      <c r="EPE1573" s="8" t="s">
        <v>5801</v>
      </c>
      <c r="EQY1573" s="8" t="s">
        <v>5161</v>
      </c>
      <c r="EQZ1573" s="8" t="s">
        <v>5161</v>
      </c>
      <c r="ERA1573" s="8" t="s">
        <v>5161</v>
      </c>
    </row>
    <row r="1574" spans="1:665 1352:2039 2072:2793 3119:3849">
      <c r="A1574" s="8" t="s">
        <v>9937</v>
      </c>
      <c r="B1574" s="10" t="s">
        <v>14340</v>
      </c>
      <c r="C1574" s="8">
        <v>300.52</v>
      </c>
      <c r="D1574" s="15">
        <v>5.6</v>
      </c>
      <c r="LB1574" s="8" t="s">
        <v>14340</v>
      </c>
      <c r="BLQ1574" s="8" t="s">
        <v>537</v>
      </c>
      <c r="BNM1574" s="8" t="s">
        <v>537</v>
      </c>
      <c r="CLT1574" s="8" t="s">
        <v>563</v>
      </c>
    </row>
    <row r="1575" spans="1:665 1352:2039 2072:2793 3119:3849">
      <c r="A1575" s="8" t="s">
        <v>9937</v>
      </c>
      <c r="B1575" s="10" t="s">
        <v>11517</v>
      </c>
      <c r="C1575" s="8">
        <v>322.42</v>
      </c>
      <c r="D1575" s="15">
        <v>44.8</v>
      </c>
      <c r="NK1575" s="8" t="s">
        <v>11517</v>
      </c>
      <c r="BLX1575" s="8" t="s">
        <v>538</v>
      </c>
      <c r="BNT1575" s="8" t="s">
        <v>538</v>
      </c>
      <c r="CTD1575" s="8" t="s">
        <v>564</v>
      </c>
    </row>
    <row r="1576" spans="1:665 1352:2039 2072:2793 3119:3849">
      <c r="A1576" s="8" t="s">
        <v>9937</v>
      </c>
      <c r="B1576" s="10" t="s">
        <v>11518</v>
      </c>
      <c r="C1576" s="8">
        <v>376.27</v>
      </c>
      <c r="D1576" s="15">
        <v>2.8</v>
      </c>
      <c r="NW1576" s="8" t="s">
        <v>11518</v>
      </c>
      <c r="BNT1576" s="8" t="s">
        <v>1346</v>
      </c>
      <c r="BNU1576" s="8" t="s">
        <v>5802</v>
      </c>
      <c r="BNV1576" s="8" t="s">
        <v>5802</v>
      </c>
      <c r="BPP1576" s="8" t="s">
        <v>5164</v>
      </c>
      <c r="BPQ1576" s="8" t="s">
        <v>5164</v>
      </c>
      <c r="BPR1576" s="8" t="s">
        <v>5164</v>
      </c>
      <c r="CUB1576" s="8" t="s">
        <v>565</v>
      </c>
    </row>
    <row r="1577" spans="1:665 1352:2039 2072:2793 3119:3849">
      <c r="A1577" s="8" t="s">
        <v>9937</v>
      </c>
      <c r="B1577" s="10" t="s">
        <v>14341</v>
      </c>
      <c r="C1577" s="8">
        <v>383.87</v>
      </c>
      <c r="D1577" s="15">
        <v>2.8</v>
      </c>
      <c r="OE1577" s="8" t="s">
        <v>14341</v>
      </c>
      <c r="BPP1577" s="8" t="s">
        <v>5803</v>
      </c>
      <c r="BRK1577" s="8" t="s">
        <v>5165</v>
      </c>
      <c r="BRL1577" s="8" t="s">
        <v>5165</v>
      </c>
      <c r="BRM1577" s="8" t="s">
        <v>5165</v>
      </c>
      <c r="BSB1577" s="8" t="s">
        <v>1347</v>
      </c>
      <c r="BTX1577" s="8" t="s">
        <v>1347</v>
      </c>
      <c r="CWV1577" s="8" t="s">
        <v>566</v>
      </c>
    </row>
    <row r="1578" spans="1:665 1352:2039 2072:2793 3119:3849">
      <c r="A1578" s="8" t="s">
        <v>9937</v>
      </c>
      <c r="B1578" s="10" t="s">
        <v>14342</v>
      </c>
      <c r="C1578" s="8">
        <v>388</v>
      </c>
      <c r="D1578" s="15">
        <v>14</v>
      </c>
      <c r="OT1578" s="8" t="s">
        <v>14342</v>
      </c>
      <c r="BTH1578" s="8" t="s">
        <v>539</v>
      </c>
      <c r="BVD1578" s="8" t="s">
        <v>539</v>
      </c>
      <c r="CCN1578" s="8" t="s">
        <v>5804</v>
      </c>
      <c r="CEI1578" s="8" t="s">
        <v>5166</v>
      </c>
      <c r="CEJ1578" s="8" t="s">
        <v>5166</v>
      </c>
      <c r="CEK1578" s="8" t="s">
        <v>5166</v>
      </c>
      <c r="EHT1578" s="8" t="s">
        <v>567</v>
      </c>
    </row>
    <row r="1579" spans="1:665 1352:2039 2072:2793 3119:3849">
      <c r="A1579" s="8" t="s">
        <v>9937</v>
      </c>
      <c r="B1579" s="10" t="s">
        <v>14343</v>
      </c>
      <c r="C1579" s="8">
        <v>403</v>
      </c>
      <c r="D1579" s="15">
        <v>2.8</v>
      </c>
      <c r="OX1579" s="8" t="s">
        <v>14343</v>
      </c>
      <c r="AYZ1579" s="8" t="s">
        <v>558</v>
      </c>
      <c r="BUZ1579" s="8" t="s">
        <v>540</v>
      </c>
      <c r="BWV1579" s="8" t="s">
        <v>540</v>
      </c>
      <c r="DOY1579" s="8" t="s">
        <v>5805</v>
      </c>
      <c r="DOZ1579" s="8" t="s">
        <v>5805</v>
      </c>
      <c r="DQT1579" s="8" t="s">
        <v>5163</v>
      </c>
      <c r="DQU1579" s="8" t="s">
        <v>5163</v>
      </c>
      <c r="DQV1579" s="8" t="s">
        <v>5163</v>
      </c>
      <c r="EQZ1579" s="8" t="s">
        <v>568</v>
      </c>
    </row>
    <row r="1580" spans="1:665 1352:2039 2072:2793 3119:3849">
      <c r="A1580" s="8" t="s">
        <v>9937</v>
      </c>
      <c r="B1580" s="10" t="s">
        <v>14344</v>
      </c>
      <c r="C1580" s="8">
        <v>414.07</v>
      </c>
      <c r="D1580" s="15">
        <v>2.8</v>
      </c>
      <c r="PI1580" s="8" t="s">
        <v>14344</v>
      </c>
      <c r="AYZ1580" s="8" t="s">
        <v>5126</v>
      </c>
      <c r="AZA1580" s="8" t="s">
        <v>5126</v>
      </c>
      <c r="BAV1580" s="8" t="s">
        <v>559</v>
      </c>
      <c r="BCR1580" s="8" t="s">
        <v>559</v>
      </c>
      <c r="BEN1580" s="8" t="s">
        <v>559</v>
      </c>
      <c r="BGJ1580" s="8" t="s">
        <v>559</v>
      </c>
      <c r="BVD1580" s="8" t="s">
        <v>541</v>
      </c>
      <c r="BWZ1580" s="8" t="s">
        <v>541</v>
      </c>
      <c r="DPH1580" s="8" t="s">
        <v>5806</v>
      </c>
      <c r="DRC1580" s="8" t="s">
        <v>5167</v>
      </c>
      <c r="DRD1580" s="8" t="s">
        <v>5167</v>
      </c>
      <c r="DRE1580" s="8" t="s">
        <v>5167</v>
      </c>
    </row>
    <row r="1581" spans="1:665 1352:2039 2072:2793 3119:3849">
      <c r="A1581" s="8" t="s">
        <v>9937</v>
      </c>
      <c r="B1581" s="10" t="s">
        <v>14345</v>
      </c>
      <c r="C1581" s="8">
        <v>425.28</v>
      </c>
      <c r="D1581" s="15">
        <v>6.72</v>
      </c>
      <c r="PX1581" s="8" t="s">
        <v>14345</v>
      </c>
      <c r="AYZ1581" s="8" t="s">
        <v>554</v>
      </c>
      <c r="BAV1581" s="8" t="s">
        <v>5127</v>
      </c>
      <c r="BCR1581" s="8" t="s">
        <v>5127</v>
      </c>
      <c r="BCS1581" s="8" t="s">
        <v>5127</v>
      </c>
      <c r="BEN1581" s="8" t="s">
        <v>554</v>
      </c>
      <c r="BYV1581" s="8" t="s">
        <v>542</v>
      </c>
      <c r="CAR1581" s="8" t="s">
        <v>542</v>
      </c>
      <c r="ECF1581" s="8" t="s">
        <v>5807</v>
      </c>
      <c r="EEA1581" s="8" t="s">
        <v>5168</v>
      </c>
      <c r="EEB1581" s="8" t="s">
        <v>5168</v>
      </c>
      <c r="EEC1581" s="8" t="s">
        <v>5168</v>
      </c>
    </row>
    <row r="1582" spans="1:665 1352:2039 2072:2793 3119:3849">
      <c r="A1582" s="8" t="s">
        <v>9937</v>
      </c>
      <c r="B1582" s="10" t="s">
        <v>14346</v>
      </c>
      <c r="C1582" s="8">
        <v>631.98</v>
      </c>
      <c r="D1582" s="15">
        <v>8</v>
      </c>
      <c r="XX1582" s="8" t="s">
        <v>14346</v>
      </c>
      <c r="BCR1582" s="8" t="s">
        <v>5128</v>
      </c>
      <c r="BEN1582" s="8" t="s">
        <v>5128</v>
      </c>
      <c r="BEO1582" s="8" t="s">
        <v>5128</v>
      </c>
      <c r="BIF1582" s="8" t="s">
        <v>560</v>
      </c>
      <c r="BKB1582" s="8" t="s">
        <v>560</v>
      </c>
      <c r="BLX1582" s="8" t="s">
        <v>560</v>
      </c>
      <c r="BNT1582" s="8" t="s">
        <v>560</v>
      </c>
      <c r="BZK1582" s="8" t="s">
        <v>543</v>
      </c>
      <c r="CBG1582" s="8" t="s">
        <v>543</v>
      </c>
      <c r="ECF1582" s="8" t="s">
        <v>5808</v>
      </c>
      <c r="EEA1582" s="8" t="s">
        <v>5169</v>
      </c>
      <c r="EEB1582" s="8" t="s">
        <v>5169</v>
      </c>
      <c r="EEC1582" s="8" t="s">
        <v>5169</v>
      </c>
    </row>
    <row r="1583" spans="1:665 1352:2039 2072:2793 3119:3849">
      <c r="A1583" s="8" t="s">
        <v>9937</v>
      </c>
      <c r="B1583" s="10" t="s">
        <v>14347</v>
      </c>
      <c r="C1583" s="8">
        <v>642</v>
      </c>
      <c r="D1583" s="15">
        <v>8</v>
      </c>
      <c r="YH1583" s="8" t="s">
        <v>14347</v>
      </c>
      <c r="AZC1583" s="8" t="s">
        <v>1210</v>
      </c>
      <c r="BCR1583" s="8" t="s">
        <v>5129</v>
      </c>
      <c r="BEN1583" s="8" t="s">
        <v>5129</v>
      </c>
      <c r="BEO1583" s="8" t="s">
        <v>5129</v>
      </c>
      <c r="BHX1583" s="8" t="s">
        <v>2208</v>
      </c>
      <c r="BJT1583" s="8" t="s">
        <v>1790</v>
      </c>
      <c r="BNL1583" s="8" t="s">
        <v>561</v>
      </c>
      <c r="BPH1583" s="8" t="s">
        <v>561</v>
      </c>
      <c r="BRD1583" s="8" t="s">
        <v>561</v>
      </c>
      <c r="BSZ1583" s="8" t="s">
        <v>561</v>
      </c>
      <c r="CCN1583" s="8" t="s">
        <v>1348</v>
      </c>
      <c r="CEJ1583" s="8" t="s">
        <v>1348</v>
      </c>
      <c r="EPD1583" s="8" t="s">
        <v>5809</v>
      </c>
      <c r="EQY1583" s="8" t="s">
        <v>5170</v>
      </c>
      <c r="EQZ1583" s="8" t="s">
        <v>5170</v>
      </c>
      <c r="ERA1583" s="8" t="s">
        <v>5170</v>
      </c>
    </row>
    <row r="1584" spans="1:665 1352:2039 2072:2793 3119:3849">
      <c r="A1584" s="8" t="s">
        <v>9937</v>
      </c>
      <c r="B1584" s="10" t="s">
        <v>11519</v>
      </c>
      <c r="C1584" s="8">
        <v>651</v>
      </c>
      <c r="D1584" s="15">
        <v>5.6</v>
      </c>
      <c r="YO1584" s="8" t="s">
        <v>11519</v>
      </c>
      <c r="AZC1584" s="8" t="s">
        <v>577</v>
      </c>
      <c r="BEN1584" s="8" t="s">
        <v>5130</v>
      </c>
      <c r="BGJ1584" s="8" t="s">
        <v>5130</v>
      </c>
      <c r="BGK1584" s="8" t="s">
        <v>5130</v>
      </c>
      <c r="BIF1584" s="8" t="s">
        <v>2209</v>
      </c>
      <c r="BKB1584" s="8" t="s">
        <v>1791</v>
      </c>
      <c r="BNT1584" s="8" t="s">
        <v>562</v>
      </c>
      <c r="BPP1584" s="8" t="s">
        <v>562</v>
      </c>
      <c r="BRL1584" s="8" t="s">
        <v>562</v>
      </c>
      <c r="BTH1584" s="8" t="s">
        <v>562</v>
      </c>
      <c r="CUZ1584" s="8" t="s">
        <v>683</v>
      </c>
      <c r="CWV1584" s="8" t="s">
        <v>683</v>
      </c>
    </row>
    <row r="1585" spans="1:872 1064:2048 2072:3033 3080:3608 5148:5193">
      <c r="A1585" s="8" t="s">
        <v>9937</v>
      </c>
      <c r="B1585" s="10" t="s">
        <v>14348</v>
      </c>
      <c r="C1585" s="8">
        <v>657.6</v>
      </c>
      <c r="D1585" s="15">
        <v>2.2400000000000002</v>
      </c>
      <c r="YR1585" s="8" t="s">
        <v>14348</v>
      </c>
      <c r="AYZ1585" s="8" t="s">
        <v>1211</v>
      </c>
      <c r="BEN1585" s="8" t="s">
        <v>578</v>
      </c>
      <c r="BKB1585" s="8" t="s">
        <v>578</v>
      </c>
      <c r="BLN1585" s="8" t="s">
        <v>5131</v>
      </c>
      <c r="BLO1585" s="8" t="s">
        <v>5131</v>
      </c>
      <c r="BNJ1585" s="8" t="s">
        <v>5131</v>
      </c>
      <c r="BNK1585" s="8" t="s">
        <v>5131</v>
      </c>
      <c r="BNT1585" s="8" t="s">
        <v>2210</v>
      </c>
      <c r="BPP1585" s="8" t="s">
        <v>1792</v>
      </c>
      <c r="BSG1585" s="8" t="s">
        <v>1211</v>
      </c>
      <c r="BTH1585" s="8" t="s">
        <v>563</v>
      </c>
      <c r="BUC1585" s="8" t="s">
        <v>1211</v>
      </c>
      <c r="BVD1585" s="8" t="s">
        <v>563</v>
      </c>
      <c r="BWZ1585" s="8" t="s">
        <v>563</v>
      </c>
      <c r="BYV1585" s="8" t="s">
        <v>563</v>
      </c>
      <c r="DXX1585" s="8" t="s">
        <v>544</v>
      </c>
      <c r="DZT1585" s="8" t="s">
        <v>544</v>
      </c>
    </row>
    <row r="1586" spans="1:872 1064:2048 2072:3033 3080:3608 5148:5193">
      <c r="A1586" s="8" t="s">
        <v>9937</v>
      </c>
      <c r="B1586" s="10" t="s">
        <v>11520</v>
      </c>
      <c r="C1586" s="8">
        <v>664.84</v>
      </c>
      <c r="D1586" s="15">
        <v>26.88</v>
      </c>
      <c r="ZX1586" s="8" t="s">
        <v>11520</v>
      </c>
      <c r="BLX1586" s="8" t="s">
        <v>5132</v>
      </c>
      <c r="BLY1586" s="8" t="s">
        <v>5132</v>
      </c>
      <c r="BNT1586" s="8" t="s">
        <v>5132</v>
      </c>
      <c r="BNU1586" s="8" t="s">
        <v>5132</v>
      </c>
      <c r="BOO1586" s="8" t="s">
        <v>580</v>
      </c>
      <c r="BPP1586" s="8" t="s">
        <v>2211</v>
      </c>
      <c r="BRL1586" s="8" t="s">
        <v>1793</v>
      </c>
      <c r="BUC1586" s="8" t="s">
        <v>1212</v>
      </c>
      <c r="BUG1586" s="8" t="s">
        <v>580</v>
      </c>
      <c r="BVD1586" s="8" t="s">
        <v>1399</v>
      </c>
      <c r="BWZ1586" s="8" t="s">
        <v>1399</v>
      </c>
      <c r="BYV1586" s="8" t="s">
        <v>1399</v>
      </c>
      <c r="CAR1586" s="8" t="s">
        <v>1399</v>
      </c>
      <c r="DYN1586" s="8" t="s">
        <v>545</v>
      </c>
      <c r="EAJ1586" s="8" t="s">
        <v>545</v>
      </c>
    </row>
    <row r="1587" spans="1:872 1064:2048 2072:3033 3080:3608 5148:5193">
      <c r="A1587" s="8" t="s">
        <v>9937</v>
      </c>
      <c r="B1587" s="10" t="s">
        <v>14349</v>
      </c>
      <c r="C1587" s="8">
        <v>693.05</v>
      </c>
      <c r="D1587" s="15">
        <v>16.8</v>
      </c>
      <c r="AAP1587" s="8" t="s">
        <v>14349</v>
      </c>
      <c r="BPP1587" s="8" t="s">
        <v>5133</v>
      </c>
      <c r="BRL1587" s="8" t="s">
        <v>5133</v>
      </c>
      <c r="BRM1587" s="8" t="s">
        <v>5133</v>
      </c>
      <c r="BTH1587" s="8" t="s">
        <v>1794</v>
      </c>
      <c r="BWZ1587" s="8" t="s">
        <v>564</v>
      </c>
      <c r="BYV1587" s="8" t="s">
        <v>564</v>
      </c>
      <c r="CAR1587" s="8" t="s">
        <v>564</v>
      </c>
      <c r="CCN1587" s="8" t="s">
        <v>564</v>
      </c>
      <c r="CEJ1587" s="8" t="s">
        <v>1213</v>
      </c>
    </row>
    <row r="1588" spans="1:872 1064:2048 2072:3033 3080:3608 5148:5193">
      <c r="A1588" s="8" t="s">
        <v>9937</v>
      </c>
      <c r="B1588" s="10" t="s">
        <v>11523</v>
      </c>
      <c r="C1588" s="8">
        <v>726.65</v>
      </c>
      <c r="D1588" s="15">
        <v>8</v>
      </c>
      <c r="ABO1588" s="8" t="s">
        <v>11523</v>
      </c>
      <c r="BNT1588" s="8" t="s">
        <v>1214</v>
      </c>
      <c r="BOP1588" s="8" t="s">
        <v>582</v>
      </c>
      <c r="BYV1588" s="8" t="s">
        <v>2212</v>
      </c>
      <c r="CAR1588" s="8" t="s">
        <v>1795</v>
      </c>
      <c r="CEJ1588" s="8" t="s">
        <v>565</v>
      </c>
      <c r="CGF1588" s="8" t="s">
        <v>565</v>
      </c>
      <c r="CIB1588" s="8" t="s">
        <v>565</v>
      </c>
      <c r="CJX1588" s="8" t="s">
        <v>565</v>
      </c>
      <c r="CRI1588" s="8" t="s">
        <v>1214</v>
      </c>
      <c r="CTE1588" s="8" t="s">
        <v>1214</v>
      </c>
      <c r="DAN1588" s="8" t="s">
        <v>5134</v>
      </c>
      <c r="DAO1588" s="8" t="s">
        <v>5134</v>
      </c>
      <c r="DCJ1588" s="8" t="s">
        <v>5134</v>
      </c>
      <c r="DCK1588" s="8" t="s">
        <v>5134</v>
      </c>
    </row>
    <row r="1589" spans="1:872 1064:2048 2072:3033 3080:3608 5148:5193">
      <c r="A1589" s="8" t="s">
        <v>9937</v>
      </c>
      <c r="B1589" s="10" t="s">
        <v>11524</v>
      </c>
      <c r="C1589" s="8">
        <v>738.65</v>
      </c>
      <c r="D1589" s="15">
        <v>6.72</v>
      </c>
      <c r="ABY1589" s="8" t="s">
        <v>11524</v>
      </c>
      <c r="BZT1589" s="8" t="s">
        <v>2213</v>
      </c>
      <c r="CBP1589" s="8" t="s">
        <v>1796</v>
      </c>
      <c r="CFH1589" s="8" t="s">
        <v>566</v>
      </c>
      <c r="CHD1589" s="8" t="s">
        <v>566</v>
      </c>
      <c r="CIZ1589" s="8" t="s">
        <v>566</v>
      </c>
      <c r="CKV1589" s="8" t="s">
        <v>566</v>
      </c>
      <c r="CNQ1589" s="8" t="s">
        <v>583</v>
      </c>
      <c r="CTE1589" s="8" t="s">
        <v>583</v>
      </c>
      <c r="DFM1589" s="8" t="s">
        <v>5135</v>
      </c>
      <c r="DHI1589" s="8" t="s">
        <v>5135</v>
      </c>
      <c r="DHJ1589" s="8" t="s">
        <v>5135</v>
      </c>
      <c r="GOZ1589" s="8" t="s">
        <v>583</v>
      </c>
      <c r="GQS1589" s="8" t="s">
        <v>1282</v>
      </c>
    </row>
    <row r="1590" spans="1:872 1064:2048 2072:3033 3080:3608 5148:5193">
      <c r="A1590" s="8" t="s">
        <v>9937</v>
      </c>
      <c r="B1590" s="10" t="s">
        <v>11525</v>
      </c>
      <c r="C1590" s="8">
        <v>746.37</v>
      </c>
      <c r="D1590" s="15">
        <v>5.6</v>
      </c>
      <c r="ACF1590" s="8" t="s">
        <v>11525</v>
      </c>
      <c r="CCN1590" s="8" t="s">
        <v>2214</v>
      </c>
      <c r="CEJ1590" s="8" t="s">
        <v>1797</v>
      </c>
      <c r="CIB1590" s="8" t="s">
        <v>567</v>
      </c>
      <c r="CJX1590" s="8" t="s">
        <v>567</v>
      </c>
      <c r="CLT1590" s="8" t="s">
        <v>567</v>
      </c>
      <c r="CNP1590" s="8" t="s">
        <v>567</v>
      </c>
      <c r="DJT1590" s="8" t="s">
        <v>5136</v>
      </c>
      <c r="DLP1590" s="8" t="s">
        <v>5136</v>
      </c>
      <c r="DLQ1590" s="8" t="s">
        <v>5136</v>
      </c>
    </row>
    <row r="1591" spans="1:872 1064:2048 2072:3033 3080:3608 5148:5193">
      <c r="A1591" s="8" t="s">
        <v>9937</v>
      </c>
      <c r="B1591" s="10" t="s">
        <v>11526</v>
      </c>
      <c r="C1591" s="8">
        <v>752.97</v>
      </c>
      <c r="D1591" s="15">
        <v>6.72</v>
      </c>
      <c r="ACN1591" s="8" t="s">
        <v>11526</v>
      </c>
      <c r="DNL1591" s="8" t="s">
        <v>2215</v>
      </c>
      <c r="DPH1591" s="8" t="s">
        <v>1798</v>
      </c>
      <c r="DSZ1591" s="8" t="s">
        <v>568</v>
      </c>
      <c r="DUV1591" s="8" t="s">
        <v>568</v>
      </c>
      <c r="DWR1591" s="8" t="s">
        <v>568</v>
      </c>
      <c r="DYN1591" s="8" t="s">
        <v>568</v>
      </c>
    </row>
    <row r="1592" spans="1:872 1064:2048 2072:3033 3080:3608 5148:5193">
      <c r="A1592" s="8" t="s">
        <v>9937</v>
      </c>
      <c r="B1592" s="10" t="s">
        <v>11527</v>
      </c>
      <c r="C1592" s="8">
        <v>761.03</v>
      </c>
      <c r="D1592" s="15">
        <v>22.4</v>
      </c>
      <c r="ADK1592" s="8" t="s">
        <v>11527</v>
      </c>
      <c r="DSK1592" s="8" t="s">
        <v>2216</v>
      </c>
      <c r="DUG1592" s="8" t="s">
        <v>1799</v>
      </c>
      <c r="DXY1592" s="8" t="s">
        <v>684</v>
      </c>
      <c r="DZU1592" s="8" t="s">
        <v>684</v>
      </c>
      <c r="EBQ1592" s="8" t="s">
        <v>684</v>
      </c>
      <c r="EDM1592" s="8" t="s">
        <v>684</v>
      </c>
    </row>
    <row r="1593" spans="1:872 1064:2048 2072:3033 3080:3608 5148:5193">
      <c r="A1593" s="8" t="s">
        <v>9937</v>
      </c>
      <c r="B1593" s="10" t="s">
        <v>11528</v>
      </c>
      <c r="C1593" s="8">
        <v>787.43</v>
      </c>
      <c r="D1593" s="15">
        <v>12</v>
      </c>
      <c r="AEA1593" s="8" t="s">
        <v>11528</v>
      </c>
      <c r="DWR1593" s="8" t="s">
        <v>2217</v>
      </c>
      <c r="DYN1593" s="8" t="s">
        <v>1800</v>
      </c>
      <c r="ECF1593" s="8" t="s">
        <v>569</v>
      </c>
      <c r="EEB1593" s="8" t="s">
        <v>569</v>
      </c>
      <c r="EFX1593" s="8" t="s">
        <v>569</v>
      </c>
      <c r="EHT1593" s="8" t="s">
        <v>569</v>
      </c>
    </row>
    <row r="1594" spans="1:872 1064:2048 2072:3033 3080:3608 5148:5193">
      <c r="A1594" s="8" t="s">
        <v>9937</v>
      </c>
      <c r="B1594" s="10" t="s">
        <v>11529</v>
      </c>
      <c r="C1594" s="8">
        <v>800.43</v>
      </c>
      <c r="D1594" s="15">
        <v>24</v>
      </c>
      <c r="AEZ1594" s="8" t="s">
        <v>11529</v>
      </c>
    </row>
    <row r="1595" spans="1:872 1064:2048 2072:3033 3080:3608 5148:5193">
      <c r="A1595" s="8" t="s">
        <v>9937</v>
      </c>
      <c r="B1595" s="10" t="s">
        <v>11530</v>
      </c>
      <c r="C1595" s="8">
        <v>825.43</v>
      </c>
      <c r="D1595" s="15">
        <v>8</v>
      </c>
      <c r="AFI1595" s="8" t="s">
        <v>11530</v>
      </c>
    </row>
    <row r="1596" spans="1:872 1064:2048 2072:3033 3080:3608 5148:5193">
      <c r="A1596" s="8" t="s">
        <v>9937</v>
      </c>
      <c r="B1596" s="10" t="s">
        <v>14350</v>
      </c>
      <c r="C1596" s="8">
        <v>848.32</v>
      </c>
      <c r="D1596" s="15">
        <v>15.68</v>
      </c>
      <c r="AGN1596" s="8" t="s">
        <v>14350</v>
      </c>
    </row>
    <row r="1597" spans="1:872 1064:2048 2072:3033 3080:3608 5148:5193">
      <c r="A1597" s="8" t="s">
        <v>9937</v>
      </c>
      <c r="B1597" s="10" t="s">
        <v>11531</v>
      </c>
      <c r="C1597" s="8">
        <v>1039.2</v>
      </c>
      <c r="D1597" s="15">
        <v>16.8</v>
      </c>
      <c r="ANX1597" s="8" t="s">
        <v>11531</v>
      </c>
    </row>
    <row r="1598" spans="1:872 1064:2048 2072:3033 3080:3608 5148:5193">
      <c r="A1598" s="8" t="s">
        <v>9937</v>
      </c>
      <c r="B1598" s="10" t="s">
        <v>14351</v>
      </c>
      <c r="C1598" s="8">
        <v>1774</v>
      </c>
      <c r="D1598" s="15">
        <v>2</v>
      </c>
      <c r="BPP1598" s="8" t="s">
        <v>14351</v>
      </c>
    </row>
    <row r="1599" spans="1:872 1064:2048 2072:3033 3080:3608 5148:5193">
      <c r="A1599" s="8" t="s">
        <v>9937</v>
      </c>
      <c r="B1599" s="10" t="s">
        <v>14352</v>
      </c>
      <c r="C1599" s="8">
        <v>2296</v>
      </c>
      <c r="D1599" s="15">
        <v>8</v>
      </c>
      <c r="BTH1599" s="8" t="s">
        <v>11532</v>
      </c>
      <c r="BVD1599" s="8" t="s">
        <v>10440</v>
      </c>
      <c r="CJX1599" s="8" t="s">
        <v>14352</v>
      </c>
    </row>
    <row r="1600" spans="1:872 1064:2048 2072:3033 3080:3608 5148:5193">
      <c r="A1600" s="8" t="s">
        <v>9937</v>
      </c>
      <c r="B1600" s="10" t="s">
        <v>14353</v>
      </c>
      <c r="C1600" s="8">
        <v>2401</v>
      </c>
      <c r="D1600" s="15">
        <v>11.2</v>
      </c>
      <c r="BVD1600" s="8" t="s">
        <v>11533</v>
      </c>
      <c r="BWZ1600" s="8" t="s">
        <v>10441</v>
      </c>
      <c r="COB1600" s="8" t="s">
        <v>14353</v>
      </c>
    </row>
    <row r="1601" spans="1:4 1400:2024 2168:3032 3368:3560">
      <c r="A1601" s="8" t="s">
        <v>9937</v>
      </c>
      <c r="B1601" s="10" t="s">
        <v>11535</v>
      </c>
      <c r="C1601" s="8">
        <v>2450</v>
      </c>
      <c r="D1601" s="15">
        <v>2</v>
      </c>
      <c r="CPL1601" s="8" t="s">
        <v>11534</v>
      </c>
      <c r="CPP1601" s="8" t="s">
        <v>11535</v>
      </c>
      <c r="CRH1601" s="8" t="s">
        <v>10442</v>
      </c>
    </row>
    <row r="1602" spans="1:4 1400:2024 2168:3032 3368:3560">
      <c r="A1602" s="8" t="s">
        <v>9937</v>
      </c>
      <c r="B1602" s="10" t="s">
        <v>14354</v>
      </c>
      <c r="C1602" s="8">
        <v>3021.76</v>
      </c>
      <c r="D1602" s="15">
        <v>2.2400000000000002</v>
      </c>
      <c r="CUZ1602" s="8" t="s">
        <v>11535</v>
      </c>
      <c r="CWV1602" s="8" t="s">
        <v>10443</v>
      </c>
      <c r="DLP1602" s="8" t="s">
        <v>14354</v>
      </c>
    </row>
    <row r="1603" spans="1:4 1400:2024 2168:3032 3368:3560">
      <c r="A1603" s="8" t="s">
        <v>9937</v>
      </c>
      <c r="B1603" s="10" t="s">
        <v>11536</v>
      </c>
      <c r="C1603" s="8">
        <v>3342.08</v>
      </c>
      <c r="D1603" s="15">
        <v>17.920000000000002</v>
      </c>
      <c r="DYN1603" s="8" t="s">
        <v>11536</v>
      </c>
      <c r="EEB1603" s="8" t="s">
        <v>11536</v>
      </c>
      <c r="EFX1603" s="8" t="s">
        <v>10444</v>
      </c>
    </row>
    <row r="1604" spans="1:4 1400:2024 2168:3032 3368:3560">
      <c r="B1604" s="10"/>
    </row>
    <row r="1605" spans="1:4 1400:2024 2168:3032 3368:3560">
      <c r="B1605" s="10"/>
    </row>
    <row r="1606" spans="1:4 1400:2024 2168:3032 3368:3560">
      <c r="B1606" s="10"/>
      <c r="BLX1606" s="8" t="s">
        <v>584</v>
      </c>
    </row>
    <row r="1607" spans="1:4 1400:2024 2168:3032 3368:3560">
      <c r="B1607" s="10"/>
      <c r="BYV1607" s="8" t="s">
        <v>585</v>
      </c>
    </row>
    <row r="1608" spans="1:4 1400:2024 2168:3032 3368:3560">
      <c r="B1608" s="10"/>
      <c r="CEJ1608" s="8" t="s">
        <v>586</v>
      </c>
    </row>
    <row r="1609" spans="1:4 1400:2024 2168:3032 3368:3560">
      <c r="B1609" s="10"/>
      <c r="DGC1609" s="8" t="s">
        <v>587</v>
      </c>
    </row>
    <row r="1610" spans="1:4 1400:2024 2168:3032 3368:3560">
      <c r="B1610" s="10"/>
      <c r="DYN1610" s="8" t="s">
        <v>588</v>
      </c>
    </row>
    <row r="1611" spans="1:4 1400:2024 2168:3032 3368:3560">
      <c r="B1611" s="10"/>
    </row>
    <row r="1612" spans="1:4 1400:2024 2168:3032 3368:3560">
      <c r="B1612" s="10"/>
    </row>
    <row r="1613" spans="1:4 1400:2024 2168:3032 3368:3560">
      <c r="B1613" s="10"/>
    </row>
    <row r="1614" spans="1:4 1400:2024 2168:3032 3368:3560">
      <c r="B1614" s="10"/>
    </row>
    <row r="1615" spans="1:4 1400:2024 2168:3032 3368:3560">
      <c r="B1615" s="10"/>
    </row>
    <row r="1616" spans="1:4 1400:2024 2168:3032 3368:3560">
      <c r="B1616" s="10"/>
      <c r="BAV1616" s="8" t="s">
        <v>548</v>
      </c>
      <c r="BCR1616" s="8" t="s">
        <v>548</v>
      </c>
    </row>
    <row r="1617" spans="2:2 1352:2024 2120:2889 3224:4088 6177:6200">
      <c r="B1617" s="10"/>
      <c r="BCG1617" s="8" t="s">
        <v>590</v>
      </c>
      <c r="BPP1617" s="8" t="s">
        <v>549</v>
      </c>
      <c r="BRL1617" s="8" t="s">
        <v>549</v>
      </c>
    </row>
    <row r="1618" spans="2:2 1352:2024 2120:2889 3224:4088 6177:6200">
      <c r="B1618" s="10"/>
      <c r="BHH1618" s="8" t="s">
        <v>591</v>
      </c>
      <c r="CUZ1618" s="8" t="s">
        <v>551</v>
      </c>
      <c r="CWV1618" s="8" t="s">
        <v>551</v>
      </c>
    </row>
    <row r="1619" spans="2:2 1352:2024 2120:2889 3224:4088 6177:6200">
      <c r="B1619" s="10"/>
      <c r="BKK1619" s="8" t="s">
        <v>592</v>
      </c>
      <c r="EYJ1619" s="8" t="s">
        <v>553</v>
      </c>
      <c r="FAF1619" s="8" t="s">
        <v>553</v>
      </c>
    </row>
    <row r="1620" spans="2:2 1352:2024 2120:2889 3224:4088 6177:6200">
      <c r="B1620" s="10"/>
      <c r="BJK1620" s="8" t="s">
        <v>593</v>
      </c>
    </row>
    <row r="1621" spans="2:2 1352:2024 2120:2889 3224:4088 6177:6200">
      <c r="B1621" s="10"/>
      <c r="BJP1621" s="8" t="s">
        <v>594</v>
      </c>
    </row>
    <row r="1622" spans="2:2 1352:2024 2120:2889 3224:4088 6177:6200">
      <c r="B1622" s="10"/>
      <c r="BKB1622" s="8" t="s">
        <v>1215</v>
      </c>
      <c r="BLX1622" s="8" t="s">
        <v>1215</v>
      </c>
      <c r="BNS1622" s="8" t="s">
        <v>595</v>
      </c>
    </row>
    <row r="1623" spans="2:2 1352:2024 2120:2889 3224:4088 6177:6200">
      <c r="B1623" s="10"/>
      <c r="AYZ1623" s="8" t="s">
        <v>1216</v>
      </c>
      <c r="BGJ1623" s="8" t="s">
        <v>585</v>
      </c>
      <c r="BLX1623" s="8" t="s">
        <v>585</v>
      </c>
      <c r="BPT1623" s="8" t="s">
        <v>596</v>
      </c>
      <c r="BWZ1623" s="8" t="s">
        <v>1216</v>
      </c>
      <c r="BYV1623" s="8" t="s">
        <v>1216</v>
      </c>
    </row>
    <row r="1624" spans="2:2 1352:2024 2120:2889 3224:4088 6177:6200">
      <c r="B1624" s="10"/>
      <c r="BTH1624" s="8" t="s">
        <v>586</v>
      </c>
      <c r="BTL1624" s="8" t="s">
        <v>586</v>
      </c>
      <c r="BTW1624" s="8" t="s">
        <v>597</v>
      </c>
      <c r="BYV1624" s="8" t="s">
        <v>586</v>
      </c>
      <c r="CCN1624" s="8" t="s">
        <v>1217</v>
      </c>
      <c r="CEJ1624" s="8" t="s">
        <v>1217</v>
      </c>
    </row>
    <row r="1625" spans="2:2 1352:2024 2120:2889 3224:4088 6177:6200">
      <c r="B1625" s="10"/>
      <c r="BCR1625" s="8" t="s">
        <v>1218</v>
      </c>
      <c r="BCS1625" s="8" t="s">
        <v>587</v>
      </c>
      <c r="BSZ1625" s="8" t="s">
        <v>598</v>
      </c>
      <c r="BYV1625" s="8" t="s">
        <v>587</v>
      </c>
      <c r="CEJ1625" s="8" t="s">
        <v>587</v>
      </c>
      <c r="DEG1625" s="8" t="s">
        <v>1218</v>
      </c>
      <c r="DGC1625" s="8" t="s">
        <v>1218</v>
      </c>
    </row>
    <row r="1626" spans="2:2 1352:2024 2120:2889 3224:4088 6177:6200">
      <c r="B1626" s="10"/>
      <c r="AZX1626" s="8" t="s">
        <v>588</v>
      </c>
      <c r="BAV1626" s="8" t="s">
        <v>588</v>
      </c>
      <c r="BBT1626" s="8" t="s">
        <v>1219</v>
      </c>
      <c r="BXY1626" s="8" t="s">
        <v>599</v>
      </c>
      <c r="CNP1626" s="8" t="s">
        <v>588</v>
      </c>
      <c r="CNQ1626" s="8" t="s">
        <v>1219</v>
      </c>
      <c r="DAO1626" s="8" t="s">
        <v>588</v>
      </c>
      <c r="DGC1626" s="8" t="s">
        <v>588</v>
      </c>
      <c r="DWR1626" s="8" t="s">
        <v>1219</v>
      </c>
      <c r="DYN1626" s="8" t="s">
        <v>1219</v>
      </c>
    </row>
    <row r="1627" spans="2:2 1352:2024 2120:2889 3224:4088 6177:6200">
      <c r="B1627" s="10"/>
      <c r="BJD1627" s="8" t="s">
        <v>589</v>
      </c>
      <c r="BKB1627" s="8" t="s">
        <v>589</v>
      </c>
      <c r="BKZ1627" s="8" t="s">
        <v>1283</v>
      </c>
      <c r="CGG1627" s="8" t="s">
        <v>600</v>
      </c>
      <c r="DSZ1627" s="8" t="s">
        <v>589</v>
      </c>
      <c r="DYN1627" s="8" t="s">
        <v>589</v>
      </c>
      <c r="ICO1627" s="8" t="s">
        <v>589</v>
      </c>
      <c r="IDL1627" s="8" t="s">
        <v>1283</v>
      </c>
    </row>
    <row r="1628" spans="2:2 1352:2024 2120:2889 3224:4088 6177:6200">
      <c r="B1628" s="10"/>
      <c r="COM1628" s="8" t="s">
        <v>601</v>
      </c>
    </row>
    <row r="1629" spans="2:2 1352:2024 2120:2889 3224:4088 6177:6200">
      <c r="B1629" s="10"/>
      <c r="CQN1629" s="8" t="s">
        <v>602</v>
      </c>
    </row>
    <row r="1630" spans="2:2 1352:2024 2120:2889 3224:4088 6177:6200">
      <c r="B1630" s="10"/>
      <c r="BDP1630" s="8" t="s">
        <v>570</v>
      </c>
      <c r="CUQ1630" s="8" t="s">
        <v>603</v>
      </c>
    </row>
    <row r="1631" spans="2:2 1352:2024 2120:2889 3224:4088 6177:6200">
      <c r="B1631" s="10"/>
      <c r="CNU1631" s="8" t="s">
        <v>571</v>
      </c>
      <c r="CYS1631" s="8" t="s">
        <v>604</v>
      </c>
    </row>
    <row r="1632" spans="2:2 1352:2024 2120:2889 3224:4088 6177:6200">
      <c r="B1632" s="10"/>
      <c r="CTD1632" s="8" t="s">
        <v>572</v>
      </c>
      <c r="DEF1632" s="8" t="s">
        <v>605</v>
      </c>
    </row>
    <row r="1633" spans="2:2 1352:2035 2060:2888 3176:3993 4184:4184">
      <c r="B1633" s="10"/>
      <c r="BAK1633" s="8" t="s">
        <v>1220</v>
      </c>
      <c r="BCG1633" s="8" t="s">
        <v>1220</v>
      </c>
      <c r="CWV1633" s="8" t="s">
        <v>573</v>
      </c>
      <c r="DRD1633" s="8" t="s">
        <v>606</v>
      </c>
    </row>
    <row r="1634" spans="2:2 1352:2035 2060:2888 3176:3993 4184:4184">
      <c r="B1634" s="10"/>
      <c r="AZS1634" s="8" t="s">
        <v>591</v>
      </c>
      <c r="BAK1634" s="8" t="s">
        <v>1221</v>
      </c>
      <c r="BCG1634" s="8" t="s">
        <v>591</v>
      </c>
      <c r="BFL1634" s="8" t="s">
        <v>1221</v>
      </c>
      <c r="BHH1634" s="8" t="s">
        <v>1221</v>
      </c>
      <c r="DGB1634" s="8" t="s">
        <v>574</v>
      </c>
      <c r="FDX1634" s="8" t="s">
        <v>607</v>
      </c>
    </row>
    <row r="1635" spans="2:2 1352:2035 2060:2888 3176:3993 4184:4184">
      <c r="B1635" s="10"/>
      <c r="AYZ1635" s="8" t="s">
        <v>5137</v>
      </c>
      <c r="AZA1635" s="8" t="s">
        <v>5137</v>
      </c>
      <c r="BBT1635" s="8" t="s">
        <v>592</v>
      </c>
      <c r="BDP1635" s="8" t="s">
        <v>1222</v>
      </c>
      <c r="BEB1635" s="8" t="s">
        <v>592</v>
      </c>
      <c r="BHH1635" s="8" t="s">
        <v>592</v>
      </c>
      <c r="BIO1635" s="8" t="s">
        <v>1222</v>
      </c>
      <c r="BKK1635" s="8" t="s">
        <v>1222</v>
      </c>
    </row>
    <row r="1636" spans="2:2 1352:2035 2060:2888 3176:3993 4184:4184">
      <c r="B1636" s="10"/>
      <c r="BEN1636" s="8" t="s">
        <v>5138</v>
      </c>
      <c r="BEW1636" s="8" t="s">
        <v>593</v>
      </c>
      <c r="BGJ1636" s="8" t="s">
        <v>5138</v>
      </c>
      <c r="BGK1636" s="8" t="s">
        <v>5138</v>
      </c>
      <c r="BHO1636" s="8" t="s">
        <v>1223</v>
      </c>
      <c r="BJK1636" s="8" t="s">
        <v>1223</v>
      </c>
      <c r="BKK1636" s="8" t="s">
        <v>1223</v>
      </c>
    </row>
    <row r="1637" spans="2:2 1352:2035 2060:2888 3176:3993 4184:4184">
      <c r="B1637" s="10"/>
      <c r="BDW1637" s="8" t="s">
        <v>594</v>
      </c>
      <c r="BHT1637" s="8" t="s">
        <v>1224</v>
      </c>
      <c r="BIK1637" s="8" t="s">
        <v>5139</v>
      </c>
      <c r="BJK1637" s="8" t="s">
        <v>1224</v>
      </c>
      <c r="BJP1637" s="8" t="s">
        <v>1224</v>
      </c>
      <c r="BKG1637" s="8" t="s">
        <v>5139</v>
      </c>
      <c r="BKH1637" s="8" t="s">
        <v>5139</v>
      </c>
    </row>
    <row r="1638" spans="2:2 1352:2035 2060:2888 3176:3993 4184:4184">
      <c r="B1638" s="10"/>
      <c r="BEB1638" s="8" t="s">
        <v>595</v>
      </c>
      <c r="BHT1638" s="8" t="s">
        <v>1225</v>
      </c>
      <c r="BHY1638" s="8" t="s">
        <v>595</v>
      </c>
      <c r="BJP1638" s="8" t="s">
        <v>595</v>
      </c>
      <c r="BLW1638" s="8" t="s">
        <v>1225</v>
      </c>
      <c r="BMI1638" s="8" t="s">
        <v>5140</v>
      </c>
      <c r="BNS1638" s="8" t="s">
        <v>1225</v>
      </c>
      <c r="BOE1638" s="8" t="s">
        <v>5140</v>
      </c>
    </row>
    <row r="1639" spans="2:2 1352:2035 2060:2888 3176:3993 4184:4184">
      <c r="B1639" s="10"/>
      <c r="BIE1639" s="8" t="s">
        <v>596</v>
      </c>
      <c r="BKA1639" s="8" t="s">
        <v>1226</v>
      </c>
      <c r="BKK1639" s="8" t="s">
        <v>596</v>
      </c>
      <c r="BNS1639" s="8" t="s">
        <v>596</v>
      </c>
      <c r="BNT1639" s="8" t="s">
        <v>5141</v>
      </c>
      <c r="BNU1639" s="8" t="s">
        <v>5141</v>
      </c>
      <c r="BNX1639" s="8" t="s">
        <v>1226</v>
      </c>
      <c r="BPP1639" s="8" t="s">
        <v>5141</v>
      </c>
      <c r="BPQ1639" s="8" t="s">
        <v>5141</v>
      </c>
      <c r="BPT1639" s="8" t="s">
        <v>1226</v>
      </c>
    </row>
    <row r="1640" spans="2:2 1352:2035 2060:2888 3176:3993 4184:4184">
      <c r="B1640" s="10"/>
      <c r="BKF1640" s="8" t="s">
        <v>597</v>
      </c>
      <c r="BKK1640" s="8" t="s">
        <v>597</v>
      </c>
      <c r="BMB1640" s="8" t="s">
        <v>1227</v>
      </c>
      <c r="BPP1640" s="8" t="s">
        <v>5142</v>
      </c>
      <c r="BPQ1640" s="8" t="s">
        <v>5142</v>
      </c>
      <c r="BPT1640" s="8" t="s">
        <v>597</v>
      </c>
      <c r="BRL1640" s="8" t="s">
        <v>5142</v>
      </c>
      <c r="BRM1640" s="8" t="s">
        <v>5142</v>
      </c>
      <c r="BSA1640" s="8" t="s">
        <v>1227</v>
      </c>
      <c r="BTW1640" s="8" t="s">
        <v>1227</v>
      </c>
    </row>
    <row r="1641" spans="2:2 1352:2035 2060:2888 3176:3993 4184:4184">
      <c r="B1641" s="10"/>
      <c r="BOI1641" s="8" t="s">
        <v>598</v>
      </c>
      <c r="BRD1641" s="8" t="s">
        <v>1228</v>
      </c>
      <c r="BSZ1641" s="8" t="s">
        <v>1228</v>
      </c>
      <c r="BTW1641" s="8" t="s">
        <v>1228</v>
      </c>
      <c r="BVA1641" s="8" t="s">
        <v>598</v>
      </c>
      <c r="BWY1641" s="8" t="s">
        <v>5143</v>
      </c>
      <c r="BWZ1641" s="8" t="s">
        <v>5143</v>
      </c>
      <c r="BYU1641" s="8" t="s">
        <v>5143</v>
      </c>
      <c r="BYV1641" s="8" t="s">
        <v>5143</v>
      </c>
    </row>
    <row r="1642" spans="2:2 1352:2035 2060:2888 3176:3993 4184:4184">
      <c r="B1642" s="10"/>
      <c r="BCR1642" s="8" t="s">
        <v>2218</v>
      </c>
      <c r="BEN1642" s="8" t="s">
        <v>1801</v>
      </c>
      <c r="BIF1642" s="8" t="s">
        <v>1400</v>
      </c>
      <c r="BKB1642" s="8" t="s">
        <v>1400</v>
      </c>
      <c r="BLX1642" s="8" t="s">
        <v>1400</v>
      </c>
      <c r="BNL1642" s="8" t="s">
        <v>599</v>
      </c>
      <c r="BNT1642" s="8" t="s">
        <v>1400</v>
      </c>
      <c r="BON1642" s="8" t="s">
        <v>599</v>
      </c>
      <c r="BPH1642" s="8" t="s">
        <v>1229</v>
      </c>
      <c r="BSZ1642" s="8" t="s">
        <v>599</v>
      </c>
      <c r="BWC1642" s="8" t="s">
        <v>1229</v>
      </c>
      <c r="BXY1642" s="8" t="s">
        <v>1229</v>
      </c>
      <c r="BZG1642" s="8" t="s">
        <v>5144</v>
      </c>
      <c r="CBC1642" s="8" t="s">
        <v>5144</v>
      </c>
    </row>
    <row r="1643" spans="2:2 1352:2035 2060:2888 3176:3993 4184:4184">
      <c r="B1643" s="10"/>
      <c r="BQO1643" s="8" t="s">
        <v>1230</v>
      </c>
      <c r="BRM1643" s="8" t="s">
        <v>600</v>
      </c>
      <c r="BSK1643" s="8" t="s">
        <v>600</v>
      </c>
      <c r="BTM1643" s="8" t="s">
        <v>2219</v>
      </c>
      <c r="BVI1643" s="8" t="s">
        <v>1802</v>
      </c>
      <c r="BXY1643" s="8" t="s">
        <v>600</v>
      </c>
      <c r="BZA1643" s="8" t="s">
        <v>572</v>
      </c>
      <c r="CAW1643" s="8" t="s">
        <v>572</v>
      </c>
      <c r="CCS1643" s="8" t="s">
        <v>572</v>
      </c>
      <c r="CEK1643" s="8" t="s">
        <v>1230</v>
      </c>
      <c r="CEO1643" s="8" t="s">
        <v>572</v>
      </c>
      <c r="CGG1643" s="8" t="s">
        <v>1230</v>
      </c>
      <c r="CJX1643" s="8" t="s">
        <v>5145</v>
      </c>
      <c r="CLT1643" s="8" t="s">
        <v>5145</v>
      </c>
      <c r="CLU1643" s="8" t="s">
        <v>5145</v>
      </c>
    </row>
    <row r="1644" spans="2:2 1352:2035 2060:2888 3176:3993 4184:4184">
      <c r="B1644" s="10"/>
      <c r="BWA1644" s="8" t="s">
        <v>601</v>
      </c>
      <c r="BXA1644" s="8" t="s">
        <v>1231</v>
      </c>
      <c r="BYJ1644" s="8" t="s">
        <v>2220</v>
      </c>
      <c r="CAF1644" s="8" t="s">
        <v>1803</v>
      </c>
      <c r="CAS1644" s="8" t="s">
        <v>601</v>
      </c>
      <c r="CDX1644" s="8" t="s">
        <v>1401</v>
      </c>
      <c r="CFT1644" s="8" t="s">
        <v>1401</v>
      </c>
      <c r="CGG1644" s="8" t="s">
        <v>601</v>
      </c>
      <c r="CHP1644" s="8" t="s">
        <v>1401</v>
      </c>
      <c r="CJL1644" s="8" t="s">
        <v>1401</v>
      </c>
      <c r="CMQ1644" s="8" t="s">
        <v>1231</v>
      </c>
      <c r="COM1644" s="8" t="s">
        <v>1231</v>
      </c>
      <c r="DSF1644" s="8" t="s">
        <v>5146</v>
      </c>
      <c r="DSG1644" s="8" t="s">
        <v>5146</v>
      </c>
      <c r="DUB1644" s="8" t="s">
        <v>5146</v>
      </c>
      <c r="DUC1644" s="8" t="s">
        <v>5146</v>
      </c>
      <c r="DUD1644" s="8" t="s">
        <v>5146</v>
      </c>
    </row>
    <row r="1645" spans="2:2 1352:2035 2060:2888 3176:3993 4184:4184">
      <c r="B1645" s="10"/>
      <c r="BYV1645" s="8" t="s">
        <v>2221</v>
      </c>
      <c r="CAR1645" s="8" t="s">
        <v>1804</v>
      </c>
      <c r="CEJ1645" s="8" t="s">
        <v>573</v>
      </c>
      <c r="CGF1645" s="8" t="s">
        <v>573</v>
      </c>
      <c r="CIB1645" s="8" t="s">
        <v>573</v>
      </c>
      <c r="CIY1645" s="8" t="s">
        <v>602</v>
      </c>
      <c r="CJX1645" s="8" t="s">
        <v>573</v>
      </c>
      <c r="CKU1645" s="8" t="s">
        <v>1232</v>
      </c>
      <c r="CLE1645" s="8" t="s">
        <v>602</v>
      </c>
      <c r="COM1645" s="8" t="s">
        <v>602</v>
      </c>
      <c r="COR1645" s="8" t="s">
        <v>1232</v>
      </c>
      <c r="CQN1645" s="8" t="s">
        <v>1232</v>
      </c>
      <c r="EUR1645" s="8" t="s">
        <v>5147</v>
      </c>
      <c r="EWN1645" s="8" t="s">
        <v>5147</v>
      </c>
      <c r="EWO1645" s="8" t="s">
        <v>5147</v>
      </c>
    </row>
    <row r="1646" spans="2:2 1352:2035 2060:2888 3176:3993 4184:4184">
      <c r="B1646" s="10"/>
      <c r="CCN1646" s="8" t="s">
        <v>2222</v>
      </c>
      <c r="CEJ1646" s="8" t="s">
        <v>1805</v>
      </c>
      <c r="CIB1646" s="8" t="s">
        <v>574</v>
      </c>
      <c r="CJX1646" s="8" t="s">
        <v>574</v>
      </c>
      <c r="CKZ1646" s="8" t="s">
        <v>603</v>
      </c>
      <c r="CLT1646" s="8" t="s">
        <v>574</v>
      </c>
      <c r="CNP1646" s="8" t="s">
        <v>574</v>
      </c>
      <c r="COR1646" s="8" t="s">
        <v>1233</v>
      </c>
      <c r="COW1646" s="8" t="s">
        <v>603</v>
      </c>
      <c r="CQN1646" s="8" t="s">
        <v>603</v>
      </c>
      <c r="CSU1646" s="8" t="s">
        <v>1233</v>
      </c>
      <c r="CUQ1646" s="8" t="s">
        <v>1233</v>
      </c>
    </row>
    <row r="1647" spans="2:2 1352:2035 2060:2888 3176:3993 4184:4184">
      <c r="B1647" s="10"/>
      <c r="CLT1647" s="8" t="s">
        <v>2223</v>
      </c>
      <c r="CNP1647" s="8" t="s">
        <v>1806</v>
      </c>
      <c r="CPC1647" s="8" t="s">
        <v>604</v>
      </c>
      <c r="CQY1647" s="8" t="s">
        <v>1234</v>
      </c>
      <c r="CRH1647" s="8" t="s">
        <v>575</v>
      </c>
      <c r="CRI1647" s="8" t="s">
        <v>604</v>
      </c>
      <c r="CTD1647" s="8" t="s">
        <v>575</v>
      </c>
      <c r="CUQ1647" s="8" t="s">
        <v>604</v>
      </c>
      <c r="CUZ1647" s="8" t="s">
        <v>575</v>
      </c>
      <c r="CWV1647" s="8" t="s">
        <v>575</v>
      </c>
      <c r="CWW1647" s="8" t="s">
        <v>1234</v>
      </c>
      <c r="CYS1647" s="8" t="s">
        <v>1234</v>
      </c>
    </row>
    <row r="1648" spans="2:2 1352:2035 2060:2888 3176:3993 4184:4184">
      <c r="B1648" s="10"/>
      <c r="CRI1648" s="8" t="s">
        <v>1235</v>
      </c>
      <c r="CRM1648" s="8" t="s">
        <v>605</v>
      </c>
      <c r="CTE1648" s="8" t="s">
        <v>605</v>
      </c>
      <c r="CYS1648" s="8" t="s">
        <v>605</v>
      </c>
      <c r="DCJ1648" s="8" t="s">
        <v>1235</v>
      </c>
      <c r="DEF1648" s="8" t="s">
        <v>1235</v>
      </c>
    </row>
    <row r="1649" spans="2:2 1352:2048 2072:3032 3128:4040 4136:4184 8078:8120">
      <c r="B1649" s="10"/>
      <c r="AYZ1649" s="8" t="s">
        <v>606</v>
      </c>
      <c r="AZC1649" s="8" t="s">
        <v>576</v>
      </c>
      <c r="AZX1649" s="8" t="s">
        <v>606</v>
      </c>
      <c r="BAV1649" s="8" t="s">
        <v>1236</v>
      </c>
      <c r="BCI1649" s="8" t="s">
        <v>5810</v>
      </c>
      <c r="BEC1649" s="8" t="s">
        <v>5172</v>
      </c>
      <c r="BEE1649" s="8" t="s">
        <v>5172</v>
      </c>
      <c r="CRH1649" s="8" t="s">
        <v>1236</v>
      </c>
      <c r="CYR1649" s="8" t="s">
        <v>606</v>
      </c>
      <c r="DEF1649" s="8" t="s">
        <v>606</v>
      </c>
      <c r="DPH1649" s="8" t="s">
        <v>1236</v>
      </c>
      <c r="DRD1649" s="8" t="s">
        <v>1236</v>
      </c>
    </row>
    <row r="1650" spans="2:2 1352:2048 2072:3032 3128:4040 4136:4184 8078:8120">
      <c r="B1650" s="10"/>
      <c r="BFL1650" s="8" t="s">
        <v>607</v>
      </c>
      <c r="BGJ1650" s="8" t="s">
        <v>607</v>
      </c>
      <c r="BHH1650" s="8" t="s">
        <v>1237</v>
      </c>
      <c r="BKB1650" s="8" t="s">
        <v>577</v>
      </c>
      <c r="CEJ1650" s="8" t="s">
        <v>1237</v>
      </c>
      <c r="CGF1650" s="8" t="s">
        <v>5811</v>
      </c>
      <c r="CGG1650" s="8" t="s">
        <v>5811</v>
      </c>
      <c r="CIB1650" s="8" t="s">
        <v>5352</v>
      </c>
      <c r="CID1650" s="8" t="s">
        <v>5352</v>
      </c>
      <c r="DLP1650" s="8" t="s">
        <v>607</v>
      </c>
      <c r="DRD1650" s="8" t="s">
        <v>607</v>
      </c>
      <c r="FCB1650" s="8" t="s">
        <v>1237</v>
      </c>
      <c r="FDX1650" s="8" t="s">
        <v>1237</v>
      </c>
    </row>
    <row r="1651" spans="2:2 1352:2048 2072:3032 3128:4040 4136:4184 8078:8120">
      <c r="B1651" s="10"/>
      <c r="BPP1651" s="8" t="s">
        <v>578</v>
      </c>
      <c r="BYV1651" s="8" t="s">
        <v>608</v>
      </c>
      <c r="BZT1651" s="8" t="s">
        <v>608</v>
      </c>
      <c r="CAR1651" s="8" t="s">
        <v>1284</v>
      </c>
      <c r="EQZ1651" s="8" t="s">
        <v>5812</v>
      </c>
      <c r="ERA1651" s="8" t="s">
        <v>5812</v>
      </c>
      <c r="ESV1651" s="8" t="s">
        <v>5173</v>
      </c>
      <c r="ESX1651" s="8" t="s">
        <v>5173</v>
      </c>
      <c r="EYJ1651" s="8" t="s">
        <v>608</v>
      </c>
      <c r="FDX1651" s="8" t="s">
        <v>608</v>
      </c>
      <c r="KXR1651" s="8" t="s">
        <v>608</v>
      </c>
      <c r="KZH1651" s="8" t="s">
        <v>1284</v>
      </c>
    </row>
    <row r="1652" spans="2:2 1352:2048 2072:3032 3128:4040 4136:4184 8078:8120">
      <c r="B1652" s="10"/>
      <c r="BFZ1652" s="8" t="s">
        <v>5172</v>
      </c>
      <c r="BGA1652" s="8" t="s">
        <v>5172</v>
      </c>
      <c r="BUC1652" s="8" t="s">
        <v>579</v>
      </c>
    </row>
    <row r="1653" spans="2:2 1352:2048 2072:3032 3128:4040 4136:4184 8078:8120">
      <c r="B1653" s="10"/>
      <c r="BWZ1653" s="8" t="s">
        <v>580</v>
      </c>
      <c r="CJY1653" s="8" t="s">
        <v>5352</v>
      </c>
      <c r="CJZ1653" s="8" t="s">
        <v>5352</v>
      </c>
    </row>
    <row r="1654" spans="2:2 1352:2048 2072:3032 3128:4040 4136:4184 8078:8120">
      <c r="B1654" s="10"/>
      <c r="CEJ1654" s="8" t="s">
        <v>581</v>
      </c>
      <c r="EUS1654" s="8" t="s">
        <v>5173</v>
      </c>
      <c r="EUT1654" s="8" t="s">
        <v>5173</v>
      </c>
    </row>
    <row r="1655" spans="2:2 1352:2048 2072:3032 3128:4040 4136:4184 8078:8120">
      <c r="B1655" s="10"/>
      <c r="CTE1655" s="8" t="s">
        <v>582</v>
      </c>
    </row>
    <row r="1656" spans="2:2 1352:2048 2072:3032 3128:4040 4136:4184 8078:8120">
      <c r="B1656" s="10"/>
    </row>
    <row r="1657" spans="2:2 1352:2048 2072:3032 3128:4040 4136:4184 8078:8120">
      <c r="B1657" s="10"/>
    </row>
    <row r="1658" spans="2:2 1352:2048 2072:3032 3128:4040 4136:4184 8078:8120">
      <c r="B1658" s="10"/>
      <c r="BAR1658" s="19" t="s">
        <v>557</v>
      </c>
    </row>
    <row r="1659" spans="2:2 1352:2048 2072:3032 3128:4040 4136:4184 8078:8120">
      <c r="B1659" s="10"/>
      <c r="AYZ1659" s="8" t="s">
        <v>558</v>
      </c>
      <c r="BAV1659" s="8" t="s">
        <v>558</v>
      </c>
    </row>
    <row r="1660" spans="2:2 1352:2048 2072:3032 3128:4040 4136:4184 8078:8120">
      <c r="B1660" s="10"/>
      <c r="BGJ1660" s="8" t="s">
        <v>559</v>
      </c>
      <c r="BIF1660" s="8" t="s">
        <v>559</v>
      </c>
    </row>
    <row r="1661" spans="2:2 1352:2048 2072:3032 3128:4040 4136:4184 8078:8120">
      <c r="B1661" s="10"/>
      <c r="BEN1661" s="8" t="s">
        <v>554</v>
      </c>
      <c r="BGJ1661" s="8" t="s">
        <v>554</v>
      </c>
    </row>
    <row r="1662" spans="2:2 1352:2048 2072:3032 3128:4040 4136:4184 8078:8120">
      <c r="B1662" s="10"/>
      <c r="BNT1662" s="8" t="s">
        <v>560</v>
      </c>
      <c r="BPP1662" s="8" t="s">
        <v>560</v>
      </c>
    </row>
    <row r="1663" spans="2:2 1352:2048 2072:3032 3128:4040 4136:4184 8078:8120">
      <c r="B1663" s="10"/>
      <c r="BSZ1663" s="8" t="s">
        <v>561</v>
      </c>
      <c r="BUV1663" s="8" t="s">
        <v>561</v>
      </c>
    </row>
    <row r="1664" spans="2:2 1352:2048 2072:3032 3128:4040 4136:4184 8078:8120">
      <c r="B1664" s="10"/>
      <c r="BTH1664" s="8" t="s">
        <v>562</v>
      </c>
      <c r="BVD1664" s="8" t="s">
        <v>562</v>
      </c>
    </row>
    <row r="1665" spans="2:2 1352:2025 2072:2456 3368:3656">
      <c r="B1665" s="10"/>
      <c r="BYV1665" s="8" t="s">
        <v>563</v>
      </c>
      <c r="CAR1665" s="8" t="s">
        <v>563</v>
      </c>
    </row>
    <row r="1666" spans="2:2 1352:2025 2072:2456 3368:3656">
      <c r="B1666" s="10"/>
      <c r="CCN1666" s="8" t="s">
        <v>564</v>
      </c>
      <c r="CEJ1666" s="8" t="s">
        <v>564</v>
      </c>
    </row>
    <row r="1667" spans="2:2 1352:2025 2072:2456 3368:3656">
      <c r="B1667" s="10"/>
      <c r="CJX1667" s="8" t="s">
        <v>565</v>
      </c>
      <c r="CLT1667" s="8" t="s">
        <v>565</v>
      </c>
    </row>
    <row r="1668" spans="2:2 1352:2025 2072:2456 3368:3656">
      <c r="B1668" s="10"/>
      <c r="BBN1668" s="8" t="s">
        <v>5148</v>
      </c>
      <c r="BDJ1668" s="8" t="s">
        <v>5148</v>
      </c>
      <c r="BDK1668" s="8" t="s">
        <v>5148</v>
      </c>
      <c r="CKV1668" s="8" t="s">
        <v>566</v>
      </c>
      <c r="CMR1668" s="8" t="s">
        <v>566</v>
      </c>
    </row>
    <row r="1669" spans="2:2 1352:2025 2072:2456 3368:3656">
      <c r="B1669" s="10"/>
      <c r="BHV1669" s="8" t="s">
        <v>5149</v>
      </c>
      <c r="BJR1669" s="8" t="s">
        <v>5149</v>
      </c>
      <c r="BJS1669" s="8" t="s">
        <v>5149</v>
      </c>
      <c r="CNP1669" s="8" t="s">
        <v>567</v>
      </c>
      <c r="CPL1669" s="8" t="s">
        <v>567</v>
      </c>
    </row>
    <row r="1670" spans="2:2 1352:2025 2072:2456 3368:3656">
      <c r="B1670" s="10"/>
      <c r="BKB1670" s="8" t="s">
        <v>5150</v>
      </c>
      <c r="BKC1670" s="8" t="s">
        <v>5150</v>
      </c>
      <c r="BLX1670" s="8" t="s">
        <v>5150</v>
      </c>
      <c r="BLY1670" s="8" t="s">
        <v>5150</v>
      </c>
      <c r="DYN1670" s="8" t="s">
        <v>568</v>
      </c>
      <c r="EAJ1670" s="8" t="s">
        <v>568</v>
      </c>
    </row>
    <row r="1671" spans="2:2 1352:2025 2072:2456 3368:3656">
      <c r="B1671" s="10"/>
      <c r="AYZ1671" s="8" t="s">
        <v>578</v>
      </c>
      <c r="BAV1671" s="8" t="s">
        <v>578</v>
      </c>
      <c r="EDM1671" s="8" t="s">
        <v>684</v>
      </c>
      <c r="EFI1671" s="8" t="s">
        <v>684</v>
      </c>
    </row>
    <row r="1672" spans="2:2 1352:2025 2072:2456 3368:3656">
      <c r="B1672" s="10"/>
      <c r="BCR1672" s="8" t="s">
        <v>2224</v>
      </c>
      <c r="BEN1672" s="8" t="s">
        <v>1807</v>
      </c>
      <c r="BIF1672" s="8" t="s">
        <v>581</v>
      </c>
      <c r="BKB1672" s="8" t="s">
        <v>581</v>
      </c>
      <c r="BLX1672" s="8" t="s">
        <v>581</v>
      </c>
      <c r="BNT1672" s="8" t="s">
        <v>581</v>
      </c>
      <c r="EHT1672" s="8" t="s">
        <v>569</v>
      </c>
      <c r="EJP1672" s="8" t="s">
        <v>569</v>
      </c>
    </row>
    <row r="1673" spans="2:2 1352:2025 2072:2456 3368:3656">
      <c r="B1673" s="10"/>
      <c r="BKB1673" s="8" t="s">
        <v>2225</v>
      </c>
      <c r="BLX1673" s="8" t="s">
        <v>1808</v>
      </c>
      <c r="BPP1673" s="8" t="s">
        <v>582</v>
      </c>
      <c r="BRL1673" s="8" t="s">
        <v>582</v>
      </c>
      <c r="BTH1673" s="8" t="s">
        <v>582</v>
      </c>
      <c r="BVD1673" s="8" t="s">
        <v>582</v>
      </c>
    </row>
    <row r="1674" spans="2:2 1352:2025 2072:2456 3368:3656">
      <c r="B1674" s="10"/>
      <c r="BYW1674" s="8" t="s">
        <v>2226</v>
      </c>
      <c r="CAS1674" s="8" t="s">
        <v>1809</v>
      </c>
      <c r="CEK1674" s="8" t="s">
        <v>583</v>
      </c>
      <c r="CGG1674" s="8" t="s">
        <v>583</v>
      </c>
      <c r="CIC1674" s="8" t="s">
        <v>583</v>
      </c>
      <c r="CJY1674" s="8" t="s">
        <v>583</v>
      </c>
    </row>
    <row r="1675" spans="2:2 1352:2025 2072:2456 3368:3656">
      <c r="B1675" s="10"/>
    </row>
    <row r="1676" spans="2:2 1352:2025 2072:2456 3368:3656">
      <c r="B1676" s="10"/>
    </row>
    <row r="1677" spans="2:2 1352:2025 2072:2456 3368:3656">
      <c r="B1677" s="10"/>
    </row>
    <row r="1678" spans="2:2 1352:2025 2072:2456 3368:3656">
      <c r="B1678" s="10"/>
    </row>
    <row r="1679" spans="2:2 1352:2025 2072:2456 3368:3656">
      <c r="B1679" s="10"/>
    </row>
    <row r="1680" spans="2:2 1352:2025 2072:2456 3368:3656">
      <c r="B1680" s="10"/>
    </row>
    <row r="1681" spans="2:2 1536:2024 2168:2889 3368:3368">
      <c r="B1681" s="10"/>
    </row>
    <row r="1682" spans="2:2 1536:2024 2168:2889 3368:3368">
      <c r="B1682" s="10"/>
    </row>
    <row r="1683" spans="2:2 1536:2024 2168:2889 3368:3368">
      <c r="B1683" s="10"/>
    </row>
    <row r="1684" spans="2:2 1536:2024 2168:2889 3368:3368">
      <c r="B1684" s="10"/>
    </row>
    <row r="1685" spans="2:2 1536:2024 2168:2889 3368:3368">
      <c r="B1685" s="10"/>
    </row>
    <row r="1686" spans="2:2 1536:2024 2168:2889 3368:3368">
      <c r="B1686" s="10"/>
    </row>
    <row r="1687" spans="2:2 1536:2024 2168:2889 3368:3368">
      <c r="B1687" s="10"/>
    </row>
    <row r="1688" spans="2:2 1536:2024 2168:2889 3368:3368">
      <c r="B1688" s="10"/>
      <c r="BGB1688" s="8" t="s">
        <v>609</v>
      </c>
    </row>
    <row r="1689" spans="2:2 1536:2024 2168:2889 3368:3368">
      <c r="B1689" s="10"/>
      <c r="BLX1689" s="8" t="s">
        <v>584</v>
      </c>
      <c r="BPH1689" s="8" t="s">
        <v>610</v>
      </c>
    </row>
    <row r="1690" spans="2:2 1536:2024 2168:2889 3368:3368">
      <c r="B1690" s="10"/>
      <c r="BTH1690" s="8" t="s">
        <v>611</v>
      </c>
      <c r="BYV1690" s="8" t="s">
        <v>585</v>
      </c>
    </row>
    <row r="1691" spans="2:2 1536:2024 2168:2889 3368:3368">
      <c r="B1691" s="10"/>
      <c r="CEJ1691" s="8" t="s">
        <v>586</v>
      </c>
      <c r="CIB1691" s="8" t="s">
        <v>612</v>
      </c>
    </row>
    <row r="1692" spans="2:2 1536:2024 2168:2889 3368:3368">
      <c r="B1692" s="10"/>
      <c r="CQY1692" s="8" t="s">
        <v>613</v>
      </c>
      <c r="DGC1692" s="8" t="s">
        <v>587</v>
      </c>
    </row>
    <row r="1693" spans="2:2 1536:2024 2168:2889 3368:3368">
      <c r="B1693" s="10"/>
      <c r="CUZ1693" s="8" t="s">
        <v>614</v>
      </c>
      <c r="DYN1693" s="8" t="s">
        <v>588</v>
      </c>
    </row>
    <row r="1694" spans="2:2 1536:2024 2168:2889 3368:3368">
      <c r="B1694" s="10"/>
    </row>
    <row r="1695" spans="2:2 1536:2024 2168:2889 3368:3368">
      <c r="B1695" s="10"/>
    </row>
    <row r="1696" spans="2:2 1536:2024 2168:2889 3368:3368">
      <c r="B1696" s="10"/>
    </row>
    <row r="1697" spans="2:2 1352:2001 2072:2484">
      <c r="B1697" s="10"/>
    </row>
    <row r="1698" spans="2:2 1352:2001 2072:2484">
      <c r="B1698" s="10"/>
    </row>
    <row r="1699" spans="2:2 1352:2001 2072:2484">
      <c r="B1699" s="10"/>
    </row>
    <row r="1700" spans="2:2 1352:2001 2072:2484">
      <c r="B1700" s="10"/>
      <c r="BCG1700" s="8" t="s">
        <v>590</v>
      </c>
    </row>
    <row r="1701" spans="2:2 1352:2001 2072:2484">
      <c r="B1701" s="10"/>
      <c r="BHH1701" s="8" t="s">
        <v>591</v>
      </c>
    </row>
    <row r="1702" spans="2:2 1352:2001 2072:2484">
      <c r="B1702" s="10"/>
      <c r="BKK1702" s="8" t="s">
        <v>592</v>
      </c>
    </row>
    <row r="1703" spans="2:2 1352:2001 2072:2484">
      <c r="B1703" s="10"/>
      <c r="BJK1703" s="8" t="s">
        <v>593</v>
      </c>
    </row>
    <row r="1704" spans="2:2 1352:2001 2072:2484">
      <c r="B1704" s="10"/>
      <c r="BCP1704" s="8" t="s">
        <v>5813</v>
      </c>
      <c r="BEK1704" s="8" t="s">
        <v>5176</v>
      </c>
      <c r="BEL1704" s="8" t="s">
        <v>5176</v>
      </c>
      <c r="BEM1704" s="8" t="s">
        <v>5176</v>
      </c>
      <c r="BJP1704" s="8" t="s">
        <v>594</v>
      </c>
    </row>
    <row r="1705" spans="2:2 1352:2001 2072:2484">
      <c r="B1705" s="10"/>
      <c r="BCR1705" s="8" t="s">
        <v>5814</v>
      </c>
      <c r="BEM1705" s="8" t="s">
        <v>5177</v>
      </c>
      <c r="BEN1705" s="8" t="s">
        <v>5177</v>
      </c>
      <c r="BEO1705" s="8" t="s">
        <v>5177</v>
      </c>
      <c r="BNS1705" s="8" t="s">
        <v>595</v>
      </c>
    </row>
    <row r="1706" spans="2:2 1352:2001 2072:2484">
      <c r="B1706" s="10"/>
      <c r="BGJ1706" s="8" t="s">
        <v>5815</v>
      </c>
      <c r="BGK1706" s="8" t="s">
        <v>5815</v>
      </c>
      <c r="BIF1706" s="8" t="s">
        <v>5178</v>
      </c>
      <c r="BIH1706" s="8" t="s">
        <v>5178</v>
      </c>
      <c r="BPT1706" s="8" t="s">
        <v>596</v>
      </c>
    </row>
    <row r="1707" spans="2:2 1352:2001 2072:2484">
      <c r="B1707" s="10"/>
      <c r="BTH1707" s="8" t="s">
        <v>5816</v>
      </c>
      <c r="BTI1707" s="8" t="s">
        <v>5816</v>
      </c>
      <c r="BTW1707" s="8" t="s">
        <v>597</v>
      </c>
      <c r="BVC1707" s="8" t="s">
        <v>5370</v>
      </c>
      <c r="BVD1707" s="8" t="s">
        <v>5370</v>
      </c>
      <c r="BVE1707" s="8" t="s">
        <v>5370</v>
      </c>
    </row>
    <row r="1708" spans="2:2 1352:2001 2072:2484">
      <c r="B1708" s="10"/>
      <c r="BSZ1708" s="8" t="s">
        <v>598</v>
      </c>
      <c r="BVD1708" s="8" t="s">
        <v>5817</v>
      </c>
      <c r="BWX1708" s="8" t="s">
        <v>5179</v>
      </c>
      <c r="BWZ1708" s="8" t="s">
        <v>5179</v>
      </c>
    </row>
    <row r="1709" spans="2:2 1352:2001 2072:2484">
      <c r="B1709" s="10"/>
      <c r="BEF1709" s="8" t="s">
        <v>1238</v>
      </c>
      <c r="BGB1709" s="8" t="s">
        <v>1238</v>
      </c>
      <c r="BXY1709" s="8" t="s">
        <v>599</v>
      </c>
      <c r="CAR1709" s="8" t="s">
        <v>5818</v>
      </c>
      <c r="CCM1709" s="8" t="s">
        <v>5180</v>
      </c>
      <c r="CCN1709" s="8" t="s">
        <v>5180</v>
      </c>
      <c r="CCO1709" s="8" t="s">
        <v>5180</v>
      </c>
    </row>
    <row r="1710" spans="2:2 1352:2001 2072:2484">
      <c r="B1710" s="10"/>
      <c r="AYZ1710" s="8" t="s">
        <v>5151</v>
      </c>
      <c r="AZA1710" s="8" t="s">
        <v>5151</v>
      </c>
      <c r="BAN1710" s="8" t="s">
        <v>610</v>
      </c>
      <c r="BGB1710" s="8" t="s">
        <v>610</v>
      </c>
      <c r="BNL1710" s="8" t="s">
        <v>1239</v>
      </c>
      <c r="BPH1710" s="8" t="s">
        <v>1239</v>
      </c>
      <c r="CGG1710" s="8" t="s">
        <v>600</v>
      </c>
    </row>
    <row r="1711" spans="2:2 1352:2001 2072:2484">
      <c r="B1711" s="10"/>
      <c r="BAS1711" s="8" t="s">
        <v>5152</v>
      </c>
      <c r="BCO1711" s="8" t="s">
        <v>5152</v>
      </c>
      <c r="BCP1711" s="8" t="s">
        <v>5152</v>
      </c>
      <c r="BJT1711" s="8" t="s">
        <v>611</v>
      </c>
      <c r="BLP1711" s="8" t="s">
        <v>1240</v>
      </c>
      <c r="BMB1711" s="8" t="s">
        <v>611</v>
      </c>
      <c r="BPH1711" s="8" t="s">
        <v>611</v>
      </c>
      <c r="BRL1711" s="8" t="s">
        <v>1240</v>
      </c>
      <c r="BTH1711" s="8" t="s">
        <v>1240</v>
      </c>
      <c r="COM1711" s="8" t="s">
        <v>601</v>
      </c>
    </row>
    <row r="1712" spans="2:2 1352:2001 2072:2484">
      <c r="B1712" s="10"/>
      <c r="BAV1712" s="8" t="s">
        <v>5153</v>
      </c>
      <c r="BCR1712" s="8" t="s">
        <v>5153</v>
      </c>
      <c r="BCS1712" s="8" t="s">
        <v>5153</v>
      </c>
      <c r="BEN1712" s="8" t="s">
        <v>1241</v>
      </c>
      <c r="BGJ1712" s="8" t="s">
        <v>615</v>
      </c>
      <c r="BNT1712" s="8" t="s">
        <v>612</v>
      </c>
      <c r="BTH1712" s="8" t="s">
        <v>612</v>
      </c>
      <c r="CGF1712" s="8" t="s">
        <v>1241</v>
      </c>
      <c r="CIB1712" s="8" t="s">
        <v>1241</v>
      </c>
      <c r="CQN1712" s="8" t="s">
        <v>602</v>
      </c>
    </row>
    <row r="1713" spans="2:2 1352:2028 2072:3032 3080:4041 4184:4847">
      <c r="B1713" s="10"/>
      <c r="BCR1713" s="8" t="s">
        <v>5154</v>
      </c>
      <c r="BEN1713" s="8" t="s">
        <v>5154</v>
      </c>
      <c r="BEO1713" s="8" t="s">
        <v>5154</v>
      </c>
      <c r="BYM1713" s="8" t="s">
        <v>613</v>
      </c>
      <c r="BYV1713" s="8" t="s">
        <v>1242</v>
      </c>
      <c r="CCN1713" s="8" t="s">
        <v>613</v>
      </c>
      <c r="CIB1713" s="8" t="s">
        <v>613</v>
      </c>
      <c r="CPC1713" s="8" t="s">
        <v>1242</v>
      </c>
      <c r="CQY1713" s="8" t="s">
        <v>1242</v>
      </c>
      <c r="CUQ1713" s="8" t="s">
        <v>603</v>
      </c>
      <c r="DJT1713" s="8" t="s">
        <v>616</v>
      </c>
    </row>
    <row r="1714" spans="2:2 1352:2028 2072:3032 3080:4041 4184:4847">
      <c r="B1714" s="10"/>
      <c r="BKB1714" s="8" t="s">
        <v>5155</v>
      </c>
      <c r="BLX1714" s="8" t="s">
        <v>5155</v>
      </c>
      <c r="BLY1714" s="8" t="s">
        <v>5155</v>
      </c>
      <c r="CLK1714" s="8" t="s">
        <v>614</v>
      </c>
      <c r="CQY1714" s="8" t="s">
        <v>614</v>
      </c>
      <c r="CYS1714" s="8" t="s">
        <v>604</v>
      </c>
      <c r="DRD1714" s="8" t="s">
        <v>617</v>
      </c>
      <c r="GCG1714" s="8" t="s">
        <v>614</v>
      </c>
      <c r="GDK1714" s="8" t="s">
        <v>1285</v>
      </c>
    </row>
    <row r="1715" spans="2:2 1352:2028 2072:3032 3080:4041 4184:4847">
      <c r="B1715" s="10"/>
      <c r="BYZ1715" s="8" t="s">
        <v>5156</v>
      </c>
      <c r="CAV1715" s="8" t="s">
        <v>5156</v>
      </c>
      <c r="DEF1715" s="8" t="s">
        <v>605</v>
      </c>
    </row>
    <row r="1716" spans="2:2 1352:2028 2072:3032 3080:4041 4184:4847">
      <c r="B1716" s="10"/>
      <c r="CAR1716" s="8" t="s">
        <v>5157</v>
      </c>
      <c r="CCN1716" s="8" t="s">
        <v>5157</v>
      </c>
      <c r="CCO1716" s="8" t="s">
        <v>5157</v>
      </c>
      <c r="DRD1716" s="8" t="s">
        <v>606</v>
      </c>
    </row>
    <row r="1717" spans="2:2 1352:2028 2072:3032 3080:4041 4184:4847">
      <c r="B1717" s="10"/>
      <c r="AYZ1717" s="8" t="s">
        <v>585</v>
      </c>
      <c r="BAV1717" s="8" t="s">
        <v>585</v>
      </c>
      <c r="BCR1717" s="8" t="s">
        <v>585</v>
      </c>
      <c r="CRH1717" s="8" t="s">
        <v>5158</v>
      </c>
      <c r="CTD1717" s="8" t="s">
        <v>5158</v>
      </c>
      <c r="CTE1717" s="8" t="s">
        <v>5158</v>
      </c>
      <c r="FDX1717" s="8" t="s">
        <v>607</v>
      </c>
    </row>
    <row r="1718" spans="2:2 1352:2028 2072:3032 3080:4041 4184:4847">
      <c r="B1718" s="10"/>
      <c r="BEN1718" s="8" t="s">
        <v>2227</v>
      </c>
      <c r="BGJ1718" s="8" t="s">
        <v>1810</v>
      </c>
      <c r="BKB1718" s="8" t="s">
        <v>586</v>
      </c>
      <c r="BLX1718" s="8" t="s">
        <v>586</v>
      </c>
      <c r="BNT1718" s="8" t="s">
        <v>586</v>
      </c>
      <c r="BPP1718" s="8" t="s">
        <v>586</v>
      </c>
      <c r="DGB1718" s="8" t="s">
        <v>5159</v>
      </c>
      <c r="DHX1718" s="8" t="s">
        <v>5159</v>
      </c>
      <c r="DHY1718" s="8" t="s">
        <v>5159</v>
      </c>
    </row>
    <row r="1719" spans="2:2 1352:2028 2072:3032 3080:4041 4184:4847">
      <c r="B1719" s="10"/>
      <c r="BKB1719" s="8" t="s">
        <v>2228</v>
      </c>
      <c r="BLX1719" s="8" t="s">
        <v>1811</v>
      </c>
      <c r="BPP1719" s="8" t="s">
        <v>587</v>
      </c>
      <c r="BRL1719" s="8" t="s">
        <v>587</v>
      </c>
      <c r="BTH1719" s="8" t="s">
        <v>587</v>
      </c>
      <c r="BVD1719" s="8" t="s">
        <v>587</v>
      </c>
      <c r="DHX1719" s="8" t="s">
        <v>5160</v>
      </c>
      <c r="DHY1719" s="8" t="s">
        <v>5160</v>
      </c>
      <c r="DJT1719" s="8" t="s">
        <v>5160</v>
      </c>
      <c r="DJU1719" s="8" t="s">
        <v>5160</v>
      </c>
    </row>
    <row r="1720" spans="2:2 1352:2028 2072:3032 3080:4041 4184:4847">
      <c r="B1720" s="10"/>
      <c r="CLU1720" s="8" t="s">
        <v>2229</v>
      </c>
      <c r="CNQ1720" s="8" t="s">
        <v>1812</v>
      </c>
      <c r="CRI1720" s="8" t="s">
        <v>588</v>
      </c>
      <c r="CTE1720" s="8" t="s">
        <v>588</v>
      </c>
      <c r="CVA1720" s="8" t="s">
        <v>588</v>
      </c>
      <c r="CWW1720" s="8" t="s">
        <v>588</v>
      </c>
      <c r="EWN1720" s="8" t="s">
        <v>5161</v>
      </c>
      <c r="EYJ1720" s="8" t="s">
        <v>5161</v>
      </c>
      <c r="EYK1720" s="8" t="s">
        <v>5161</v>
      </c>
    </row>
    <row r="1721" spans="2:2 1352:2028 2072:3032 3080:4041 4184:4847">
      <c r="B1721" s="10"/>
      <c r="BHG1721" s="8" t="s">
        <v>5162</v>
      </c>
      <c r="BJC1721" s="8" t="s">
        <v>5162</v>
      </c>
      <c r="CEO1721" s="8" t="s">
        <v>572</v>
      </c>
      <c r="CGK1721" s="8" t="s">
        <v>572</v>
      </c>
      <c r="DEF1721" s="8" t="s">
        <v>2230</v>
      </c>
      <c r="DGB1721" s="8" t="s">
        <v>1813</v>
      </c>
      <c r="DJT1721" s="8" t="s">
        <v>589</v>
      </c>
      <c r="DLP1721" s="8" t="s">
        <v>589</v>
      </c>
      <c r="DNL1721" s="8" t="s">
        <v>589</v>
      </c>
      <c r="DPH1721" s="8" t="s">
        <v>589</v>
      </c>
    </row>
    <row r="1722" spans="2:2 1352:2028 2072:3032 3080:4041 4184:4847">
      <c r="B1722" s="10"/>
      <c r="BNK1722" s="8" t="s">
        <v>5163</v>
      </c>
      <c r="BPG1722" s="8" t="s">
        <v>5163</v>
      </c>
      <c r="BPH1722" s="8" t="s">
        <v>5163</v>
      </c>
      <c r="CJX1722" s="8" t="s">
        <v>573</v>
      </c>
      <c r="CLT1722" s="8" t="s">
        <v>573</v>
      </c>
    </row>
    <row r="1723" spans="2:2 1352:2028 2072:3032 3080:4041 4184:4847">
      <c r="B1723" s="10"/>
      <c r="BRM1723" s="8" t="s">
        <v>5164</v>
      </c>
      <c r="BRN1723" s="8" t="s">
        <v>5164</v>
      </c>
      <c r="BTI1723" s="8" t="s">
        <v>5164</v>
      </c>
      <c r="BTJ1723" s="8" t="s">
        <v>5164</v>
      </c>
      <c r="CNP1723" s="8" t="s">
        <v>574</v>
      </c>
      <c r="CPL1723" s="8" t="s">
        <v>574</v>
      </c>
    </row>
    <row r="1724" spans="2:2 1352:2028 2072:3032 3080:4041 4184:4847">
      <c r="B1724" s="10"/>
      <c r="BWZ1724" s="8" t="s">
        <v>5165</v>
      </c>
      <c r="BXA1724" s="8" t="s">
        <v>5165</v>
      </c>
      <c r="BYV1724" s="8" t="s">
        <v>5165</v>
      </c>
      <c r="BYW1724" s="8" t="s">
        <v>5165</v>
      </c>
      <c r="CWV1724" s="8" t="s">
        <v>575</v>
      </c>
      <c r="CYR1724" s="8" t="s">
        <v>575</v>
      </c>
    </row>
    <row r="1725" spans="2:2 1352:2028 2072:3032 3080:4041 4184:4847">
      <c r="B1725" s="10"/>
      <c r="CJX1725" s="8" t="s">
        <v>5166</v>
      </c>
      <c r="CJY1725" s="8" t="s">
        <v>5166</v>
      </c>
      <c r="CLT1725" s="8" t="s">
        <v>5166</v>
      </c>
      <c r="CLU1725" s="8" t="s">
        <v>5166</v>
      </c>
    </row>
    <row r="1726" spans="2:2 1352:2028 2072:3032 3080:4041 4184:4847">
      <c r="B1726" s="10"/>
      <c r="DWR1726" s="8" t="s">
        <v>5167</v>
      </c>
      <c r="DWS1726" s="8" t="s">
        <v>5167</v>
      </c>
      <c r="DYN1726" s="8" t="s">
        <v>5167</v>
      </c>
      <c r="DYO1726" s="8" t="s">
        <v>5167</v>
      </c>
    </row>
    <row r="1727" spans="2:2 1352:2028 2072:3032 3080:4041 4184:4847">
      <c r="B1727" s="10"/>
      <c r="AZA1727" s="8" t="s">
        <v>5175</v>
      </c>
      <c r="AZB1727" s="8" t="s">
        <v>5175</v>
      </c>
      <c r="EJP1727" s="8" t="s">
        <v>5168</v>
      </c>
      <c r="EJQ1727" s="8" t="s">
        <v>5168</v>
      </c>
      <c r="ELL1727" s="8" t="s">
        <v>5168</v>
      </c>
      <c r="ELM1727" s="8" t="s">
        <v>5168</v>
      </c>
    </row>
    <row r="1728" spans="2:2 1352:2028 2072:3032 3080:4041 4184:4847">
      <c r="B1728" s="10"/>
      <c r="BGH1728" s="8" t="s">
        <v>5176</v>
      </c>
      <c r="BGI1728" s="8" t="s">
        <v>5176</v>
      </c>
      <c r="EJP1728" s="8" t="s">
        <v>5169</v>
      </c>
      <c r="EJQ1728" s="8" t="s">
        <v>5169</v>
      </c>
      <c r="ELL1728" s="8" t="s">
        <v>5169</v>
      </c>
      <c r="ELM1728" s="8" t="s">
        <v>5169</v>
      </c>
    </row>
    <row r="1729" spans="2:2 1351:2047 2063:3032 3128:4041 4136:4280 6449:6488">
      <c r="B1729" s="10"/>
      <c r="AZI1729" s="8" t="s">
        <v>593</v>
      </c>
      <c r="BBE1729" s="8" t="s">
        <v>593</v>
      </c>
      <c r="BGJ1729" s="8" t="s">
        <v>5177</v>
      </c>
      <c r="BGK1729" s="8" t="s">
        <v>5177</v>
      </c>
      <c r="EWN1729" s="8" t="s">
        <v>5170</v>
      </c>
      <c r="EWO1729" s="8" t="s">
        <v>5170</v>
      </c>
      <c r="EYJ1729" s="8" t="s">
        <v>5170</v>
      </c>
      <c r="EYK1729" s="8" t="s">
        <v>5170</v>
      </c>
    </row>
    <row r="1730" spans="2:2 1351:2047 2063:3032 3128:4041 4136:4280 6449:6488">
      <c r="B1730" s="10"/>
      <c r="BAE1730" s="8" t="s">
        <v>594</v>
      </c>
      <c r="BKC1730" s="8" t="s">
        <v>5178</v>
      </c>
      <c r="BKD1730" s="8" t="s">
        <v>5178</v>
      </c>
    </row>
    <row r="1731" spans="2:2 1351:2047 2063:3032 3128:4041 4136:4280 6449:6488">
      <c r="B1731" s="10"/>
      <c r="BAJ1731" s="8" t="s">
        <v>595</v>
      </c>
      <c r="BYU1731" s="8" t="s">
        <v>5179</v>
      </c>
      <c r="BYV1731" s="8" t="s">
        <v>5179</v>
      </c>
    </row>
    <row r="1732" spans="2:2 1351:2047 2063:3032 3128:4041 4136:4280 6449:6488">
      <c r="B1732" s="10"/>
      <c r="AYY1732" s="8" t="s">
        <v>596</v>
      </c>
      <c r="BAU1732" s="8" t="s">
        <v>596</v>
      </c>
      <c r="BCQ1732" s="8" t="s">
        <v>596</v>
      </c>
      <c r="BEM1732" s="8" t="s">
        <v>596</v>
      </c>
      <c r="CEJ1732" s="8" t="s">
        <v>5180</v>
      </c>
      <c r="CEK1732" s="8" t="s">
        <v>5180</v>
      </c>
    </row>
    <row r="1733" spans="2:2 1351:2047 2063:3032 3128:4041 4136:4280 6449:6488">
      <c r="B1733" s="10"/>
      <c r="BAZ1733" s="8" t="s">
        <v>597</v>
      </c>
      <c r="BCV1733" s="8" t="s">
        <v>597</v>
      </c>
      <c r="BEN1733" s="8" t="s">
        <v>1243</v>
      </c>
      <c r="BER1733" s="8" t="s">
        <v>597</v>
      </c>
      <c r="BGJ1733" s="8" t="s">
        <v>1243</v>
      </c>
      <c r="BGN1733" s="8" t="s">
        <v>597</v>
      </c>
    </row>
    <row r="1734" spans="2:2 1351:2047 2063:3032 3128:4041 4136:4280 6449:6488">
      <c r="B1734" s="10"/>
      <c r="BAN1734" s="8" t="s">
        <v>1814</v>
      </c>
      <c r="BAV1734" s="8" t="s">
        <v>616</v>
      </c>
      <c r="BEF1734" s="8" t="s">
        <v>599</v>
      </c>
      <c r="BGB1734" s="8" t="s">
        <v>599</v>
      </c>
      <c r="BGJ1734" s="8" t="s">
        <v>616</v>
      </c>
      <c r="BHX1734" s="8" t="s">
        <v>599</v>
      </c>
      <c r="BJT1734" s="8" t="s">
        <v>599</v>
      </c>
      <c r="DHX1734" s="8" t="s">
        <v>1244</v>
      </c>
      <c r="DJT1734" s="8" t="s">
        <v>1244</v>
      </c>
    </row>
    <row r="1735" spans="2:2 1351:2047 2063:3032 3128:4041 4136:4280 6449:6488">
      <c r="B1735" s="10"/>
      <c r="BBT1735" s="8" t="s">
        <v>617</v>
      </c>
      <c r="BCR1735" s="8" t="s">
        <v>617</v>
      </c>
      <c r="BDP1735" s="8" t="s">
        <v>1245</v>
      </c>
      <c r="BDQ1735" s="8" t="s">
        <v>2231</v>
      </c>
      <c r="BFM1735" s="8" t="s">
        <v>1815</v>
      </c>
      <c r="BJE1735" s="8" t="s">
        <v>600</v>
      </c>
      <c r="BLA1735" s="8" t="s">
        <v>600</v>
      </c>
      <c r="BMW1735" s="8" t="s">
        <v>600</v>
      </c>
      <c r="BOS1735" s="8" t="s">
        <v>600</v>
      </c>
      <c r="DCJ1735" s="8" t="s">
        <v>1245</v>
      </c>
      <c r="DDH1735" s="8" t="s">
        <v>617</v>
      </c>
      <c r="DEF1735" s="8" t="s">
        <v>617</v>
      </c>
      <c r="DJT1735" s="8" t="s">
        <v>617</v>
      </c>
      <c r="DPH1735" s="8" t="s">
        <v>1245</v>
      </c>
      <c r="DRD1735" s="8" t="s">
        <v>1245</v>
      </c>
    </row>
    <row r="1736" spans="2:2 1351:2047 2063:3032 3128:4041 4136:4280 6449:6488">
      <c r="B1736" s="10"/>
      <c r="BFL1736" s="8" t="s">
        <v>618</v>
      </c>
      <c r="BGJ1736" s="8" t="s">
        <v>618</v>
      </c>
      <c r="BHH1736" s="8" t="s">
        <v>1286</v>
      </c>
      <c r="BLY1736" s="8" t="s">
        <v>2232</v>
      </c>
      <c r="BNU1736" s="8" t="s">
        <v>1816</v>
      </c>
      <c r="BRM1736" s="8" t="s">
        <v>601</v>
      </c>
      <c r="BTI1736" s="8" t="s">
        <v>601</v>
      </c>
      <c r="BVE1736" s="8" t="s">
        <v>601</v>
      </c>
      <c r="BXA1736" s="8" t="s">
        <v>601</v>
      </c>
      <c r="DLP1736" s="8" t="s">
        <v>618</v>
      </c>
      <c r="DRD1736" s="8" t="s">
        <v>618</v>
      </c>
      <c r="INA1736" s="8" t="s">
        <v>618</v>
      </c>
      <c r="ION1736" s="8" t="s">
        <v>1286</v>
      </c>
    </row>
    <row r="1737" spans="2:2 1351:2047 2063:3032 3128:4041 4136:4280 6449:6488">
      <c r="B1737" s="10"/>
      <c r="BUE1737" s="8" t="s">
        <v>2233</v>
      </c>
      <c r="BWA1737" s="8" t="s">
        <v>1817</v>
      </c>
      <c r="BZS1737" s="8" t="s">
        <v>602</v>
      </c>
      <c r="CBO1737" s="8" t="s">
        <v>602</v>
      </c>
      <c r="CDK1737" s="8" t="s">
        <v>602</v>
      </c>
      <c r="CFG1737" s="8" t="s">
        <v>602</v>
      </c>
    </row>
    <row r="1738" spans="2:2 1351:2047 2063:3032 3128:4041 4136:4280 6449:6488">
      <c r="B1738" s="10"/>
      <c r="BWF1738" s="8" t="s">
        <v>2234</v>
      </c>
      <c r="BYB1738" s="8" t="s">
        <v>1818</v>
      </c>
      <c r="CBT1738" s="8" t="s">
        <v>603</v>
      </c>
      <c r="CDP1738" s="8" t="s">
        <v>603</v>
      </c>
      <c r="CFL1738" s="8" t="s">
        <v>603</v>
      </c>
      <c r="CHH1738" s="8" t="s">
        <v>603</v>
      </c>
    </row>
    <row r="1739" spans="2:2 1351:2047 2063:3032 3128:4041 4136:4280 6449:6488">
      <c r="B1739" s="10"/>
      <c r="CAI1739" s="8" t="s">
        <v>2235</v>
      </c>
      <c r="CCE1739" s="8" t="s">
        <v>1819</v>
      </c>
      <c r="CFW1739" s="8" t="s">
        <v>604</v>
      </c>
      <c r="CHS1739" s="8" t="s">
        <v>604</v>
      </c>
      <c r="CJO1739" s="8" t="s">
        <v>604</v>
      </c>
      <c r="CLK1739" s="8" t="s">
        <v>604</v>
      </c>
    </row>
    <row r="1740" spans="2:2 1351:2047 2063:3032 3128:4041 4136:4280 6449:6488">
      <c r="B1740" s="10"/>
      <c r="CEK1740" s="8" t="s">
        <v>2236</v>
      </c>
      <c r="CGG1740" s="8" t="s">
        <v>1820</v>
      </c>
      <c r="CJY1740" s="8" t="s">
        <v>605</v>
      </c>
      <c r="CLU1740" s="8" t="s">
        <v>605</v>
      </c>
      <c r="CNQ1740" s="8" t="s">
        <v>605</v>
      </c>
      <c r="CPM1740" s="8" t="s">
        <v>605</v>
      </c>
    </row>
    <row r="1741" spans="2:2 1351:2047 2063:3032 3128:4041 4136:4280 6449:6488">
      <c r="B1741" s="10"/>
      <c r="CJX1741" s="8" t="s">
        <v>2237</v>
      </c>
      <c r="CLT1741" s="8" t="s">
        <v>1821</v>
      </c>
      <c r="CPL1741" s="8" t="s">
        <v>606</v>
      </c>
      <c r="CRH1741" s="8" t="s">
        <v>606</v>
      </c>
      <c r="CTD1741" s="8" t="s">
        <v>606</v>
      </c>
      <c r="CUZ1741" s="8" t="s">
        <v>606</v>
      </c>
    </row>
    <row r="1742" spans="2:2 1351:2047 2063:3032 3128:4041 4136:4280 6449:6488">
      <c r="B1742" s="10"/>
      <c r="CWV1742" s="8" t="s">
        <v>2238</v>
      </c>
      <c r="CYR1742" s="8" t="s">
        <v>1822</v>
      </c>
      <c r="DCJ1742" s="8" t="s">
        <v>607</v>
      </c>
      <c r="DEF1742" s="8" t="s">
        <v>607</v>
      </c>
      <c r="DGB1742" s="8" t="s">
        <v>607</v>
      </c>
      <c r="DHX1742" s="8" t="s">
        <v>607</v>
      </c>
    </row>
    <row r="1743" spans="2:2 1351:2047 2063:3032 3128:4041 4136:4280 6449:6488">
      <c r="B1743" s="10"/>
      <c r="EJP1743" s="8" t="s">
        <v>2239</v>
      </c>
      <c r="ELL1743" s="8" t="s">
        <v>1823</v>
      </c>
      <c r="EPD1743" s="8" t="s">
        <v>608</v>
      </c>
      <c r="EQZ1743" s="8" t="s">
        <v>608</v>
      </c>
      <c r="ESV1743" s="8" t="s">
        <v>608</v>
      </c>
      <c r="EUR1743" s="8" t="s">
        <v>608</v>
      </c>
    </row>
    <row r="1744" spans="2:2 1351:2047 2063:3032 3128:4041 4136:4280 6449:6488">
      <c r="B1744" s="10"/>
      <c r="BEN1744" s="8" t="s">
        <v>5819</v>
      </c>
      <c r="BGJ1744" s="8" t="s">
        <v>5181</v>
      </c>
      <c r="EWN1744" s="8" t="s">
        <v>2240</v>
      </c>
      <c r="EYJ1744" s="8" t="s">
        <v>1824</v>
      </c>
      <c r="FCB1744" s="8" t="s">
        <v>1349</v>
      </c>
      <c r="FDX1744" s="8" t="s">
        <v>1349</v>
      </c>
      <c r="FFT1744" s="8" t="s">
        <v>1349</v>
      </c>
      <c r="FHP1744" s="8" t="s">
        <v>1349</v>
      </c>
    </row>
    <row r="1745" spans="2:2 1400:1976 2313:2600 3512:4040 4136:4280">
      <c r="B1745" s="10"/>
      <c r="BGA1745" s="8" t="s">
        <v>5820</v>
      </c>
      <c r="BGB1745" s="8" t="s">
        <v>5820</v>
      </c>
      <c r="BHW1745" s="8" t="s">
        <v>5182</v>
      </c>
      <c r="BHY1745" s="8" t="s">
        <v>5182</v>
      </c>
      <c r="EWN1745" s="8" t="s">
        <v>2241</v>
      </c>
      <c r="EYJ1745" s="8" t="s">
        <v>1825</v>
      </c>
      <c r="FCB1745" s="8" t="s">
        <v>1350</v>
      </c>
      <c r="FDX1745" s="8" t="s">
        <v>1350</v>
      </c>
      <c r="FFT1745" s="8" t="s">
        <v>1350</v>
      </c>
      <c r="FHP1745" s="8" t="s">
        <v>1350</v>
      </c>
    </row>
    <row r="1746" spans="2:2 1400:1976 2313:2600 3512:4040 4136:4280">
      <c r="B1746" s="10"/>
      <c r="BGJ1746" s="8" t="s">
        <v>5821</v>
      </c>
      <c r="BGK1746" s="8" t="s">
        <v>5821</v>
      </c>
      <c r="BIF1746" s="8" t="s">
        <v>5183</v>
      </c>
      <c r="BIH1746" s="8" t="s">
        <v>5183</v>
      </c>
    </row>
    <row r="1747" spans="2:2 1400:1976 2313:2600 3512:4040 4136:4280">
      <c r="B1747" s="10"/>
      <c r="BGJ1747" s="8" t="s">
        <v>5822</v>
      </c>
      <c r="BID1747" s="8" t="s">
        <v>5184</v>
      </c>
      <c r="BIF1747" s="8" t="s">
        <v>5184</v>
      </c>
      <c r="BPP1747" s="8" t="s">
        <v>632</v>
      </c>
    </row>
    <row r="1748" spans="2:2 1400:1976 2313:2600 3512:4040 4136:4280">
      <c r="B1748" s="10"/>
      <c r="CPL1748" s="8" t="s">
        <v>5823</v>
      </c>
      <c r="CPM1748" s="8" t="s">
        <v>5823</v>
      </c>
      <c r="CRH1748" s="8" t="s">
        <v>5185</v>
      </c>
      <c r="CRJ1748" s="8" t="s">
        <v>5185</v>
      </c>
      <c r="CUZ1748" s="8" t="s">
        <v>633</v>
      </c>
    </row>
    <row r="1749" spans="2:2 1400:1976 2313:2600 3512:4040 4136:4280">
      <c r="B1749" s="10"/>
      <c r="BAV1749" s="8" t="s">
        <v>578</v>
      </c>
      <c r="BCR1749" s="8" t="s">
        <v>578</v>
      </c>
      <c r="EEB1749" s="8" t="s">
        <v>634</v>
      </c>
    </row>
    <row r="1750" spans="2:2 1400:1976 2313:2600 3512:4040 4136:4280">
      <c r="B1750" s="10"/>
      <c r="BKW1750" s="8" t="s">
        <v>580</v>
      </c>
      <c r="BMS1750" s="8" t="s">
        <v>580</v>
      </c>
    </row>
    <row r="1751" spans="2:2 1400:1976 2313:2600 3512:4040 4136:4280">
      <c r="B1751" s="10"/>
      <c r="BNT1751" s="8" t="s">
        <v>581</v>
      </c>
      <c r="BPP1751" s="8" t="s">
        <v>581</v>
      </c>
    </row>
    <row r="1752" spans="2:2 1400:1976 2313:2600 3512:4040 4136:4280">
      <c r="B1752" s="10"/>
      <c r="BVD1752" s="8" t="s">
        <v>582</v>
      </c>
      <c r="BWZ1752" s="8" t="s">
        <v>582</v>
      </c>
    </row>
    <row r="1753" spans="2:2 1400:1976 2313:2600 3512:4040 4136:4280">
      <c r="B1753" s="10"/>
      <c r="CJY1753" s="8" t="s">
        <v>583</v>
      </c>
      <c r="CLU1753" s="8" t="s">
        <v>583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1246</v>
      </c>
      <c r="BGJ1768" s="8" t="s">
        <v>1246</v>
      </c>
    </row>
    <row r="1769" spans="2:2 1400:1784 2456:2600 3368:3512 7216:7256">
      <c r="B1769" s="10"/>
      <c r="BAV1769" s="8" t="s">
        <v>632</v>
      </c>
      <c r="BGJ1769" s="8" t="s">
        <v>632</v>
      </c>
      <c r="BNT1769" s="8" t="s">
        <v>1247</v>
      </c>
      <c r="BPP1769" s="8" t="s">
        <v>1247</v>
      </c>
    </row>
    <row r="1770" spans="2:2 1400:1784 2456:2600 3368:3512 7216:7256">
      <c r="B1770" s="10"/>
      <c r="BKB1770" s="8" t="s">
        <v>633</v>
      </c>
      <c r="BPP1770" s="8" t="s">
        <v>633</v>
      </c>
      <c r="CTD1770" s="8" t="s">
        <v>1248</v>
      </c>
      <c r="CUZ1770" s="8" t="s">
        <v>1248</v>
      </c>
    </row>
    <row r="1771" spans="2:2 1400:1784 2456:2600 3368:3512 7216:7256">
      <c r="B1771" s="10"/>
      <c r="BLX1771" s="8" t="s">
        <v>1249</v>
      </c>
      <c r="CPL1771" s="8" t="s">
        <v>634</v>
      </c>
      <c r="CUZ1771" s="8" t="s">
        <v>634</v>
      </c>
      <c r="ECF1771" s="8" t="s">
        <v>1249</v>
      </c>
      <c r="EEB1771" s="8" t="s">
        <v>1249</v>
      </c>
    </row>
    <row r="1772" spans="2:2 1400:1784 2456:2600 3368:3512 7216:7256">
      <c r="B1772" s="10"/>
      <c r="BLX1772" s="8" t="s">
        <v>635</v>
      </c>
      <c r="BMV1772" s="8" t="s">
        <v>635</v>
      </c>
      <c r="BNT1772" s="8" t="s">
        <v>1287</v>
      </c>
      <c r="DYN1772" s="8" t="s">
        <v>635</v>
      </c>
      <c r="EEB1772" s="8" t="s">
        <v>635</v>
      </c>
      <c r="JQN1772" s="8" t="s">
        <v>635</v>
      </c>
      <c r="JSB1772" s="8" t="s">
        <v>1287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609</v>
      </c>
    </row>
    <row r="1777" spans="2:2 1592:1880 2264:2600">
      <c r="B1777" s="10"/>
      <c r="BPH1777" s="8" t="s">
        <v>610</v>
      </c>
    </row>
    <row r="1778" spans="2:2 1592:1880 2264:2600">
      <c r="B1778" s="10"/>
      <c r="BTH1778" s="8" t="s">
        <v>611</v>
      </c>
    </row>
    <row r="1779" spans="2:2 1592:1880 2264:2600">
      <c r="B1779" s="10"/>
      <c r="CIB1779" s="8" t="s">
        <v>612</v>
      </c>
    </row>
    <row r="1780" spans="2:2 1592:1880 2264:2600">
      <c r="B1780" s="10"/>
      <c r="BIF1780" s="8" t="s">
        <v>5181</v>
      </c>
      <c r="CQY1780" s="8" t="s">
        <v>613</v>
      </c>
    </row>
    <row r="1781" spans="2:2 1592:1880 2264:2600">
      <c r="B1781" s="10"/>
      <c r="BJT1781" s="8" t="s">
        <v>5182</v>
      </c>
      <c r="BJU1781" s="8" t="s">
        <v>5182</v>
      </c>
      <c r="CUZ1781" s="8" t="s">
        <v>614</v>
      </c>
    </row>
    <row r="1782" spans="2:2 1592:1880 2264:2600">
      <c r="B1782" s="10"/>
      <c r="BKC1782" s="8" t="s">
        <v>5183</v>
      </c>
      <c r="BKD1782" s="8" t="s">
        <v>5183</v>
      </c>
    </row>
    <row r="1783" spans="2:2 1592:1880 2264:2600">
      <c r="B1783" s="10"/>
      <c r="BKA1783" s="8" t="s">
        <v>5184</v>
      </c>
      <c r="BKB1783" s="8" t="s">
        <v>5184</v>
      </c>
    </row>
    <row r="1784" spans="2:2 1592:1880 2264:2600">
      <c r="B1784" s="10"/>
      <c r="CTE1784" s="8" t="s">
        <v>5185</v>
      </c>
      <c r="CTF1784" s="8" t="s">
        <v>5185</v>
      </c>
    </row>
    <row r="1785" spans="2:2 1592:1880 2264:2600">
      <c r="B1785" s="10"/>
    </row>
    <row r="1786" spans="2:2 1592:1880 2264:2600">
      <c r="B1786" s="10"/>
    </row>
    <row r="1787" spans="2:2 1592:1880 2264:2600">
      <c r="B1787" s="10"/>
    </row>
    <row r="1788" spans="2:2 1592:1880 2264:2600">
      <c r="B1788" s="10"/>
    </row>
    <row r="1789" spans="2:2 1592:1880 2264:2600">
      <c r="B1789" s="10"/>
    </row>
    <row r="1790" spans="2:2 1592:1880 2264:2600">
      <c r="B1790" s="10"/>
    </row>
    <row r="1791" spans="2:2 1592:1880 2264:2600">
      <c r="B1791" s="10"/>
    </row>
    <row r="1792" spans="2:2 1592:1880 2264:2600">
      <c r="B1792" s="10"/>
    </row>
    <row r="1793" spans="2:2 1352:1976 2120:2794 3128:4090">
      <c r="B1793" s="10"/>
    </row>
    <row r="1794" spans="2:2 1352:1976 2120:2794 3128:4090">
      <c r="B1794" s="10"/>
    </row>
    <row r="1795" spans="2:2 1352:1976 2120:2794 3128:4090">
      <c r="B1795" s="10"/>
    </row>
    <row r="1796" spans="2:2 1352:1976 2120:2794 3128:4090">
      <c r="B1796" s="10"/>
      <c r="BCR1796" s="8" t="s">
        <v>585</v>
      </c>
      <c r="BEN1796" s="8" t="s">
        <v>585</v>
      </c>
    </row>
    <row r="1797" spans="2:2 1352:1976 2120:2794 3128:4090">
      <c r="B1797" s="10"/>
      <c r="BPP1797" s="8" t="s">
        <v>586</v>
      </c>
      <c r="BRL1797" s="8" t="s">
        <v>586</v>
      </c>
    </row>
    <row r="1798" spans="2:2 1352:1976 2120:2794 3128:4090">
      <c r="B1798" s="10"/>
      <c r="BVD1798" s="8" t="s">
        <v>587</v>
      </c>
      <c r="BWZ1798" s="8" t="s">
        <v>587</v>
      </c>
    </row>
    <row r="1799" spans="2:2 1352:1976 2120:2794 3128:4090">
      <c r="B1799" s="10"/>
      <c r="CWW1799" s="8" t="s">
        <v>588</v>
      </c>
      <c r="CYS1799" s="8" t="s">
        <v>588</v>
      </c>
    </row>
    <row r="1800" spans="2:2 1352:1976 2120:2794 3128:4090">
      <c r="B1800" s="10"/>
      <c r="DPH1800" s="8" t="s">
        <v>589</v>
      </c>
      <c r="DRD1800" s="8" t="s">
        <v>589</v>
      </c>
    </row>
    <row r="1801" spans="2:2 1352:1976 2120:2794 3128:4090">
      <c r="B1801" s="10"/>
      <c r="BAV1801" s="8" t="s">
        <v>5171</v>
      </c>
      <c r="BAW1801" s="8" t="s">
        <v>5171</v>
      </c>
      <c r="BCR1801" s="8" t="s">
        <v>5171</v>
      </c>
      <c r="BCS1801" s="8" t="s">
        <v>5171</v>
      </c>
      <c r="BCT1801" s="8" t="s">
        <v>5171</v>
      </c>
    </row>
    <row r="1802" spans="2:2 1352:1976 2120:2794 3128:4090">
      <c r="B1802" s="10"/>
      <c r="BHU1802" s="8" t="s">
        <v>672</v>
      </c>
      <c r="BJS1802" s="8" t="s">
        <v>5172</v>
      </c>
      <c r="BLN1802" s="8" t="s">
        <v>5172</v>
      </c>
      <c r="BLO1802" s="8" t="s">
        <v>5172</v>
      </c>
    </row>
    <row r="1803" spans="2:2 1352:1976 2120:2794 3128:4090">
      <c r="B1803" s="10"/>
      <c r="BTH1803" s="8" t="s">
        <v>673</v>
      </c>
      <c r="EYJ1803" s="8" t="s">
        <v>5173</v>
      </c>
      <c r="EYK1803" s="8" t="s">
        <v>5173</v>
      </c>
      <c r="FAF1803" s="8" t="s">
        <v>5173</v>
      </c>
      <c r="FAG1803" s="8" t="s">
        <v>5173</v>
      </c>
      <c r="FAH1803" s="8" t="s">
        <v>5173</v>
      </c>
    </row>
    <row r="1804" spans="2:2 1352:1976 2120:2794 3128:4090">
      <c r="B1804" s="10"/>
      <c r="CEJ1804" s="8" t="s">
        <v>674</v>
      </c>
    </row>
    <row r="1805" spans="2:2 1352:1976 2120:2794 3128:4090">
      <c r="B1805" s="10"/>
      <c r="CHT1805" s="8" t="s">
        <v>675</v>
      </c>
    </row>
    <row r="1806" spans="2:2 1352:1976 2120:2794 3128:4090">
      <c r="B1806" s="10"/>
      <c r="BLX1806" s="8" t="s">
        <v>5824</v>
      </c>
      <c r="BNS1806" s="8" t="s">
        <v>5371</v>
      </c>
      <c r="BNT1806" s="8" t="s">
        <v>5371</v>
      </c>
      <c r="BNU1806" s="8" t="s">
        <v>5371</v>
      </c>
      <c r="CIB1806" s="8" t="s">
        <v>676</v>
      </c>
    </row>
    <row r="1807" spans="2:2 1352:1976 2120:2794 3128:4090">
      <c r="B1807" s="10"/>
      <c r="CCN1807" s="8" t="s">
        <v>5825</v>
      </c>
      <c r="CCO1807" s="8" t="s">
        <v>5825</v>
      </c>
      <c r="CEJ1807" s="8" t="s">
        <v>5189</v>
      </c>
      <c r="CEL1807" s="8" t="s">
        <v>5189</v>
      </c>
    </row>
    <row r="1808" spans="2:2 1352:1976 2120:2794 3128:4090">
      <c r="B1808" s="10"/>
      <c r="AYZ1808" s="8" t="s">
        <v>1351</v>
      </c>
      <c r="BGJ1808" s="8" t="s">
        <v>615</v>
      </c>
      <c r="DAN1808" s="8" t="s">
        <v>5826</v>
      </c>
      <c r="DAO1808" s="8" t="s">
        <v>5826</v>
      </c>
      <c r="DCJ1808" s="8" t="s">
        <v>5190</v>
      </c>
      <c r="DCL1808" s="8" t="s">
        <v>5190</v>
      </c>
    </row>
    <row r="1809" spans="2:2 1352:2025 2111:2984 3176:3944">
      <c r="B1809" s="10"/>
      <c r="AZX1809" s="8" t="s">
        <v>592</v>
      </c>
      <c r="BAN1809" s="8" t="s">
        <v>611</v>
      </c>
      <c r="BCJ1809" s="8" t="s">
        <v>611</v>
      </c>
      <c r="BEF1809" s="8" t="s">
        <v>611</v>
      </c>
      <c r="BGB1809" s="8" t="s">
        <v>611</v>
      </c>
      <c r="DGB1809" s="8" t="s">
        <v>5827</v>
      </c>
      <c r="DGC1809" s="8" t="s">
        <v>5827</v>
      </c>
      <c r="DHX1809" s="8" t="s">
        <v>5191</v>
      </c>
      <c r="DHZ1809" s="8" t="s">
        <v>5191</v>
      </c>
      <c r="DJT1809" s="8" t="s">
        <v>616</v>
      </c>
    </row>
    <row r="1810" spans="2:2 1352:2025 2111:2984 3176:3944">
      <c r="B1810" s="10"/>
      <c r="BBE1810" s="8" t="s">
        <v>593</v>
      </c>
      <c r="BDA1810" s="8" t="s">
        <v>593</v>
      </c>
      <c r="BNT1810" s="8" t="s">
        <v>2242</v>
      </c>
      <c r="BPP1810" s="8" t="s">
        <v>1826</v>
      </c>
      <c r="BTH1810" s="8" t="s">
        <v>613</v>
      </c>
      <c r="BVD1810" s="8" t="s">
        <v>613</v>
      </c>
      <c r="BWZ1810" s="8" t="s">
        <v>613</v>
      </c>
      <c r="BYV1810" s="8" t="s">
        <v>613</v>
      </c>
      <c r="DRD1810" s="8" t="s">
        <v>617</v>
      </c>
    </row>
    <row r="1811" spans="2:2 1352:2025 2111:2984 3176:3944">
      <c r="B1811" s="10"/>
      <c r="BAE1811" s="8" t="s">
        <v>594</v>
      </c>
      <c r="BCA1811" s="8" t="s">
        <v>594</v>
      </c>
      <c r="BWQ1811" s="8" t="s">
        <v>2243</v>
      </c>
      <c r="BYM1811" s="8" t="s">
        <v>1827</v>
      </c>
      <c r="CCE1811" s="8" t="s">
        <v>614</v>
      </c>
      <c r="CEA1811" s="8" t="s">
        <v>614</v>
      </c>
      <c r="CFW1811" s="8" t="s">
        <v>614</v>
      </c>
      <c r="CHS1811" s="8" t="s">
        <v>614</v>
      </c>
    </row>
    <row r="1812" spans="2:2 1352:2025 2111:2984 3176:3944">
      <c r="B1812" s="10"/>
      <c r="BAJ1812" s="8" t="s">
        <v>595</v>
      </c>
      <c r="BCF1812" s="8" t="s">
        <v>595</v>
      </c>
      <c r="EJP1812" s="8" t="s">
        <v>2244</v>
      </c>
      <c r="ELL1812" s="8" t="s">
        <v>1828</v>
      </c>
      <c r="EPD1812" s="8" t="s">
        <v>1352</v>
      </c>
      <c r="EQZ1812" s="8" t="s">
        <v>1352</v>
      </c>
      <c r="ESV1812" s="8" t="s">
        <v>1352</v>
      </c>
      <c r="EUR1812" s="8" t="s">
        <v>1352</v>
      </c>
    </row>
    <row r="1813" spans="2:2 1352:2025 2111:2984 3176:3944">
      <c r="B1813" s="10"/>
      <c r="BEM1813" s="8" t="s">
        <v>596</v>
      </c>
      <c r="BGI1813" s="8" t="s">
        <v>596</v>
      </c>
    </row>
    <row r="1814" spans="2:2 1352:2025 2111:2984 3176:3944">
      <c r="B1814" s="10"/>
      <c r="BGN1814" s="8" t="s">
        <v>597</v>
      </c>
      <c r="BIJ1814" s="8" t="s">
        <v>597</v>
      </c>
    </row>
    <row r="1815" spans="2:2 1352:2025 2111:2984 3176:3944">
      <c r="B1815" s="10"/>
      <c r="BKQ1815" s="8" t="s">
        <v>598</v>
      </c>
      <c r="BMM1815" s="8" t="s">
        <v>598</v>
      </c>
    </row>
    <row r="1816" spans="2:2 1352:2025 2111:2984 3176:3944">
      <c r="B1816" s="10"/>
      <c r="BJT1816" s="8" t="s">
        <v>599</v>
      </c>
      <c r="BLP1816" s="8" t="s">
        <v>599</v>
      </c>
    </row>
    <row r="1817" spans="2:2 1352:2025 2111:2984 3176:3944">
      <c r="B1817" s="10"/>
      <c r="BOS1817" s="8" t="s">
        <v>600</v>
      </c>
      <c r="BQO1817" s="8" t="s">
        <v>600</v>
      </c>
    </row>
    <row r="1818" spans="2:2 1352:2025 2111:2984 3176:3944">
      <c r="B1818" s="10"/>
      <c r="BXA1818" s="8" t="s">
        <v>601</v>
      </c>
      <c r="BYW1818" s="8" t="s">
        <v>601</v>
      </c>
    </row>
    <row r="1819" spans="2:2 1352:2025 2111:2984 3176:3944">
      <c r="B1819" s="10"/>
      <c r="CFG1819" s="8" t="s">
        <v>602</v>
      </c>
      <c r="CHC1819" s="8" t="s">
        <v>602</v>
      </c>
    </row>
    <row r="1820" spans="2:2 1352:2025 2111:2984 3176:3944">
      <c r="B1820" s="10"/>
      <c r="CHH1820" s="8" t="s">
        <v>603</v>
      </c>
      <c r="CJD1820" s="8" t="s">
        <v>603</v>
      </c>
    </row>
    <row r="1821" spans="2:2 1352:2025 2111:2984 3176:3944">
      <c r="B1821" s="10"/>
      <c r="CLK1821" s="8" t="s">
        <v>604</v>
      </c>
      <c r="CNG1821" s="8" t="s">
        <v>604</v>
      </c>
    </row>
    <row r="1822" spans="2:2 1352:2025 2111:2984 3176:3944">
      <c r="B1822" s="10"/>
      <c r="BCR1822" s="8" t="s">
        <v>1250</v>
      </c>
      <c r="BEN1822" s="8" t="s">
        <v>1250</v>
      </c>
      <c r="CPM1822" s="8" t="s">
        <v>605</v>
      </c>
      <c r="CRI1822" s="8" t="s">
        <v>605</v>
      </c>
    </row>
    <row r="1823" spans="2:2 1352:2025 2111:2984 3176:3944">
      <c r="B1823" s="10"/>
      <c r="AYZ1823" s="8" t="s">
        <v>710</v>
      </c>
      <c r="BAM1823" s="8" t="s">
        <v>710</v>
      </c>
      <c r="BAV1823" s="8" t="s">
        <v>1251</v>
      </c>
      <c r="BEN1823" s="8" t="s">
        <v>710</v>
      </c>
      <c r="BFY1823" s="8" t="s">
        <v>1251</v>
      </c>
      <c r="BHU1823" s="8" t="s">
        <v>1251</v>
      </c>
      <c r="CUZ1823" s="8" t="s">
        <v>606</v>
      </c>
      <c r="CWV1823" s="8" t="s">
        <v>606</v>
      </c>
    </row>
    <row r="1824" spans="2:2 1352:2025 2111:2984 3176:3944">
      <c r="B1824" s="10"/>
      <c r="BCG1824" s="8" t="s">
        <v>673</v>
      </c>
      <c r="BHU1824" s="8" t="s">
        <v>673</v>
      </c>
      <c r="BRL1824" s="8" t="s">
        <v>1252</v>
      </c>
      <c r="BTH1824" s="8" t="s">
        <v>1252</v>
      </c>
      <c r="DHX1824" s="8" t="s">
        <v>607</v>
      </c>
      <c r="DJT1824" s="8" t="s">
        <v>607</v>
      </c>
    </row>
    <row r="1825" spans="2:2 1592:2046 2072:2936 3656:3992 4280:4328">
      <c r="B1825" s="10"/>
      <c r="BIF1825" s="8" t="s">
        <v>1253</v>
      </c>
      <c r="BIH1825" s="8" t="s">
        <v>674</v>
      </c>
      <c r="BNT1825" s="8" t="s">
        <v>674</v>
      </c>
      <c r="BTH1825" s="8" t="s">
        <v>674</v>
      </c>
      <c r="CCN1825" s="8" t="s">
        <v>1253</v>
      </c>
      <c r="CEJ1825" s="8" t="s">
        <v>1253</v>
      </c>
      <c r="EUR1825" s="8" t="s">
        <v>608</v>
      </c>
      <c r="EWN1825" s="8" t="s">
        <v>608</v>
      </c>
    </row>
    <row r="1826" spans="2:2 1592:2046 2072:2936 3656:3992 4280:4328">
      <c r="B1826" s="10"/>
      <c r="BYV1826" s="8" t="s">
        <v>675</v>
      </c>
      <c r="BZR1826" s="8" t="s">
        <v>675</v>
      </c>
      <c r="CAR1826" s="8" t="s">
        <v>1254</v>
      </c>
      <c r="CEJ1826" s="8" t="s">
        <v>675</v>
      </c>
      <c r="CFX1826" s="8" t="s">
        <v>1254</v>
      </c>
      <c r="CHT1826" s="8" t="s">
        <v>1254</v>
      </c>
      <c r="FHP1826" s="8" t="s">
        <v>1349</v>
      </c>
      <c r="FJL1826" s="8" t="s">
        <v>1349</v>
      </c>
    </row>
    <row r="1827" spans="2:2 1592:2046 2072:2936 3656:3992 4280:4328">
      <c r="B1827" s="10"/>
      <c r="CCF1827" s="8" t="s">
        <v>676</v>
      </c>
      <c r="CGF1827" s="8" t="s">
        <v>1255</v>
      </c>
      <c r="CHT1827" s="8" t="s">
        <v>1255</v>
      </c>
      <c r="CIB1827" s="8" t="s">
        <v>1255</v>
      </c>
      <c r="CIR1827" s="8" t="s">
        <v>676</v>
      </c>
      <c r="FHP1827" s="8" t="s">
        <v>1350</v>
      </c>
      <c r="FJL1827" s="8" t="s">
        <v>1350</v>
      </c>
    </row>
    <row r="1828" spans="2:2 1592:2046 2072:2936 3656:3992 4280:4328">
      <c r="B1828" s="10"/>
      <c r="CCN1828" s="8" t="s">
        <v>677</v>
      </c>
      <c r="CIB1828" s="8" t="s">
        <v>677</v>
      </c>
      <c r="ENH1828" s="8" t="s">
        <v>1256</v>
      </c>
      <c r="EPD1828" s="8" t="s">
        <v>1256</v>
      </c>
    </row>
    <row r="1829" spans="2:2 1592:2046 2072:2936 3656:3992 4280:4328">
      <c r="B1829" s="10"/>
      <c r="BRL1829" s="8" t="s">
        <v>711</v>
      </c>
      <c r="BSJ1829" s="8" t="s">
        <v>711</v>
      </c>
      <c r="BTH1829" s="8" t="s">
        <v>1288</v>
      </c>
      <c r="EJP1829" s="8" t="s">
        <v>711</v>
      </c>
      <c r="EPD1829" s="8" t="s">
        <v>711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2245</v>
      </c>
      <c r="CRH1836" s="8" t="s">
        <v>1829</v>
      </c>
      <c r="CUZ1836" s="8" t="s">
        <v>617</v>
      </c>
      <c r="CWV1836" s="8" t="s">
        <v>617</v>
      </c>
      <c r="CYR1836" s="8" t="s">
        <v>617</v>
      </c>
      <c r="DAN1836" s="8" t="s">
        <v>617</v>
      </c>
    </row>
    <row r="1837" spans="2:2 1592:2046 2072:2936 3656:3992 4280:4328">
      <c r="B1837" s="10"/>
      <c r="CWV1837" s="8" t="s">
        <v>2246</v>
      </c>
      <c r="CYR1837" s="8" t="s">
        <v>1830</v>
      </c>
      <c r="DCJ1837" s="8" t="s">
        <v>618</v>
      </c>
      <c r="DEF1837" s="8" t="s">
        <v>618</v>
      </c>
      <c r="DGB1837" s="8" t="s">
        <v>618</v>
      </c>
      <c r="DHX1837" s="8" t="s">
        <v>618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217:2986 3512:3512">
      <c r="B1841" s="10"/>
    </row>
    <row r="1842" spans="2:2 1544:1784 2217:2986 3512:3512">
      <c r="B1842" s="10"/>
    </row>
    <row r="1843" spans="2:2 1544:1784 2217:2986 3512:3512">
      <c r="B1843" s="10"/>
    </row>
    <row r="1844" spans="2:2 1544:1784 2217:2986 3512:3512">
      <c r="B1844" s="10"/>
      <c r="BGJ1844" s="8" t="s">
        <v>631</v>
      </c>
    </row>
    <row r="1845" spans="2:2 1544:1784 2217:2986 3512:3512">
      <c r="B1845" s="10"/>
      <c r="BPP1845" s="8" t="s">
        <v>632</v>
      </c>
    </row>
    <row r="1846" spans="2:2 1544:1784 2217:2986 3512:3512">
      <c r="B1846" s="10"/>
      <c r="CUZ1846" s="8" t="s">
        <v>633</v>
      </c>
    </row>
    <row r="1847" spans="2:2 1544:1784 2217:2986 3512:3512">
      <c r="B1847" s="10"/>
      <c r="EEB1847" s="8" t="s">
        <v>634</v>
      </c>
    </row>
    <row r="1848" spans="2:2 1544:1784 2217:2986 3512:3512">
      <c r="B1848" s="10"/>
    </row>
    <row r="1849" spans="2:2 1544:1784 2217:2986 3512:3512">
      <c r="B1849" s="10"/>
    </row>
    <row r="1850" spans="2:2 1544:1784 2217:2986 3512:3512">
      <c r="B1850" s="10"/>
    </row>
    <row r="1851" spans="2:2 1544:1784 2217:2986 3512:3512">
      <c r="B1851" s="10"/>
      <c r="CGG1851" s="8" t="s">
        <v>5189</v>
      </c>
      <c r="CGH1851" s="8" t="s">
        <v>5189</v>
      </c>
    </row>
    <row r="1852" spans="2:2 1544:1784 2217:2986 3512:3512">
      <c r="B1852" s="10"/>
      <c r="DEG1852" s="8" t="s">
        <v>5190</v>
      </c>
      <c r="DEH1852" s="8" t="s">
        <v>5190</v>
      </c>
    </row>
    <row r="1853" spans="2:2 1544:1784 2217:2986 3512:3512">
      <c r="B1853" s="10"/>
      <c r="DJU1853" s="8" t="s">
        <v>5191</v>
      </c>
      <c r="DJV1853" s="8" t="s">
        <v>5191</v>
      </c>
    </row>
    <row r="1854" spans="2:2 1544:1784 2217:2986 3512:3512">
      <c r="B1854" s="10"/>
    </row>
    <row r="1855" spans="2:2 1544:1784 2217:2986 3512:3512">
      <c r="B1855" s="10"/>
    </row>
    <row r="1856" spans="2:2 1544:1784 2217:2986 3512:3512">
      <c r="B1856" s="10"/>
    </row>
    <row r="1857" spans="2:2 1441:1833 2120:2313">
      <c r="B1857" s="10"/>
    </row>
    <row r="1858" spans="2:2 1441:1833 2120:2313">
      <c r="B1858" s="10"/>
    </row>
    <row r="1859" spans="2:2 1441:1833 2120:2313">
      <c r="B1859" s="10"/>
    </row>
    <row r="1860" spans="2:2 1441:1833 2120:2313">
      <c r="B1860" s="10"/>
    </row>
    <row r="1861" spans="2:2 1441:1833 2120:2313">
      <c r="B1861" s="10"/>
    </row>
    <row r="1862" spans="2:2 1441:1833 2120:2313">
      <c r="B1862" s="10"/>
      <c r="BCK1862" s="8" t="s">
        <v>5174</v>
      </c>
      <c r="BEG1862" s="8" t="s">
        <v>5174</v>
      </c>
      <c r="BEH1862" s="8" t="s">
        <v>5174</v>
      </c>
    </row>
    <row r="1863" spans="2:2 1441:1833 2120:2313">
      <c r="B1863" s="10"/>
      <c r="BCR1863" s="8" t="s">
        <v>5175</v>
      </c>
      <c r="BCS1863" s="8" t="s">
        <v>5175</v>
      </c>
      <c r="BEN1863" s="8" t="s">
        <v>5175</v>
      </c>
      <c r="BEO1863" s="8" t="s">
        <v>5175</v>
      </c>
      <c r="BEP1863" s="8" t="s">
        <v>5175</v>
      </c>
    </row>
    <row r="1864" spans="2:2 1441:1833 2120:2313">
      <c r="B1864" s="10"/>
      <c r="BJZ1864" s="8" t="s">
        <v>5176</v>
      </c>
      <c r="BKA1864" s="8" t="s">
        <v>5176</v>
      </c>
      <c r="BLV1864" s="8" t="s">
        <v>5176</v>
      </c>
      <c r="BLW1864" s="8" t="s">
        <v>5176</v>
      </c>
    </row>
    <row r="1865" spans="2:2 1441:1833 2120:2313">
      <c r="B1865" s="10"/>
      <c r="BKB1865" s="8" t="s">
        <v>5177</v>
      </c>
      <c r="BKC1865" s="8" t="s">
        <v>5177</v>
      </c>
      <c r="BLX1865" s="8" t="s">
        <v>5177</v>
      </c>
      <c r="BLY1865" s="8" t="s">
        <v>5177</v>
      </c>
    </row>
    <row r="1866" spans="2:2 1441:1833 2120:2313">
      <c r="B1866" s="10"/>
      <c r="BNT1866" s="8" t="s">
        <v>5178</v>
      </c>
      <c r="BNU1866" s="8" t="s">
        <v>5178</v>
      </c>
      <c r="BPP1866" s="8" t="s">
        <v>5178</v>
      </c>
      <c r="BPQ1866" s="8" t="s">
        <v>5178</v>
      </c>
      <c r="BPR1866" s="8" t="s">
        <v>5178</v>
      </c>
    </row>
    <row r="1867" spans="2:2 1441:1833 2120:2313">
      <c r="B1867" s="10"/>
      <c r="CCN1867" s="8" t="s">
        <v>5179</v>
      </c>
      <c r="CEI1867" s="8" t="s">
        <v>5179</v>
      </c>
      <c r="CEJ1867" s="8" t="s">
        <v>5179</v>
      </c>
    </row>
    <row r="1868" spans="2:2 1441:1833 2120:2313">
      <c r="B1868" s="10"/>
      <c r="CIB1868" s="8" t="s">
        <v>5180</v>
      </c>
      <c r="CIC1868" s="8" t="s">
        <v>5180</v>
      </c>
      <c r="CJX1868" s="8" t="s">
        <v>5180</v>
      </c>
      <c r="CJY1868" s="8" t="s">
        <v>5180</v>
      </c>
    </row>
    <row r="1869" spans="2:2 1441:1833 2120:2313">
      <c r="B1869" s="10"/>
    </row>
    <row r="1870" spans="2:2 1441:1833 2120:2313">
      <c r="B1870" s="10"/>
    </row>
    <row r="1871" spans="2:2 1441:1833 2120:2313">
      <c r="B1871" s="10"/>
    </row>
    <row r="1872" spans="2:2 1441:1833 2120:2313">
      <c r="B1872" s="10"/>
      <c r="BRM1872" s="8" t="s">
        <v>71</v>
      </c>
    </row>
    <row r="1873" spans="2:2 1400:1544 2063:3032 3128:3272">
      <c r="B1873" s="10"/>
      <c r="BAV1873" s="8" t="s">
        <v>633</v>
      </c>
      <c r="BCR1873" s="8" t="s">
        <v>633</v>
      </c>
      <c r="BEN1873" s="8" t="s">
        <v>633</v>
      </c>
      <c r="BGJ1873" s="8" t="s">
        <v>633</v>
      </c>
    </row>
    <row r="1874" spans="2:2 1400:1544 2063:3032 3128:3272">
      <c r="B1874" s="10"/>
      <c r="CAI1874" s="8" t="s">
        <v>2247</v>
      </c>
      <c r="CCE1874" s="8" t="s">
        <v>1831</v>
      </c>
      <c r="CFW1874" s="8" t="s">
        <v>1353</v>
      </c>
      <c r="CHS1874" s="8" t="s">
        <v>1353</v>
      </c>
      <c r="CJO1874" s="8" t="s">
        <v>1353</v>
      </c>
      <c r="CLK1874" s="8" t="s">
        <v>1353</v>
      </c>
    </row>
    <row r="1875" spans="2:2 1400:1544 2063:3032 3128:3272">
      <c r="B1875" s="10"/>
      <c r="CAR1875" s="8" t="s">
        <v>2248</v>
      </c>
      <c r="CCN1875" s="8" t="s">
        <v>1832</v>
      </c>
      <c r="CGF1875" s="8" t="s">
        <v>634</v>
      </c>
      <c r="CIB1875" s="8" t="s">
        <v>634</v>
      </c>
      <c r="CJX1875" s="8" t="s">
        <v>634</v>
      </c>
      <c r="CLT1875" s="8" t="s">
        <v>634</v>
      </c>
    </row>
    <row r="1876" spans="2:2 1400:1544 2063:3032 3128:3272">
      <c r="B1876" s="10"/>
      <c r="CAR1876" s="8" t="s">
        <v>2249</v>
      </c>
      <c r="CCN1876" s="8" t="s">
        <v>1833</v>
      </c>
      <c r="CGF1876" s="8" t="s">
        <v>627</v>
      </c>
      <c r="CIB1876" s="8" t="s">
        <v>627</v>
      </c>
      <c r="CJX1876" s="8" t="s">
        <v>627</v>
      </c>
      <c r="CLT1876" s="8" t="s">
        <v>627</v>
      </c>
    </row>
    <row r="1877" spans="2:2 1400:1544 2063:3032 3128:3272">
      <c r="B1877" s="10"/>
      <c r="DJT1877" s="8" t="s">
        <v>2250</v>
      </c>
      <c r="DLP1877" s="8" t="s">
        <v>1834</v>
      </c>
      <c r="DPH1877" s="8" t="s">
        <v>635</v>
      </c>
      <c r="DRD1877" s="8" t="s">
        <v>635</v>
      </c>
      <c r="DSZ1877" s="8" t="s">
        <v>635</v>
      </c>
      <c r="DUV1877" s="8" t="s">
        <v>635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1351</v>
      </c>
      <c r="BAV1898" s="8" t="s">
        <v>1351</v>
      </c>
    </row>
    <row r="1899" spans="2:2 1352:2024 2072:2303 3944:3992">
      <c r="B1899" s="10"/>
      <c r="BGB1899" s="8" t="s">
        <v>611</v>
      </c>
      <c r="BHX1899" s="8" t="s">
        <v>611</v>
      </c>
    </row>
    <row r="1900" spans="2:2 1352:2024 2072:2303 3944:3992">
      <c r="B1900" s="10"/>
      <c r="BKB1900" s="8" t="s">
        <v>612</v>
      </c>
      <c r="BLX1900" s="8" t="s">
        <v>612</v>
      </c>
    </row>
    <row r="1901" spans="2:2 1352:2024 2072:2303 3944:3992">
      <c r="B1901" s="10"/>
      <c r="BYV1901" s="8" t="s">
        <v>613</v>
      </c>
      <c r="CAR1901" s="8" t="s">
        <v>613</v>
      </c>
    </row>
    <row r="1902" spans="2:2 1352:2024 2072:2303 3944:3992">
      <c r="B1902" s="10"/>
      <c r="CHS1902" s="8" t="s">
        <v>614</v>
      </c>
      <c r="CJO1902" s="8" t="s">
        <v>614</v>
      </c>
    </row>
    <row r="1903" spans="2:2 1352:2024 2072:2303 3944:3992">
      <c r="B1903" s="10"/>
      <c r="EUR1903" s="8" t="s">
        <v>1352</v>
      </c>
      <c r="EWN1903" s="8" t="s">
        <v>1352</v>
      </c>
    </row>
    <row r="1904" spans="2:2 1352:2024 2072:2303 3944:3992">
      <c r="B1904" s="10"/>
    </row>
    <row r="1905" spans="2:2 1581:1880 2168:2698">
      <c r="B1905" s="10"/>
    </row>
    <row r="1906" spans="2:2 1581:1880 2168:2698">
      <c r="B1906" s="10"/>
    </row>
    <row r="1907" spans="2:2 1581:1880 2168:2698">
      <c r="B1907" s="10"/>
    </row>
    <row r="1908" spans="2:2 1581:1880 2168:2698">
      <c r="B1908" s="10"/>
    </row>
    <row r="1909" spans="2:2 1581:1880 2168:2698">
      <c r="B1909" s="10"/>
      <c r="BHU1909" s="8" t="s">
        <v>672</v>
      </c>
    </row>
    <row r="1910" spans="2:2 1581:1880 2168:2698">
      <c r="B1910" s="10"/>
      <c r="BTH1910" s="8" t="s">
        <v>673</v>
      </c>
    </row>
    <row r="1911" spans="2:2 1581:1880 2168:2698">
      <c r="B1911" s="10"/>
      <c r="CEJ1911" s="8" t="s">
        <v>674</v>
      </c>
    </row>
    <row r="1912" spans="2:2 1581:1880 2168:2698">
      <c r="B1912" s="10"/>
      <c r="CHT1912" s="8" t="s">
        <v>675</v>
      </c>
    </row>
    <row r="1913" spans="2:2 1581:1880 2168:2698">
      <c r="B1913" s="10"/>
      <c r="CIB1913" s="8" t="s">
        <v>676</v>
      </c>
    </row>
    <row r="1914" spans="2:2 1581:1880 2168:2698">
      <c r="B1914" s="10"/>
      <c r="BLX1914" s="8" t="s">
        <v>5181</v>
      </c>
      <c r="BNT1914" s="8" t="s">
        <v>5181</v>
      </c>
    </row>
    <row r="1915" spans="2:2 1581:1880 2168:2698">
      <c r="B1915" s="10"/>
      <c r="BNK1915" s="8" t="s">
        <v>5182</v>
      </c>
      <c r="BNL1915" s="8" t="s">
        <v>5182</v>
      </c>
      <c r="BPG1915" s="8" t="s">
        <v>5182</v>
      </c>
      <c r="BPH1915" s="8" t="s">
        <v>5182</v>
      </c>
      <c r="BPI1915" s="8" t="s">
        <v>5182</v>
      </c>
    </row>
    <row r="1916" spans="2:2 1581:1880 2168:2698">
      <c r="B1916" s="10"/>
      <c r="BNT1916" s="8" t="s">
        <v>5183</v>
      </c>
      <c r="BNU1916" s="8" t="s">
        <v>5183</v>
      </c>
      <c r="BPP1916" s="8" t="s">
        <v>5183</v>
      </c>
      <c r="BPQ1916" s="8" t="s">
        <v>5183</v>
      </c>
      <c r="BPR1916" s="8" t="s">
        <v>5183</v>
      </c>
    </row>
    <row r="1917" spans="2:2 1581:1880 2168:2698">
      <c r="B1917" s="10"/>
      <c r="BNT1917" s="8" t="s">
        <v>5184</v>
      </c>
      <c r="BPO1917" s="8" t="s">
        <v>5184</v>
      </c>
      <c r="BPP1917" s="8" t="s">
        <v>5184</v>
      </c>
    </row>
    <row r="1918" spans="2:2 1581:1880 2168:2698">
      <c r="B1918" s="10"/>
      <c r="CWV1918" s="8" t="s">
        <v>5185</v>
      </c>
      <c r="CWW1918" s="8" t="s">
        <v>5185</v>
      </c>
      <c r="CYR1918" s="8" t="s">
        <v>5185</v>
      </c>
      <c r="CYS1918" s="8" t="s">
        <v>5185</v>
      </c>
      <c r="CYT1918" s="8" t="s">
        <v>5185</v>
      </c>
    </row>
    <row r="1919" spans="2:2 1581:1880 2168:2698">
      <c r="B1919" s="10"/>
    </row>
    <row r="1920" spans="2:2 1581:1880 2168:2698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2251</v>
      </c>
      <c r="BLL1923" s="8" t="s">
        <v>1835</v>
      </c>
      <c r="BPD1923" s="8" t="s">
        <v>1354</v>
      </c>
      <c r="BQZ1923" s="8" t="s">
        <v>1354</v>
      </c>
      <c r="BSV1923" s="8" t="s">
        <v>1354</v>
      </c>
      <c r="BUR1923" s="8" t="s">
        <v>1354</v>
      </c>
    </row>
    <row r="1924" spans="2:2 1352:2024 2744:2984 3272:3560">
      <c r="B1924" s="10"/>
      <c r="BJT1924" s="8" t="s">
        <v>2252</v>
      </c>
      <c r="BLP1924" s="8" t="s">
        <v>1836</v>
      </c>
      <c r="BPH1924" s="8" t="s">
        <v>1355</v>
      </c>
      <c r="BRD1924" s="8" t="s">
        <v>1355</v>
      </c>
      <c r="BSZ1924" s="8" t="s">
        <v>1355</v>
      </c>
      <c r="BUV1924" s="8" t="s">
        <v>1355</v>
      </c>
    </row>
    <row r="1925" spans="2:2 1352:2024 2744:2984 3272:3560">
      <c r="B1925" s="10"/>
      <c r="BNL1925" s="8" t="s">
        <v>2253</v>
      </c>
      <c r="BPH1925" s="8" t="s">
        <v>1837</v>
      </c>
      <c r="BSZ1925" s="8" t="s">
        <v>676</v>
      </c>
      <c r="BUV1925" s="8" t="s">
        <v>676</v>
      </c>
      <c r="BWR1925" s="8" t="s">
        <v>676</v>
      </c>
      <c r="BYN1925" s="8" t="s">
        <v>676</v>
      </c>
    </row>
    <row r="1926" spans="2:2 1352:2024 2744:2984 3272:3560">
      <c r="B1926" s="10"/>
      <c r="BNT1926" s="8" t="s">
        <v>2254</v>
      </c>
      <c r="BPP1926" s="8" t="s">
        <v>1838</v>
      </c>
      <c r="BTH1926" s="8" t="s">
        <v>677</v>
      </c>
      <c r="BVD1926" s="8" t="s">
        <v>677</v>
      </c>
      <c r="BWZ1926" s="8" t="s">
        <v>677</v>
      </c>
      <c r="BYV1926" s="8" t="s">
        <v>677</v>
      </c>
    </row>
    <row r="1927" spans="2:2 1352:2024 2744:2984 3272:3560">
      <c r="B1927" s="10"/>
      <c r="DUV1927" s="8" t="s">
        <v>2255</v>
      </c>
      <c r="DWR1927" s="8" t="s">
        <v>1839</v>
      </c>
      <c r="EAJ1927" s="8" t="s">
        <v>711</v>
      </c>
      <c r="ECF1927" s="8" t="s">
        <v>711</v>
      </c>
      <c r="EEB1927" s="8" t="s">
        <v>711</v>
      </c>
      <c r="EFX1927" s="8" t="s">
        <v>711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616</v>
      </c>
    </row>
    <row r="1932" spans="2:2 1352:2024 2744:2984 3272:3560">
      <c r="B1932" s="10"/>
      <c r="DAN1932" s="8" t="s">
        <v>617</v>
      </c>
      <c r="DCJ1932" s="8" t="s">
        <v>617</v>
      </c>
    </row>
    <row r="1933" spans="2:2 1352:2024 2744:2984 3272:3560">
      <c r="B1933" s="10"/>
      <c r="DHX1933" s="8" t="s">
        <v>618</v>
      </c>
      <c r="DJT1933" s="8" t="s">
        <v>618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89</v>
      </c>
    </row>
    <row r="1944" spans="2:2 1360:1616">
      <c r="B1944" s="10"/>
      <c r="AZQ1944" s="8" t="s">
        <v>90</v>
      </c>
    </row>
    <row r="1945" spans="2:2 1360:1616">
      <c r="B1945" s="10"/>
      <c r="AZY1945" s="8" t="s">
        <v>91</v>
      </c>
    </row>
    <row r="1946" spans="2:2 1360:1616">
      <c r="B1946" s="10"/>
      <c r="BCB1946" s="8" t="s">
        <v>92</v>
      </c>
    </row>
    <row r="1947" spans="2:2 1360:1616">
      <c r="B1947" s="10"/>
      <c r="BCK1947" s="8" t="s">
        <v>93</v>
      </c>
    </row>
    <row r="1948" spans="2:2 1360:1616">
      <c r="B1948" s="10"/>
      <c r="BCS1948" s="8" t="s">
        <v>94</v>
      </c>
    </row>
    <row r="1949" spans="2:2 1360:1616">
      <c r="B1949" s="10"/>
      <c r="BHI1949" s="8" t="s">
        <v>95</v>
      </c>
    </row>
    <row r="1950" spans="2:2 1360:1616">
      <c r="B1950" s="10"/>
      <c r="BIF1950" s="8" t="s">
        <v>96</v>
      </c>
    </row>
    <row r="1951" spans="2:2 1360:1616">
      <c r="B1951" s="10"/>
      <c r="BIV1951" s="8" t="s">
        <v>97</v>
      </c>
    </row>
    <row r="1952" spans="2:2 1360:1616">
      <c r="B1952" s="10"/>
      <c r="BJD1952" s="8" t="s">
        <v>98</v>
      </c>
    </row>
    <row r="1953" spans="2:2 1715:2041 2049:2120">
      <c r="B1953" s="10"/>
      <c r="BMY1953" s="8" t="s">
        <v>99</v>
      </c>
    </row>
    <row r="1954" spans="2:2 1715:2041 2049:2120">
      <c r="B1954" s="10"/>
      <c r="BNU1954" s="8" t="s">
        <v>100</v>
      </c>
    </row>
    <row r="1955" spans="2:2 1715:2041 2049:2120">
      <c r="B1955" s="10"/>
      <c r="BQN1955" s="8" t="s">
        <v>101</v>
      </c>
    </row>
    <row r="1956" spans="2:2 1715:2041 2049:2120">
      <c r="B1956" s="10"/>
      <c r="BUG1956" s="8" t="s">
        <v>102</v>
      </c>
    </row>
    <row r="1957" spans="2:2 1715:2041 2049:2120">
      <c r="B1957" s="10"/>
      <c r="BYM1957" s="8" t="s">
        <v>103</v>
      </c>
    </row>
    <row r="1958" spans="2:2 1715:2041 2049:2120">
      <c r="B1958" s="10"/>
      <c r="BZM1958" s="8" t="s">
        <v>104</v>
      </c>
    </row>
    <row r="1959" spans="2:2 1715:2041 2049:2120">
      <c r="B1959" s="10"/>
      <c r="BZU1959" s="8" t="s">
        <v>105</v>
      </c>
    </row>
    <row r="1960" spans="2:2 1715:2041 2049:2120">
      <c r="B1960" s="10"/>
      <c r="CCN1960" s="8" t="s">
        <v>106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12:2986 3080:3320">
      <c r="B1969" s="10"/>
    </row>
    <row r="1970" spans="2:2 1352:1592 2312:2986 3080:3320">
      <c r="B1970" s="10"/>
    </row>
    <row r="1971" spans="2:2 1352:1592 2312:2986 3080:3320">
      <c r="B1971" s="10"/>
    </row>
    <row r="1972" spans="2:2 1352:1592 2312:2986 3080:3320">
      <c r="B1972" s="10"/>
    </row>
    <row r="1973" spans="2:2 1352:1592 2312:2986 3080:3320">
      <c r="B1973" s="10"/>
      <c r="AYZ1973" s="8" t="s">
        <v>632</v>
      </c>
    </row>
    <row r="1974" spans="2:2 1352:1592 2312:2986 3080:3320">
      <c r="B1974" s="10"/>
      <c r="BGJ1974" s="8" t="s">
        <v>633</v>
      </c>
      <c r="BIF1974" s="8" t="s">
        <v>633</v>
      </c>
    </row>
    <row r="1975" spans="2:2 1352:1592 2312:2986 3080:3320">
      <c r="B1975" s="10"/>
      <c r="AZO1975" s="8" t="s">
        <v>5186</v>
      </c>
      <c r="BBK1975" s="8" t="s">
        <v>5186</v>
      </c>
      <c r="CLK1975" s="8" t="s">
        <v>1353</v>
      </c>
      <c r="CNG1975" s="8" t="s">
        <v>1353</v>
      </c>
    </row>
    <row r="1976" spans="2:2 1352:1592 2312:2986 3080:3320">
      <c r="B1976" s="10"/>
      <c r="BAN1976" s="8" t="s">
        <v>5187</v>
      </c>
      <c r="BAO1976" s="8" t="s">
        <v>5187</v>
      </c>
      <c r="BCJ1976" s="8" t="s">
        <v>5187</v>
      </c>
      <c r="BCK1976" s="8" t="s">
        <v>5187</v>
      </c>
      <c r="BCL1976" s="8" t="s">
        <v>5187</v>
      </c>
      <c r="CLT1976" s="8" t="s">
        <v>634</v>
      </c>
      <c r="CNP1976" s="8" t="s">
        <v>634</v>
      </c>
    </row>
    <row r="1977" spans="2:2 1352:1592 2312:2986 3080:3320">
      <c r="B1977" s="10"/>
      <c r="BAV1977" s="8" t="s">
        <v>5188</v>
      </c>
      <c r="BAW1977" s="8" t="s">
        <v>5188</v>
      </c>
      <c r="BCR1977" s="8" t="s">
        <v>5188</v>
      </c>
      <c r="BCS1977" s="8" t="s">
        <v>5188</v>
      </c>
      <c r="BCT1977" s="8" t="s">
        <v>5188</v>
      </c>
      <c r="DUV1977" s="8" t="s">
        <v>635</v>
      </c>
      <c r="DWR1977" s="8" t="s">
        <v>635</v>
      </c>
    </row>
    <row r="1978" spans="2:2 1352:1592 2312:2986 3080:3320">
      <c r="B1978" s="10"/>
      <c r="CJX1978" s="8" t="s">
        <v>5189</v>
      </c>
      <c r="CJY1978" s="8" t="s">
        <v>5189</v>
      </c>
      <c r="CLT1978" s="8" t="s">
        <v>5189</v>
      </c>
      <c r="CLU1978" s="8" t="s">
        <v>5189</v>
      </c>
      <c r="CLV1978" s="8" t="s">
        <v>5189</v>
      </c>
    </row>
    <row r="1979" spans="2:2 1352:1592 2312:2986 3080:3320">
      <c r="B1979" s="10"/>
      <c r="DHX1979" s="8" t="s">
        <v>5190</v>
      </c>
      <c r="DHY1979" s="8" t="s">
        <v>5190</v>
      </c>
      <c r="DJT1979" s="8" t="s">
        <v>5190</v>
      </c>
      <c r="DJU1979" s="8" t="s">
        <v>5190</v>
      </c>
      <c r="DJV1979" s="8" t="s">
        <v>5190</v>
      </c>
    </row>
    <row r="1980" spans="2:2 1352:1592 2312:2986 3080:3320">
      <c r="B1980" s="10"/>
      <c r="DNL1980" s="8" t="s">
        <v>5191</v>
      </c>
      <c r="DNM1980" s="8" t="s">
        <v>5191</v>
      </c>
      <c r="DPH1980" s="8" t="s">
        <v>5191</v>
      </c>
      <c r="DPI1980" s="8" t="s">
        <v>5191</v>
      </c>
      <c r="DPJ1980" s="8" t="s">
        <v>5191</v>
      </c>
    </row>
    <row r="1981" spans="2:2 1352:1592 2312:2986 3080:3320">
      <c r="B1981" s="10"/>
    </row>
    <row r="1982" spans="2:2 1352:1592 2312:2986 3080:3320">
      <c r="B1982" s="10"/>
    </row>
    <row r="1983" spans="2:2 1352:1592 2312:2986 3080:3320">
      <c r="B1983" s="10"/>
    </row>
    <row r="1984" spans="2:2 1352:1592 2312:2986 3080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673</v>
      </c>
    </row>
    <row r="2036" spans="2:2 1389:2024 2064:2072 3560:3608">
      <c r="B2036" s="10"/>
      <c r="BKB2036" s="8" t="s">
        <v>674</v>
      </c>
      <c r="BLX2036" s="8" t="s">
        <v>674</v>
      </c>
    </row>
    <row r="2037" spans="2:2 1389:2024 2064:2072 3560:3608">
      <c r="B2037" s="10"/>
      <c r="BUR2037" s="8" t="s">
        <v>1354</v>
      </c>
      <c r="BWN2037" s="8" t="s">
        <v>1354</v>
      </c>
    </row>
    <row r="2038" spans="2:2 1389:2024 2064:2072 3560:3608">
      <c r="B2038" s="10"/>
      <c r="BUV2038" s="8" t="s">
        <v>1355</v>
      </c>
      <c r="BWR2038" s="8" t="s">
        <v>1355</v>
      </c>
    </row>
    <row r="2039" spans="2:2 1389:2024 2064:2072 3560:3608">
      <c r="B2039" s="10"/>
      <c r="BYN2039" s="8" t="s">
        <v>676</v>
      </c>
      <c r="CAJ2039" s="8" t="s">
        <v>676</v>
      </c>
    </row>
    <row r="2040" spans="2:2 1389:2024 2064:2072 3560:3608">
      <c r="B2040" s="10"/>
      <c r="BYV2040" s="8" t="s">
        <v>677</v>
      </c>
      <c r="CAR2040" s="8" t="s">
        <v>677</v>
      </c>
    </row>
    <row r="2041" spans="2:2 1389:2024 2064:2072 3560:3608">
      <c r="B2041" s="10"/>
      <c r="EFX2041" s="8" t="s">
        <v>711</v>
      </c>
      <c r="EHT2041" s="8" t="s">
        <v>711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128</v>
      </c>
    </row>
    <row r="2050" spans="2:2 1363:1616">
      <c r="B2050" s="10"/>
      <c r="BCR2050" s="8" t="s">
        <v>129</v>
      </c>
    </row>
    <row r="2051" spans="2:2 1363:1616">
      <c r="B2051" s="10"/>
      <c r="BJD2051" s="8" t="s">
        <v>130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142</v>
      </c>
    </row>
    <row r="2192" spans="2:2 1468:1471">
      <c r="B2192" s="10"/>
      <c r="BDO2192" s="8" t="s">
        <v>143</v>
      </c>
    </row>
    <row r="2193" spans="2:2 1665:1665 2120:2120">
      <c r="B2193" s="10"/>
      <c r="BLA2193" s="8" t="s">
        <v>144</v>
      </c>
    </row>
    <row r="2194" spans="2:2 1665:1665 2120:2120">
      <c r="B2194" s="10"/>
      <c r="CCN2194" s="8" t="s">
        <v>145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178</v>
      </c>
    </row>
    <row r="2271" spans="2:2 1449:1568">
      <c r="B2271" s="10"/>
      <c r="BDP2271" s="8" t="s">
        <v>179</v>
      </c>
    </row>
    <row r="2272" spans="2:2 1449:1568">
      <c r="B2272" s="10"/>
      <c r="BHH2272" s="8" t="s">
        <v>180</v>
      </c>
    </row>
    <row r="2273" spans="2:2 1568:1949">
      <c r="B2273" s="10"/>
      <c r="BHH2273" s="8" t="s">
        <v>181</v>
      </c>
    </row>
    <row r="2274" spans="2:2 1568:1949">
      <c r="B2274" s="10"/>
      <c r="BMV2274" s="8" t="s">
        <v>182</v>
      </c>
    </row>
    <row r="2275" spans="2:2 1568:1949">
      <c r="B2275" s="10"/>
      <c r="BQN2275" s="8" t="s">
        <v>183</v>
      </c>
    </row>
    <row r="2276" spans="2:2 1568:1949">
      <c r="B2276" s="10"/>
      <c r="BTI2276" s="8" t="s">
        <v>184</v>
      </c>
    </row>
    <row r="2277" spans="2:2 1568:1949">
      <c r="B2277" s="10"/>
      <c r="BVY2277" s="8" t="s">
        <v>185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209</v>
      </c>
    </row>
    <row r="2368" spans="2:2 1688:1736">
      <c r="B2368" s="10"/>
      <c r="BNT2368" s="8" t="s">
        <v>210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695</v>
      </c>
    </row>
    <row r="2508" spans="2:2 1437:1904">
      <c r="B2508" s="10"/>
      <c r="BCN2508" s="8" t="s">
        <v>236</v>
      </c>
    </row>
    <row r="2509" spans="2:2 1437:1904">
      <c r="B2509" s="10"/>
      <c r="BCR2509" s="8" t="s">
        <v>51</v>
      </c>
    </row>
    <row r="2510" spans="2:2 1437:1904">
      <c r="B2510" s="10"/>
      <c r="BMV2510" s="8" t="s">
        <v>53</v>
      </c>
    </row>
    <row r="2511" spans="2:2 1437:1904">
      <c r="B2511" s="10"/>
      <c r="BOR2511" s="8" t="s">
        <v>237</v>
      </c>
    </row>
    <row r="2512" spans="2:2 1437:1904">
      <c r="B2512" s="10"/>
      <c r="BUF2512" s="8" t="s">
        <v>678</v>
      </c>
    </row>
    <row r="2513" spans="2:2 2024:2024">
      <c r="B2513" s="10"/>
      <c r="BYV2513" s="8" t="s">
        <v>238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263</v>
      </c>
    </row>
    <row r="2545" spans="2:2 1400:1911">
      <c r="B2545" s="10"/>
      <c r="BAV2545" s="8" t="s">
        <v>264</v>
      </c>
    </row>
    <row r="2546" spans="2:2 1400:1911">
      <c r="B2546" s="10"/>
      <c r="BHH2546" s="8" t="s">
        <v>265</v>
      </c>
    </row>
    <row r="2547" spans="2:2 1400:1911">
      <c r="B2547" s="10"/>
      <c r="BHH2547" s="8" t="s">
        <v>266</v>
      </c>
    </row>
    <row r="2548" spans="2:2 1400:1911">
      <c r="B2548" s="10"/>
      <c r="BHH2548" s="8" t="s">
        <v>267</v>
      </c>
    </row>
    <row r="2549" spans="2:2 1400:1911">
      <c r="B2549" s="10"/>
      <c r="BNT2549" s="8" t="s">
        <v>268</v>
      </c>
    </row>
    <row r="2550" spans="2:2 1400:1911">
      <c r="B2550" s="10"/>
      <c r="BNT2550" s="8" t="s">
        <v>269</v>
      </c>
    </row>
    <row r="2551" spans="2:2 1400:1911">
      <c r="B2551" s="10"/>
      <c r="BUM2551" s="8" t="s">
        <v>270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297</v>
      </c>
    </row>
    <row r="2657" spans="2:2 1490:1881">
      <c r="B2657" s="10"/>
      <c r="BEH2657" s="8" t="s">
        <v>298</v>
      </c>
    </row>
    <row r="2658" spans="2:2 1490:1881">
      <c r="B2658" s="10"/>
      <c r="BEX2658" s="8" t="s">
        <v>299</v>
      </c>
    </row>
    <row r="2659" spans="2:2 1490:1881">
      <c r="B2659" s="10"/>
      <c r="BFO2659" s="8" t="s">
        <v>300</v>
      </c>
    </row>
    <row r="2660" spans="2:2 1490:1881">
      <c r="B2660" s="10"/>
      <c r="BFM2660" s="8" t="s">
        <v>301</v>
      </c>
    </row>
    <row r="2661" spans="2:2 1490:1881">
      <c r="B2661" s="10"/>
      <c r="BRM2661" s="8" t="s">
        <v>302</v>
      </c>
    </row>
    <row r="2662" spans="2:2 1490:1881">
      <c r="B2662" s="10"/>
      <c r="BTI2662" s="8" t="s">
        <v>303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322</v>
      </c>
    </row>
    <row r="2721" spans="2:2 1440:1952 2200:2200">
      <c r="B2721" s="10"/>
      <c r="BCJ2721" s="8" t="s">
        <v>323</v>
      </c>
    </row>
    <row r="2722" spans="2:2 1440:1952 2200:2200">
      <c r="B2722" s="10"/>
      <c r="BCZ2722" s="8" t="s">
        <v>324</v>
      </c>
    </row>
    <row r="2723" spans="2:2 1440:1952 2200:2200">
      <c r="B2723" s="10"/>
      <c r="BDQ2723" s="8" t="s">
        <v>325</v>
      </c>
    </row>
    <row r="2724" spans="2:2 1440:1952 2200:2200">
      <c r="B2724" s="10"/>
      <c r="BEH2724" s="8" t="s">
        <v>326</v>
      </c>
    </row>
    <row r="2725" spans="2:2 1440:1952 2200:2200">
      <c r="B2725" s="10"/>
      <c r="BEX2725" s="8" t="s">
        <v>327</v>
      </c>
    </row>
    <row r="2726" spans="2:2 1440:1952 2200:2200">
      <c r="B2726" s="10"/>
      <c r="BFO2726" s="8" t="s">
        <v>328</v>
      </c>
    </row>
    <row r="2727" spans="2:2 1440:1952 2200:2200">
      <c r="B2727" s="10"/>
      <c r="BIF2727" s="8" t="s">
        <v>329</v>
      </c>
    </row>
    <row r="2728" spans="2:2 1440:1952 2200:2200">
      <c r="B2728" s="10"/>
      <c r="BWB2728" s="8" t="s">
        <v>330</v>
      </c>
    </row>
    <row r="2729" spans="2:2 1440:1952 2200:2200">
      <c r="B2729" s="10"/>
      <c r="CFP2729" s="8" t="s">
        <v>696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339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350</v>
      </c>
    </row>
    <row r="2800" spans="2:2 1449:1545">
      <c r="B2800" s="10"/>
      <c r="BGK2800" s="8" t="s">
        <v>351</v>
      </c>
    </row>
    <row r="2801" spans="2:2 1616:1737">
      <c r="B2801" s="10"/>
      <c r="BJD2801" s="8" t="s">
        <v>352</v>
      </c>
    </row>
    <row r="2802" spans="2:2 1616:1737">
      <c r="B2802" s="10"/>
      <c r="BNU2802" s="8" t="s">
        <v>353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374</v>
      </c>
    </row>
    <row r="2851" spans="2:2 1376:1928">
      <c r="B2851" s="10"/>
      <c r="BAV2851" s="8" t="s">
        <v>375</v>
      </c>
    </row>
    <row r="2852" spans="2:2 1376:1928">
      <c r="B2852" s="10"/>
      <c r="BDP2852" s="8" t="s">
        <v>376</v>
      </c>
    </row>
    <row r="2853" spans="2:2 1376:1928">
      <c r="B2853" s="10"/>
      <c r="BEN2853" s="8" t="s">
        <v>377</v>
      </c>
    </row>
    <row r="2854" spans="2:2 1376:1928">
      <c r="B2854" s="10"/>
      <c r="BJD2854" s="8" t="s">
        <v>378</v>
      </c>
    </row>
    <row r="2855" spans="2:2 1376:1928">
      <c r="B2855" s="10"/>
      <c r="BKE2855" s="8" t="s">
        <v>379</v>
      </c>
    </row>
    <row r="2856" spans="2:2 1376:1928">
      <c r="B2856" s="10"/>
      <c r="BQQ2856" s="8" t="s">
        <v>380</v>
      </c>
    </row>
    <row r="2857" spans="2:2 1376:1928">
      <c r="B2857" s="10"/>
      <c r="BRL2857" s="8" t="s">
        <v>381</v>
      </c>
    </row>
    <row r="2858" spans="2:2 1376:1928">
      <c r="B2858" s="10"/>
      <c r="BSJ2858" s="8" t="s">
        <v>382</v>
      </c>
    </row>
    <row r="2859" spans="2:2 1376:1928">
      <c r="B2859" s="10"/>
      <c r="BTH2859" s="8" t="s">
        <v>383</v>
      </c>
    </row>
    <row r="2860" spans="2:2 1376:1928">
      <c r="B2860" s="10"/>
      <c r="BUF2860" s="8" t="s">
        <v>384</v>
      </c>
    </row>
    <row r="2861" spans="2:2 1376:1928">
      <c r="B2861" s="10"/>
      <c r="BVD2861" s="8" t="s">
        <v>385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408</v>
      </c>
    </row>
    <row r="2923" spans="2:2 1376:1451">
      <c r="B2923" s="10"/>
      <c r="BCL2923" s="8" t="s">
        <v>409</v>
      </c>
    </row>
    <row r="2924" spans="2:2 1376:1451">
      <c r="B2924" s="10"/>
      <c r="BCU2924" s="8" t="s">
        <v>410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432</v>
      </c>
    </row>
    <row r="2971" spans="2:2 1445:1544">
      <c r="B2971" s="10"/>
      <c r="BDG2971" s="8" t="s">
        <v>433</v>
      </c>
    </row>
    <row r="2972" spans="2:2 1445:1544">
      <c r="B2972" s="10"/>
      <c r="BDV2972" s="8" t="s">
        <v>434</v>
      </c>
    </row>
    <row r="2973" spans="2:2 1445:1544">
      <c r="B2973" s="10"/>
      <c r="BEK2973" s="8" t="s">
        <v>435</v>
      </c>
    </row>
    <row r="2974" spans="2:2 1445:1544">
      <c r="B2974" s="10"/>
      <c r="BEZ2974" s="8" t="s">
        <v>436</v>
      </c>
    </row>
    <row r="2975" spans="2:2 1445:1544">
      <c r="B2975" s="10"/>
      <c r="BFO2975" s="8" t="s">
        <v>437</v>
      </c>
    </row>
    <row r="2976" spans="2:2 1445:1544">
      <c r="B2976" s="10"/>
      <c r="BGJ2976" s="8" t="s">
        <v>438</v>
      </c>
    </row>
    <row r="2977" spans="2:2 1568:1977">
      <c r="B2977" s="10"/>
      <c r="BHH2977" s="8" t="s">
        <v>439</v>
      </c>
    </row>
    <row r="2978" spans="2:2 1568:1977">
      <c r="B2978" s="10"/>
      <c r="BIF2978" s="8" t="s">
        <v>440</v>
      </c>
    </row>
    <row r="2979" spans="2:2 1568:1977">
      <c r="B2979" s="10"/>
      <c r="BJD2979" s="8" t="s">
        <v>441</v>
      </c>
    </row>
    <row r="2980" spans="2:2 1568:1977">
      <c r="B2980" s="10"/>
      <c r="BOC2980" s="8" t="s">
        <v>442</v>
      </c>
    </row>
    <row r="2981" spans="2:2 1568:1977">
      <c r="B2981" s="10"/>
      <c r="BPP2981" s="8" t="s">
        <v>443</v>
      </c>
    </row>
    <row r="2982" spans="2:2 1568:1977">
      <c r="B2982" s="10"/>
      <c r="BQN2982" s="8" t="s">
        <v>444</v>
      </c>
    </row>
    <row r="2983" spans="2:2 1568:1977">
      <c r="B2983" s="10"/>
      <c r="BXA2983" s="8" t="s">
        <v>445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476</v>
      </c>
    </row>
    <row r="3044" spans="2:2 1358:1736">
      <c r="B3044" s="10"/>
      <c r="AZX3044" s="8" t="s">
        <v>477</v>
      </c>
    </row>
    <row r="3045" spans="2:2 1358:1736">
      <c r="B3045" s="10"/>
      <c r="BAV3045" s="8" t="s">
        <v>478</v>
      </c>
    </row>
    <row r="3046" spans="2:2 1358:1736">
      <c r="B3046" s="10"/>
      <c r="BAV3046" s="8" t="s">
        <v>479</v>
      </c>
    </row>
    <row r="3047" spans="2:2 1358:1736">
      <c r="B3047" s="10"/>
      <c r="BBJ3047" s="8" t="s">
        <v>480</v>
      </c>
    </row>
    <row r="3048" spans="2:2 1358:1736">
      <c r="B3048" s="10"/>
      <c r="BCR3048" s="8" t="s">
        <v>481</v>
      </c>
    </row>
    <row r="3049" spans="2:2 1358:1736">
      <c r="B3049" s="10"/>
      <c r="BGL3049" s="8" t="s">
        <v>482</v>
      </c>
    </row>
    <row r="3050" spans="2:2 1358:1736">
      <c r="B3050" s="10"/>
      <c r="BIF3050" s="8" t="s">
        <v>483</v>
      </c>
    </row>
    <row r="3051" spans="2:2 1358:1736">
      <c r="B3051" s="10"/>
      <c r="BJD3051" s="8" t="s">
        <v>484</v>
      </c>
    </row>
    <row r="3052" spans="2:2 1358:1736">
      <c r="B3052" s="10"/>
      <c r="BKB3052" s="8" t="s">
        <v>485</v>
      </c>
    </row>
    <row r="3053" spans="2:2 1358:1736">
      <c r="B3053" s="10"/>
      <c r="BLI3053" s="8" t="s">
        <v>486</v>
      </c>
    </row>
    <row r="3054" spans="2:2 1358:1736">
      <c r="B3054" s="10"/>
      <c r="BMA3054" s="8" t="s">
        <v>487</v>
      </c>
    </row>
    <row r="3055" spans="2:2 1358:1736">
      <c r="B3055" s="10"/>
      <c r="BNB3055" s="8" t="s">
        <v>488</v>
      </c>
    </row>
    <row r="3056" spans="2:2 1358:1736">
      <c r="B3056" s="10"/>
      <c r="BNT3056" s="8" t="s">
        <v>489</v>
      </c>
    </row>
    <row r="3057" spans="2:2 1784:2046 2055:2120">
      <c r="B3057" s="10"/>
      <c r="BPP3057" s="8" t="s">
        <v>490</v>
      </c>
    </row>
    <row r="3058" spans="2:2 1784:2046 2055:2120">
      <c r="B3058" s="10"/>
      <c r="BUG3058" s="8" t="s">
        <v>491</v>
      </c>
    </row>
    <row r="3059" spans="2:2 1784:2046 2055:2120">
      <c r="B3059" s="10"/>
      <c r="BZR3059" s="8" t="s">
        <v>492</v>
      </c>
    </row>
    <row r="3060" spans="2:2 1784:2046 2055:2120">
      <c r="B3060" s="10"/>
      <c r="CAA3060" s="8" t="s">
        <v>493</v>
      </c>
    </row>
    <row r="3061" spans="2:2 1784:2046 2055:2120">
      <c r="B3061" s="10"/>
      <c r="CBP3061" s="8" t="s">
        <v>494</v>
      </c>
    </row>
    <row r="3062" spans="2:2 1784:2046 2055:2120">
      <c r="B3062" s="10"/>
      <c r="CCN3062" s="8" t="s">
        <v>495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519</v>
      </c>
    </row>
    <row r="3149" spans="2:2 1361:1546">
      <c r="B3149" s="10"/>
      <c r="AZX3149" s="8" t="s">
        <v>520</v>
      </c>
    </row>
    <row r="3150" spans="2:2 1361:1546">
      <c r="B3150" s="10"/>
      <c r="BDP3150" s="8" t="s">
        <v>521</v>
      </c>
    </row>
    <row r="3151" spans="2:2 1361:1546">
      <c r="B3151" s="10"/>
      <c r="BFL3151" s="8" t="s">
        <v>522</v>
      </c>
    </row>
    <row r="3152" spans="2:2 1361:1546">
      <c r="B3152" s="10"/>
      <c r="BGL3152" s="8" t="s">
        <v>523</v>
      </c>
    </row>
    <row r="3153" spans="2:2 1688:1904">
      <c r="B3153" s="10"/>
      <c r="BLX3153" s="8" t="s">
        <v>524</v>
      </c>
    </row>
    <row r="3154" spans="2:2 1688:1904">
      <c r="B3154" s="10"/>
      <c r="BMO3154" s="8" t="s">
        <v>525</v>
      </c>
    </row>
    <row r="3155" spans="2:2 1688:1904">
      <c r="B3155" s="10"/>
      <c r="BUF3155" s="8" t="s">
        <v>526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683</v>
      </c>
    </row>
    <row r="3258" spans="2:2 1400:1784">
      <c r="B3258" s="10"/>
      <c r="BPH3258" s="8" t="s">
        <v>544</v>
      </c>
    </row>
    <row r="3259" spans="2:2 1400:1784">
      <c r="B3259" s="10"/>
      <c r="BPP3259" s="8" t="s">
        <v>545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551</v>
      </c>
    </row>
    <row r="3290" spans="2:2 1400:1664 2120:2120">
      <c r="B3290" s="10"/>
      <c r="BKZ3290" s="8" t="s">
        <v>552</v>
      </c>
    </row>
    <row r="3291" spans="2:2 1400:1664 2120:2120">
      <c r="B3291" s="10"/>
      <c r="CCN3291" s="8" t="s">
        <v>553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568</v>
      </c>
    </row>
    <row r="3342" spans="2:2 1784:1904">
      <c r="B3342" s="10"/>
      <c r="BUF3342" s="8" t="s">
        <v>569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575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588</v>
      </c>
    </row>
    <row r="3454" spans="2:2 1424:1664">
      <c r="B3454" s="10"/>
      <c r="BKZ3454" s="8" t="s">
        <v>589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606</v>
      </c>
    </row>
    <row r="3477" spans="2:2 1400:1568 2072:2072">
      <c r="B3477" s="10"/>
      <c r="BHH3477" s="8" t="s">
        <v>607</v>
      </c>
    </row>
    <row r="3478" spans="2:2 1400:1568 2072:2072">
      <c r="B3478" s="10"/>
      <c r="CAR3478" s="8" t="s">
        <v>608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617</v>
      </c>
    </row>
    <row r="3563" spans="2:2 1472:1568">
      <c r="B3563" s="10"/>
      <c r="BHH3563" s="8" t="s">
        <v>618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635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711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71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89</v>
      </c>
    </row>
    <row r="3771" spans="2:2 1360:1569">
      <c r="B3771" s="10"/>
      <c r="AZQ3771" s="8" t="s">
        <v>90</v>
      </c>
    </row>
    <row r="3772" spans="2:2 1360:1569">
      <c r="B3772" s="10"/>
      <c r="AZY3772" s="8" t="s">
        <v>91</v>
      </c>
    </row>
    <row r="3773" spans="2:2 1360:1569">
      <c r="B3773" s="10"/>
      <c r="BCB3773" s="8" t="s">
        <v>92</v>
      </c>
    </row>
    <row r="3774" spans="2:2 1360:1569">
      <c r="B3774" s="10"/>
      <c r="BCK3774" s="8" t="s">
        <v>93</v>
      </c>
    </row>
    <row r="3775" spans="2:2 1360:1569">
      <c r="B3775" s="10"/>
      <c r="BCS3775" s="8" t="s">
        <v>94</v>
      </c>
    </row>
    <row r="3776" spans="2:2 1360:1569">
      <c r="B3776" s="10"/>
      <c r="BHI3776" s="8" t="s">
        <v>95</v>
      </c>
    </row>
    <row r="3777" spans="2:2 1592:2041 2049:2120">
      <c r="B3777" s="10"/>
      <c r="BIF3777" s="8" t="s">
        <v>96</v>
      </c>
    </row>
    <row r="3778" spans="2:2 1592:2041 2049:2120">
      <c r="B3778" s="10"/>
      <c r="BIV3778" s="8" t="s">
        <v>97</v>
      </c>
    </row>
    <row r="3779" spans="2:2 1592:2041 2049:2120">
      <c r="B3779" s="10"/>
      <c r="BJD3779" s="8" t="s">
        <v>98</v>
      </c>
    </row>
    <row r="3780" spans="2:2 1592:2041 2049:2120">
      <c r="B3780" s="10"/>
      <c r="BMY3780" s="8" t="s">
        <v>99</v>
      </c>
    </row>
    <row r="3781" spans="2:2 1592:2041 2049:2120">
      <c r="B3781" s="10"/>
      <c r="BNU3781" s="8" t="s">
        <v>100</v>
      </c>
    </row>
    <row r="3782" spans="2:2 1592:2041 2049:2120">
      <c r="B3782" s="10"/>
      <c r="BQN3782" s="8" t="s">
        <v>101</v>
      </c>
    </row>
    <row r="3783" spans="2:2 1592:2041 2049:2120">
      <c r="B3783" s="10"/>
      <c r="BUG3783" s="8" t="s">
        <v>102</v>
      </c>
    </row>
    <row r="3784" spans="2:2 1592:2041 2049:2120">
      <c r="B3784" s="10"/>
      <c r="BYM3784" s="8" t="s">
        <v>103</v>
      </c>
    </row>
    <row r="3785" spans="2:2 1592:2041 2049:2120">
      <c r="B3785" s="10"/>
      <c r="BZM3785" s="8" t="s">
        <v>104</v>
      </c>
    </row>
    <row r="3786" spans="2:2 1592:2041 2049:2120">
      <c r="B3786" s="10"/>
      <c r="BZU3786" s="8" t="s">
        <v>105</v>
      </c>
    </row>
    <row r="3787" spans="2:2 1592:2041 2049:2120">
      <c r="B3787" s="10"/>
      <c r="CCN3787" s="8" t="s">
        <v>106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128</v>
      </c>
    </row>
    <row r="3877" spans="2:2 1363:1616">
      <c r="B3877" s="10"/>
      <c r="BCR3877" s="8" t="s">
        <v>129</v>
      </c>
    </row>
    <row r="3878" spans="2:2 1363:1616">
      <c r="B3878" s="10"/>
      <c r="BJD3878" s="8" t="s">
        <v>130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142</v>
      </c>
    </row>
    <row r="4019" spans="2:2 1468:1665 2120:2120">
      <c r="B4019" s="10"/>
      <c r="BDO4019" s="8" t="s">
        <v>143</v>
      </c>
    </row>
    <row r="4020" spans="2:2 1468:1665 2120:2120">
      <c r="B4020" s="10"/>
      <c r="BLA4020" s="8" t="s">
        <v>144</v>
      </c>
    </row>
    <row r="4021" spans="2:2 1468:1665 2120:2120">
      <c r="B4021" s="10"/>
      <c r="CCN4021" s="8" t="s">
        <v>145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178</v>
      </c>
    </row>
    <row r="4098" spans="2:2 1449:1949">
      <c r="B4098" s="10"/>
      <c r="BDP4098" s="8" t="s">
        <v>179</v>
      </c>
    </row>
    <row r="4099" spans="2:2 1449:1949">
      <c r="B4099" s="10"/>
      <c r="BHH4099" s="8" t="s">
        <v>180</v>
      </c>
    </row>
    <row r="4100" spans="2:2 1449:1949">
      <c r="B4100" s="10"/>
      <c r="BHH4100" s="8" t="s">
        <v>181</v>
      </c>
    </row>
    <row r="4101" spans="2:2 1449:1949">
      <c r="B4101" s="10"/>
      <c r="BMV4101" s="8" t="s">
        <v>182</v>
      </c>
    </row>
    <row r="4102" spans="2:2 1449:1949">
      <c r="B4102" s="10"/>
      <c r="BQN4102" s="8" t="s">
        <v>183</v>
      </c>
    </row>
    <row r="4103" spans="2:2 1449:1949">
      <c r="B4103" s="10"/>
      <c r="BTI4103" s="8" t="s">
        <v>184</v>
      </c>
    </row>
    <row r="4104" spans="2:2 1449:1949">
      <c r="B4104" s="10"/>
      <c r="BVY4104" s="8" t="s">
        <v>185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209</v>
      </c>
    </row>
    <row r="4195" spans="2:2 1688:1736">
      <c r="B4195" s="10"/>
      <c r="BNT4195" s="8" t="s">
        <v>210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695</v>
      </c>
    </row>
    <row r="4335" spans="2:2 1437:1448">
      <c r="B4335" s="10"/>
      <c r="BCN4335" s="8" t="s">
        <v>236</v>
      </c>
    </row>
    <row r="4336" spans="2:2 1437:1448">
      <c r="B4336" s="10"/>
      <c r="BCR4336" s="8" t="s">
        <v>51</v>
      </c>
    </row>
    <row r="4337" spans="2:2 1712:2024">
      <c r="B4337" s="10"/>
      <c r="BMV4337" s="8" t="s">
        <v>53</v>
      </c>
    </row>
    <row r="4338" spans="2:2 1712:2024">
      <c r="B4338" s="10"/>
      <c r="BOR4338" s="8" t="s">
        <v>237</v>
      </c>
    </row>
    <row r="4339" spans="2:2 1712:2024">
      <c r="B4339" s="10"/>
      <c r="BUF4339" s="8" t="s">
        <v>678</v>
      </c>
    </row>
    <row r="4340" spans="2:2 1712:2024">
      <c r="B4340" s="10"/>
      <c r="BYV4340" s="8" t="s">
        <v>238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263</v>
      </c>
    </row>
    <row r="4372" spans="2:2 1400:1911">
      <c r="B4372" s="10"/>
      <c r="BAV4372" s="8" t="s">
        <v>264</v>
      </c>
    </row>
    <row r="4373" spans="2:2 1400:1911">
      <c r="B4373" s="10"/>
      <c r="BHH4373" s="8" t="s">
        <v>265</v>
      </c>
    </row>
    <row r="4374" spans="2:2 1400:1911">
      <c r="B4374" s="10"/>
      <c r="BHH4374" s="8" t="s">
        <v>266</v>
      </c>
    </row>
    <row r="4375" spans="2:2 1400:1911">
      <c r="B4375" s="10"/>
      <c r="BHH4375" s="8" t="s">
        <v>267</v>
      </c>
    </row>
    <row r="4376" spans="2:2 1400:1911">
      <c r="B4376" s="10"/>
      <c r="BNT4376" s="8" t="s">
        <v>268</v>
      </c>
    </row>
    <row r="4377" spans="2:2 1400:1911">
      <c r="B4377" s="10"/>
      <c r="BNT4377" s="8" t="s">
        <v>269</v>
      </c>
    </row>
    <row r="4378" spans="2:2 1400:1911">
      <c r="B4378" s="10"/>
      <c r="BUM4378" s="8" t="s">
        <v>270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297</v>
      </c>
    </row>
    <row r="4484" spans="2:2 1473:1881">
      <c r="B4484" s="10"/>
      <c r="BEH4484" s="8" t="s">
        <v>298</v>
      </c>
    </row>
    <row r="4485" spans="2:2 1473:1881">
      <c r="B4485" s="10"/>
      <c r="BEX4485" s="8" t="s">
        <v>299</v>
      </c>
    </row>
    <row r="4486" spans="2:2 1473:1881">
      <c r="B4486" s="10"/>
      <c r="BFO4486" s="8" t="s">
        <v>300</v>
      </c>
    </row>
    <row r="4487" spans="2:2 1473:1881">
      <c r="B4487" s="10"/>
      <c r="BFM4487" s="8" t="s">
        <v>301</v>
      </c>
    </row>
    <row r="4488" spans="2:2 1473:1881">
      <c r="B4488" s="10"/>
      <c r="BRM4488" s="8" t="s">
        <v>302</v>
      </c>
    </row>
    <row r="4489" spans="2:2 1473:1881">
      <c r="B4489" s="10"/>
      <c r="BTI4489" s="8" t="s">
        <v>303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322</v>
      </c>
    </row>
    <row r="4548" spans="2:2 1423:1952 2200:2200">
      <c r="B4548" s="10"/>
      <c r="BCJ4548" s="8" t="s">
        <v>323</v>
      </c>
    </row>
    <row r="4549" spans="2:2 1423:1952 2200:2200">
      <c r="B4549" s="10"/>
      <c r="BCZ4549" s="8" t="s">
        <v>324</v>
      </c>
    </row>
    <row r="4550" spans="2:2 1423:1952 2200:2200">
      <c r="B4550" s="10"/>
      <c r="BDQ4550" s="8" t="s">
        <v>325</v>
      </c>
    </row>
    <row r="4551" spans="2:2 1423:1952 2200:2200">
      <c r="B4551" s="10"/>
      <c r="BEH4551" s="8" t="s">
        <v>326</v>
      </c>
    </row>
    <row r="4552" spans="2:2 1423:1952 2200:2200">
      <c r="B4552" s="10"/>
      <c r="BEX4552" s="8" t="s">
        <v>327</v>
      </c>
    </row>
    <row r="4553" spans="2:2 1423:1952 2200:2200">
      <c r="B4553" s="10"/>
      <c r="BFO4553" s="8" t="s">
        <v>328</v>
      </c>
    </row>
    <row r="4554" spans="2:2 1423:1952 2200:2200">
      <c r="B4554" s="10"/>
      <c r="BIF4554" s="8" t="s">
        <v>329</v>
      </c>
    </row>
    <row r="4555" spans="2:2 1423:1952 2200:2200">
      <c r="B4555" s="10"/>
      <c r="BWB4555" s="8" t="s">
        <v>330</v>
      </c>
    </row>
    <row r="4556" spans="2:2 1423:1952 2200:2200">
      <c r="B4556" s="10"/>
      <c r="CFP4556" s="8" t="s">
        <v>696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339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350</v>
      </c>
    </row>
    <row r="4627" spans="2:2 1449:1737">
      <c r="B4627" s="10"/>
      <c r="BGK4627" s="8" t="s">
        <v>351</v>
      </c>
    </row>
    <row r="4628" spans="2:2 1449:1737">
      <c r="B4628" s="10"/>
      <c r="BJD4628" s="8" t="s">
        <v>352</v>
      </c>
    </row>
    <row r="4629" spans="2:2 1449:1737">
      <c r="B4629" s="10"/>
      <c r="BNU4629" s="8" t="s">
        <v>353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374</v>
      </c>
    </row>
    <row r="4678" spans="2:2 1376:1928">
      <c r="B4678" s="10"/>
      <c r="BAV4678" s="8" t="s">
        <v>375</v>
      </c>
    </row>
    <row r="4679" spans="2:2 1376:1928">
      <c r="B4679" s="10"/>
      <c r="BDP4679" s="8" t="s">
        <v>376</v>
      </c>
    </row>
    <row r="4680" spans="2:2 1376:1928">
      <c r="B4680" s="10"/>
      <c r="BEN4680" s="8" t="s">
        <v>377</v>
      </c>
    </row>
    <row r="4681" spans="2:2 1376:1928">
      <c r="B4681" s="10"/>
      <c r="BJD4681" s="8" t="s">
        <v>378</v>
      </c>
    </row>
    <row r="4682" spans="2:2 1376:1928">
      <c r="B4682" s="10"/>
      <c r="BKE4682" s="8" t="s">
        <v>379</v>
      </c>
    </row>
    <row r="4683" spans="2:2 1376:1928">
      <c r="B4683" s="10"/>
      <c r="BQQ4683" s="8" t="s">
        <v>380</v>
      </c>
    </row>
    <row r="4684" spans="2:2 1376:1928">
      <c r="B4684" s="10"/>
      <c r="BRL4684" s="8" t="s">
        <v>381</v>
      </c>
    </row>
    <row r="4685" spans="2:2 1376:1928">
      <c r="B4685" s="10"/>
      <c r="BSJ4685" s="8" t="s">
        <v>382</v>
      </c>
    </row>
    <row r="4686" spans="2:2 1376:1928">
      <c r="B4686" s="10"/>
      <c r="BTH4686" s="8" t="s">
        <v>383</v>
      </c>
    </row>
    <row r="4687" spans="2:2 1376:1928">
      <c r="B4687" s="10"/>
      <c r="BUF4687" s="8" t="s">
        <v>384</v>
      </c>
    </row>
    <row r="4688" spans="2:2 1376:1928">
      <c r="B4688" s="10"/>
      <c r="BVD4688" s="8" t="s">
        <v>385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408</v>
      </c>
    </row>
    <row r="4750" spans="2:2 1376:1451">
      <c r="B4750" s="10"/>
      <c r="BCL4750" s="8" t="s">
        <v>409</v>
      </c>
    </row>
    <row r="4751" spans="2:2 1376:1451">
      <c r="B4751" s="10"/>
      <c r="BCU4751" s="8" t="s">
        <v>410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432</v>
      </c>
    </row>
    <row r="4798" spans="2:2 1445:1493">
      <c r="B4798" s="10"/>
      <c r="BDG4798" s="8" t="s">
        <v>433</v>
      </c>
    </row>
    <row r="4799" spans="2:2 1445:1493">
      <c r="B4799" s="10"/>
      <c r="BDV4799" s="8" t="s">
        <v>434</v>
      </c>
    </row>
    <row r="4800" spans="2:2 1445:1493">
      <c r="B4800" s="10"/>
      <c r="BEK4800" s="8" t="s">
        <v>435</v>
      </c>
    </row>
    <row r="4801" spans="2:2 1508:1977">
      <c r="B4801" s="10"/>
      <c r="BEZ4801" s="8" t="s">
        <v>436</v>
      </c>
    </row>
    <row r="4802" spans="2:2 1508:1977">
      <c r="B4802" s="10"/>
      <c r="BFO4802" s="8" t="s">
        <v>437</v>
      </c>
    </row>
    <row r="4803" spans="2:2 1508:1977">
      <c r="B4803" s="10"/>
      <c r="BGJ4803" s="8" t="s">
        <v>438</v>
      </c>
    </row>
    <row r="4804" spans="2:2 1508:1977">
      <c r="B4804" s="10"/>
      <c r="BHH4804" s="8" t="s">
        <v>439</v>
      </c>
    </row>
    <row r="4805" spans="2:2 1508:1977">
      <c r="B4805" s="10"/>
      <c r="BIF4805" s="8" t="s">
        <v>440</v>
      </c>
    </row>
    <row r="4806" spans="2:2 1508:1977">
      <c r="B4806" s="10"/>
      <c r="BJD4806" s="8" t="s">
        <v>441</v>
      </c>
    </row>
    <row r="4807" spans="2:2 1508:1977">
      <c r="B4807" s="10"/>
      <c r="BOC4807" s="8" t="s">
        <v>442</v>
      </c>
    </row>
    <row r="4808" spans="2:2 1508:1977">
      <c r="B4808" s="10"/>
      <c r="BPP4808" s="8" t="s">
        <v>443</v>
      </c>
    </row>
    <row r="4809" spans="2:2 1508:1977">
      <c r="B4809" s="10"/>
      <c r="BQN4809" s="8" t="s">
        <v>444</v>
      </c>
    </row>
    <row r="4810" spans="2:2 1508:1977">
      <c r="B4810" s="10"/>
      <c r="BXA4810" s="8" t="s">
        <v>445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476</v>
      </c>
    </row>
    <row r="4871" spans="2:2 1358:1673">
      <c r="B4871" s="10"/>
      <c r="AZX4871" s="8" t="s">
        <v>477</v>
      </c>
    </row>
    <row r="4872" spans="2:2 1358:1673">
      <c r="B4872" s="10"/>
      <c r="BAV4872" s="8" t="s">
        <v>478</v>
      </c>
    </row>
    <row r="4873" spans="2:2 1358:1673">
      <c r="B4873" s="10"/>
      <c r="BAV4873" s="8" t="s">
        <v>479</v>
      </c>
    </row>
    <row r="4874" spans="2:2 1358:1673">
      <c r="B4874" s="10"/>
      <c r="BBJ4874" s="8" t="s">
        <v>480</v>
      </c>
    </row>
    <row r="4875" spans="2:2 1358:1673">
      <c r="B4875" s="10"/>
      <c r="BCR4875" s="8" t="s">
        <v>481</v>
      </c>
    </row>
    <row r="4876" spans="2:2 1358:1673">
      <c r="B4876" s="10"/>
      <c r="BGL4876" s="8" t="s">
        <v>482</v>
      </c>
    </row>
    <row r="4877" spans="2:2 1358:1673">
      <c r="B4877" s="10"/>
      <c r="BIF4877" s="8" t="s">
        <v>483</v>
      </c>
    </row>
    <row r="4878" spans="2:2 1358:1673">
      <c r="B4878" s="10"/>
      <c r="BJD4878" s="8" t="s">
        <v>484</v>
      </c>
    </row>
    <row r="4879" spans="2:2 1358:1673">
      <c r="B4879" s="10"/>
      <c r="BKB4879" s="8" t="s">
        <v>485</v>
      </c>
    </row>
    <row r="4880" spans="2:2 1358:1673">
      <c r="B4880" s="10"/>
      <c r="BLI4880" s="8" t="s">
        <v>486</v>
      </c>
    </row>
    <row r="4881" spans="2:2 1691:2046 2055:2120">
      <c r="B4881" s="10"/>
      <c r="BMA4881" s="8" t="s">
        <v>487</v>
      </c>
    </row>
    <row r="4882" spans="2:2 1691:2046 2055:2120">
      <c r="B4882" s="10"/>
      <c r="BNB4882" s="8" t="s">
        <v>488</v>
      </c>
    </row>
    <row r="4883" spans="2:2 1691:2046 2055:2120">
      <c r="B4883" s="10"/>
      <c r="BNT4883" s="8" t="s">
        <v>489</v>
      </c>
    </row>
    <row r="4884" spans="2:2 1691:2046 2055:2120">
      <c r="B4884" s="10"/>
      <c r="BPP4884" s="8" t="s">
        <v>490</v>
      </c>
    </row>
    <row r="4885" spans="2:2 1691:2046 2055:2120">
      <c r="B4885" s="10"/>
      <c r="BUG4885" s="8" t="s">
        <v>491</v>
      </c>
    </row>
    <row r="4886" spans="2:2 1691:2046 2055:2120">
      <c r="B4886" s="10"/>
      <c r="BZR4886" s="8" t="s">
        <v>492</v>
      </c>
    </row>
    <row r="4887" spans="2:2 1691:2046 2055:2120">
      <c r="B4887" s="10"/>
      <c r="CAA4887" s="8" t="s">
        <v>493</v>
      </c>
    </row>
    <row r="4888" spans="2:2 1691:2046 2055:2120">
      <c r="B4888" s="10"/>
      <c r="CBP4888" s="8" t="s">
        <v>494</v>
      </c>
    </row>
    <row r="4889" spans="2:2 1691:2046 2055:2120">
      <c r="B4889" s="10"/>
      <c r="CCN4889" s="8" t="s">
        <v>495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519</v>
      </c>
    </row>
    <row r="4976" spans="2:2 1361:1376">
      <c r="B4976" s="10"/>
      <c r="AZX4976" s="8" t="s">
        <v>520</v>
      </c>
    </row>
    <row r="4977" spans="2:2 1472:1904">
      <c r="B4977" s="10"/>
      <c r="BDP4977" s="8" t="s">
        <v>521</v>
      </c>
    </row>
    <row r="4978" spans="2:2 1472:1904">
      <c r="B4978" s="10"/>
      <c r="BFL4978" s="8" t="s">
        <v>522</v>
      </c>
    </row>
    <row r="4979" spans="2:2 1472:1904">
      <c r="B4979" s="10"/>
      <c r="BGL4979" s="8" t="s">
        <v>523</v>
      </c>
    </row>
    <row r="4980" spans="2:2 1472:1904">
      <c r="B4980" s="10"/>
      <c r="BLX4980" s="8" t="s">
        <v>524</v>
      </c>
    </row>
    <row r="4981" spans="2:2 1472:1904">
      <c r="B4981" s="10"/>
      <c r="BMO4981" s="8" t="s">
        <v>525</v>
      </c>
    </row>
    <row r="4982" spans="2:2 1472:1904">
      <c r="B4982" s="10"/>
      <c r="BUF4982" s="8" t="s">
        <v>526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683</v>
      </c>
    </row>
    <row r="5085" spans="2:2 1400:1784">
      <c r="B5085" s="10"/>
      <c r="BPH5085" s="8" t="s">
        <v>544</v>
      </c>
    </row>
    <row r="5086" spans="2:2 1400:1784">
      <c r="B5086" s="10"/>
      <c r="BPP5086" s="8" t="s">
        <v>545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551</v>
      </c>
    </row>
    <row r="5117" spans="2:2 1400:1664 2120:2120">
      <c r="B5117" s="10"/>
      <c r="BKZ5117" s="8" t="s">
        <v>552</v>
      </c>
    </row>
    <row r="5118" spans="2:2 1400:1664 2120:2120">
      <c r="B5118" s="10"/>
      <c r="CCN5118" s="8" t="s">
        <v>553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568</v>
      </c>
    </row>
    <row r="5169" spans="2:2 1904:1904">
      <c r="B5169" s="10"/>
      <c r="BUF5169" s="8" t="s">
        <v>569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575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588</v>
      </c>
    </row>
    <row r="5281" spans="2:2 1664:1664">
      <c r="B5281" s="10"/>
      <c r="BKZ5281" s="8" t="s">
        <v>589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606</v>
      </c>
    </row>
    <row r="5304" spans="2:2 1400:1568 2072:2072">
      <c r="B5304" s="10"/>
      <c r="BHH5304" s="8" t="s">
        <v>607</v>
      </c>
    </row>
    <row r="5305" spans="2:2 1400:1568 2072:2072">
      <c r="B5305" s="10"/>
      <c r="CAR5305" s="8" t="s">
        <v>608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617</v>
      </c>
    </row>
    <row r="5390" spans="2:2 1472:1568">
      <c r="B5390" s="10"/>
      <c r="BHH5390" s="8" t="s">
        <v>618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619</v>
      </c>
    </row>
    <row r="5404" spans="2:257">
      <c r="ID5404" s="8" t="s">
        <v>685</v>
      </c>
    </row>
    <row r="5405" spans="2:257">
      <c r="IG5405" s="8" t="s">
        <v>686</v>
      </c>
    </row>
    <row r="5406" spans="2:257">
      <c r="IN5406" s="8" t="s">
        <v>620</v>
      </c>
    </row>
    <row r="5407" spans="2:257">
      <c r="IQ5407" s="8" t="s">
        <v>621</v>
      </c>
    </row>
    <row r="5408" spans="2:257">
      <c r="IW5408" s="8" t="s">
        <v>697</v>
      </c>
    </row>
    <row r="5409" spans="270:872">
      <c r="JJ5409" s="8" t="s">
        <v>622</v>
      </c>
    </row>
    <row r="5410" spans="270:872">
      <c r="JQ5410" s="8" t="s">
        <v>623</v>
      </c>
    </row>
    <row r="5411" spans="270:872">
      <c r="MF5411" s="8" t="s">
        <v>624</v>
      </c>
    </row>
    <row r="5412" spans="270:872">
      <c r="MH5412" s="8" t="s">
        <v>687</v>
      </c>
    </row>
    <row r="5413" spans="270:872">
      <c r="NS5413" s="8" t="s">
        <v>625</v>
      </c>
    </row>
    <row r="5414" spans="270:872">
      <c r="NY5414" s="8" t="s">
        <v>626</v>
      </c>
    </row>
    <row r="5415" spans="270:872">
      <c r="OB5415" s="8" t="s">
        <v>627</v>
      </c>
    </row>
    <row r="5416" spans="270:872">
      <c r="OZ5416" s="8" t="s">
        <v>628</v>
      </c>
    </row>
    <row r="5417" spans="270:872">
      <c r="PX5417" s="8" t="s">
        <v>688</v>
      </c>
    </row>
    <row r="5418" spans="270:872">
      <c r="QR5418" s="8" t="s">
        <v>629</v>
      </c>
    </row>
    <row r="5419" spans="270:872">
      <c r="QV5419" s="8" t="s">
        <v>630</v>
      </c>
    </row>
    <row r="5420" spans="270:872">
      <c r="VL5420" s="8" t="s">
        <v>631</v>
      </c>
    </row>
    <row r="5421" spans="270:872">
      <c r="XD5421" s="19" t="s">
        <v>698</v>
      </c>
    </row>
    <row r="5422" spans="270:872">
      <c r="XH5422" s="8" t="s">
        <v>699</v>
      </c>
    </row>
    <row r="5423" spans="270:872">
      <c r="ABX5423" s="8" t="s">
        <v>632</v>
      </c>
    </row>
    <row r="5424" spans="270:872">
      <c r="AGN5424" s="8" t="s">
        <v>633</v>
      </c>
    </row>
    <row r="5425" spans="8:109 1280:1736">
      <c r="AWF5425" s="8" t="s">
        <v>634</v>
      </c>
    </row>
    <row r="5426" spans="8:109 1280:1736">
      <c r="BNT5426" s="8" t="s">
        <v>635</v>
      </c>
    </row>
    <row r="5427" spans="8:109 1280:1736">
      <c r="H5427" s="8" t="s">
        <v>636</v>
      </c>
    </row>
    <row r="5428" spans="8:109 1280:1736">
      <c r="H5428" s="8" t="s">
        <v>637</v>
      </c>
    </row>
    <row r="5429" spans="8:109 1280:1736">
      <c r="H5429" s="8" t="s">
        <v>660</v>
      </c>
    </row>
    <row r="5430" spans="8:109 1280:1736">
      <c r="H5430" s="8" t="s">
        <v>658</v>
      </c>
    </row>
    <row r="5431" spans="8:109 1280:1736">
      <c r="R5431" s="8" t="s">
        <v>638</v>
      </c>
    </row>
    <row r="5432" spans="8:109 1280:1736">
      <c r="V5432" s="8" t="s">
        <v>700</v>
      </c>
    </row>
    <row r="5433" spans="8:109 1280:1736">
      <c r="AA5433" s="8" t="s">
        <v>701</v>
      </c>
    </row>
    <row r="5434" spans="8:109 1280:1736">
      <c r="CN5434" s="8" t="s">
        <v>639</v>
      </c>
    </row>
    <row r="5435" spans="8:109 1280:1736">
      <c r="CE5435" s="8" t="s">
        <v>640</v>
      </c>
    </row>
    <row r="5436" spans="8:109 1280:1736">
      <c r="CG5436" s="8" t="s">
        <v>641</v>
      </c>
    </row>
    <row r="5437" spans="8:109 1280:1736">
      <c r="CI5437" s="8" t="s">
        <v>642</v>
      </c>
    </row>
    <row r="5438" spans="8:109 1280:1736">
      <c r="CO5438" s="8" t="s">
        <v>643</v>
      </c>
    </row>
    <row r="5439" spans="8:109 1280:1736">
      <c r="CU5439" s="8" t="s">
        <v>644</v>
      </c>
    </row>
    <row r="5440" spans="8:109 1280:1736">
      <c r="DE5440" s="8" t="s">
        <v>702</v>
      </c>
    </row>
    <row r="5441" spans="127:214">
      <c r="DW5441" s="8" t="s">
        <v>645</v>
      </c>
    </row>
    <row r="5442" spans="127:214">
      <c r="DY5442" s="8" t="s">
        <v>646</v>
      </c>
    </row>
    <row r="5443" spans="127:214">
      <c r="FE5443" s="8" t="s">
        <v>647</v>
      </c>
    </row>
    <row r="5444" spans="127:214">
      <c r="EF5444" s="8" t="s">
        <v>648</v>
      </c>
    </row>
    <row r="5445" spans="127:214">
      <c r="ET5445" s="8" t="s">
        <v>703</v>
      </c>
    </row>
    <row r="5446" spans="127:214">
      <c r="FP5446" s="8" t="s">
        <v>649</v>
      </c>
    </row>
    <row r="5447" spans="127:214">
      <c r="GB5447" s="8" t="s">
        <v>650</v>
      </c>
    </row>
    <row r="5448" spans="127:214">
      <c r="GA5448" s="8" t="s">
        <v>651</v>
      </c>
    </row>
    <row r="5449" spans="127:214">
      <c r="GD5449" s="8" t="s">
        <v>652</v>
      </c>
    </row>
    <row r="5450" spans="127:214">
      <c r="GH5450" s="8" t="s">
        <v>653</v>
      </c>
    </row>
    <row r="5451" spans="127:214">
      <c r="GN5451" s="19" t="s">
        <v>654</v>
      </c>
    </row>
    <row r="5452" spans="127:214">
      <c r="GR5452" s="8" t="s">
        <v>689</v>
      </c>
    </row>
    <row r="5453" spans="127:214">
      <c r="GR5453" s="8" t="s">
        <v>655</v>
      </c>
    </row>
    <row r="5454" spans="127:214">
      <c r="GT5454" s="8" t="s">
        <v>704</v>
      </c>
    </row>
    <row r="5455" spans="127:214">
      <c r="GU5455" s="8" t="s">
        <v>705</v>
      </c>
    </row>
    <row r="5456" spans="127:214">
      <c r="HF5456" s="8" t="s">
        <v>656</v>
      </c>
    </row>
    <row r="5457" spans="216:416">
      <c r="HH5457" s="8" t="s">
        <v>657</v>
      </c>
    </row>
    <row r="5458" spans="216:416">
      <c r="HR5458" s="8" t="s">
        <v>659</v>
      </c>
    </row>
    <row r="5459" spans="216:416">
      <c r="IB5459" s="8" t="s">
        <v>661</v>
      </c>
    </row>
    <row r="5460" spans="216:416">
      <c r="IB5460" s="8" t="s">
        <v>662</v>
      </c>
    </row>
    <row r="5461" spans="216:416">
      <c r="IG5461" s="8" t="s">
        <v>690</v>
      </c>
    </row>
    <row r="5462" spans="216:416">
      <c r="IH5462" s="8" t="s">
        <v>691</v>
      </c>
    </row>
    <row r="5463" spans="216:416">
      <c r="IK5463" s="8" t="s">
        <v>706</v>
      </c>
    </row>
    <row r="5464" spans="216:416">
      <c r="JA5464" s="8" t="s">
        <v>707</v>
      </c>
    </row>
    <row r="5465" spans="216:416">
      <c r="IY5465" s="8" t="s">
        <v>708</v>
      </c>
    </row>
    <row r="5466" spans="216:416">
      <c r="JZ5466" s="8" t="s">
        <v>692</v>
      </c>
    </row>
    <row r="5467" spans="216:416">
      <c r="KT5467" s="8" t="s">
        <v>663</v>
      </c>
    </row>
    <row r="5468" spans="216:416">
      <c r="KY5468" s="8" t="s">
        <v>664</v>
      </c>
    </row>
    <row r="5469" spans="216:416">
      <c r="LI5469" s="8" t="s">
        <v>665</v>
      </c>
    </row>
    <row r="5470" spans="216:416">
      <c r="NO5470" s="8" t="s">
        <v>666</v>
      </c>
    </row>
    <row r="5471" spans="216:416">
      <c r="OU5471" s="8" t="s">
        <v>667</v>
      </c>
    </row>
    <row r="5472" spans="216:416">
      <c r="OZ5472" s="8" t="s">
        <v>668</v>
      </c>
    </row>
    <row r="5473" spans="436:920 1064:1880">
      <c r="PT5473" s="19" t="s">
        <v>669</v>
      </c>
    </row>
    <row r="5474" spans="436:920 1064:1880">
      <c r="PX5474" s="8" t="s">
        <v>670</v>
      </c>
    </row>
    <row r="5475" spans="436:920 1064:1880">
      <c r="QU5475" s="8" t="s">
        <v>709</v>
      </c>
    </row>
    <row r="5476" spans="436:920 1064:1880">
      <c r="QV5476" s="8" t="s">
        <v>671</v>
      </c>
    </row>
    <row r="5477" spans="436:920 1064:1880">
      <c r="AAZ5477" s="8" t="s">
        <v>710</v>
      </c>
    </row>
    <row r="5478" spans="436:920 1064:1880">
      <c r="ACP5478" s="8" t="s">
        <v>673</v>
      </c>
    </row>
    <row r="5479" spans="436:920 1064:1880">
      <c r="AIJ5479" s="8" t="s">
        <v>674</v>
      </c>
    </row>
    <row r="5480" spans="436:920 1064:1880">
      <c r="ANX5480" s="8" t="s">
        <v>675</v>
      </c>
    </row>
    <row r="5481" spans="436:920 1064:1880">
      <c r="APP5481" s="19" t="s">
        <v>676</v>
      </c>
    </row>
    <row r="5482" spans="436:920 1064:1880">
      <c r="APT5482" s="8" t="s">
        <v>677</v>
      </c>
    </row>
    <row r="5483" spans="436:920 1064:1880">
      <c r="BTH5483" s="8" t="s">
        <v>711</v>
      </c>
    </row>
  </sheetData>
  <mergeCells count="29"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  <mergeCell ref="AAW2:ACR2"/>
    <mergeCell ref="ACS2:AEN2"/>
    <mergeCell ref="AEO2:AGJ2"/>
    <mergeCell ref="AGK2:AIF2"/>
    <mergeCell ref="AIG2:AKB2"/>
    <mergeCell ref="XE2:YZ2"/>
    <mergeCell ref="ZA2:AAV2"/>
    <mergeCell ref="NY2:PT2"/>
    <mergeCell ref="PU2:RP2"/>
    <mergeCell ref="RQ2:TL2"/>
    <mergeCell ref="TM2:VH2"/>
    <mergeCell ref="VI2:XD2"/>
    <mergeCell ref="GO2:IJ2"/>
    <mergeCell ref="IK2:KF2"/>
    <mergeCell ref="KG2:MB2"/>
    <mergeCell ref="MC2:NX2"/>
    <mergeCell ref="E2:AZ2"/>
    <mergeCell ref="BA2:CV2"/>
    <mergeCell ref="CW2:ER2"/>
    <mergeCell ref="ES2:GN2"/>
  </mergeCells>
  <phoneticPr fontId="4" type="noConversion"/>
  <conditionalFormatting sqref="E3:AYV5402">
    <cfRule type="expression" dxfId="5" priority="6">
      <formula>RunningHours</formula>
    </cfRule>
  </conditionalFormatting>
  <conditionalFormatting sqref="A3:XFD5400"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0-0000-0000-000000000000}">
            <xm:f>AND(E$1&gt;$C3,E$1&lt;=($C3+$D3),Data!$K2=10)</xm:f>
            <x14:dxf>
              <fill>
                <patternFill>
                  <bgColor rgb="FFFF3399"/>
                </patternFill>
              </fill>
              <border>
                <left/>
                <right/>
              </border>
            </x14:dxf>
          </x14:cfRule>
          <x14:cfRule type="expression" priority="4" id="{00000000-0000-0000-0000-000000000000}">
            <xm:f>AND(E$1&gt;$C3,E$1&lt;=($C3+$D3),Data!$K2=25)</xm:f>
            <x14:dxf>
              <fill>
                <patternFill>
                  <bgColor theme="0"/>
                </patternFill>
              </fill>
              <border>
                <left/>
                <right/>
              </border>
            </x14:dxf>
          </x14:cfRule>
          <x14:cfRule type="expression" priority="3" id="{00000000-0000-0000-0000-000000000000}">
            <xm:f>AND(E$1&gt;$C3,E$1&lt;=($C3+$D3),Data!$X2=0)</xm:f>
            <x14:dxf>
              <fill>
                <patternFill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id="{00000000-0000-0000-0000-000000000000}">
            <xm:f>AND(E$1&gt;($C3+$D3),E$1&lt;=($C3+$D3+Data!$AH2))</xm:f>
            <x14:dxf>
              <fill>
                <patternFill patternType="lightDown">
                  <bgColor rgb="FFC000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5"/>
  <sheetViews>
    <sheetView workbookViewId="0">
      <selection activeCell="C16" sqref="C16"/>
    </sheetView>
  </sheetViews>
  <sheetFormatPr defaultRowHeight="12.75"/>
  <cols>
    <col min="1" max="1" width="32" bestFit="1" customWidth="1"/>
    <col min="2" max="2" width="29.28515625" customWidth="1"/>
    <col min="3" max="3" width="52.140625" bestFit="1" customWidth="1"/>
    <col min="4" max="4" width="48.140625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22" t="s">
        <v>1402</v>
      </c>
      <c r="B1" s="22" t="s">
        <v>2998</v>
      </c>
      <c r="C1" s="22" t="s">
        <v>2999</v>
      </c>
      <c r="D1" s="22" t="s">
        <v>3000</v>
      </c>
      <c r="E1" s="22" t="s">
        <v>3001</v>
      </c>
      <c r="F1" s="22" t="s">
        <v>2995</v>
      </c>
      <c r="G1" s="22" t="s">
        <v>2996</v>
      </c>
      <c r="H1" s="22" t="s">
        <v>2997</v>
      </c>
    </row>
    <row r="2" spans="1:8">
      <c r="A2" s="23" t="s">
        <v>3002</v>
      </c>
      <c r="B2" s="21">
        <f ca="1">TODAY()</f>
        <v>43283</v>
      </c>
      <c r="C2" s="21">
        <f t="shared" ref="C2:E2" ca="1" si="0">TODAY()</f>
        <v>43283</v>
      </c>
      <c r="D2" s="21">
        <f t="shared" ca="1" si="0"/>
        <v>43283</v>
      </c>
      <c r="E2" s="21">
        <f t="shared" ca="1" si="0"/>
        <v>43283</v>
      </c>
    </row>
    <row r="3" spans="1:8">
      <c r="A3" s="23" t="s">
        <v>3003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>
      <c r="A4" s="23" t="s">
        <v>2991</v>
      </c>
      <c r="B4" s="7">
        <v>-1</v>
      </c>
      <c r="C4">
        <v>-1</v>
      </c>
      <c r="D4">
        <v>0</v>
      </c>
      <c r="E4">
        <v>0</v>
      </c>
    </row>
    <row r="5" spans="1:8">
      <c r="A5" s="23" t="s">
        <v>2992</v>
      </c>
      <c r="B5" s="7">
        <v>28</v>
      </c>
      <c r="C5" s="7">
        <v>7</v>
      </c>
      <c r="D5">
        <v>7</v>
      </c>
      <c r="E5">
        <v>4</v>
      </c>
    </row>
    <row r="6" spans="1:8">
      <c r="A6" s="23" t="s">
        <v>3004</v>
      </c>
      <c r="B6" t="s">
        <v>3005</v>
      </c>
      <c r="C6" s="28" t="str">
        <f ca="1">TEXT(TODAY(),"yyyymmdd")&amp;"PC52ProdSchedule.xlsb"</f>
        <v>20180702PC52ProdSchedule.xlsb</v>
      </c>
      <c r="D6" t="str">
        <f ca="1">TEXT(TODAY(),"yyyymmdd")&amp;"PC52ForPP_Review.xlsb"</f>
        <v>20180702PC52ForPP_Review.xlsb</v>
      </c>
    </row>
    <row r="7" spans="1:8">
      <c r="A7" s="23" t="s">
        <v>3006</v>
      </c>
      <c r="B7" s="30"/>
    </row>
    <row r="8" spans="1:8">
      <c r="A8" s="23" t="s">
        <v>10448</v>
      </c>
      <c r="C8" s="7"/>
      <c r="D8" s="7"/>
      <c r="E8" s="7"/>
      <c r="F8" s="7"/>
      <c r="G8" s="7"/>
      <c r="H8" s="7"/>
    </row>
    <row r="9" spans="1:8">
      <c r="A9" s="23" t="s">
        <v>4663</v>
      </c>
      <c r="B9" s="7" t="s">
        <v>10445</v>
      </c>
      <c r="C9" s="7"/>
      <c r="D9" s="7"/>
      <c r="E9" s="7"/>
      <c r="F9" s="7"/>
      <c r="G9" s="7"/>
      <c r="H9" s="7"/>
    </row>
    <row r="10" spans="1:8">
      <c r="A10" s="23" t="s">
        <v>4664</v>
      </c>
      <c r="B10" s="7"/>
      <c r="C10" s="7" t="str">
        <f ca="1">"Nansha Production schedule updated on " &amp; TEXT(NOW(),"yyyy-mm-dd HH:mm")</f>
        <v>Nansha Production schedule updated on 2018-07-02 16:41</v>
      </c>
      <c r="D10" s="7" t="str">
        <f ca="1">C10</f>
        <v>Nansha Production schedule updated on 2018-07-02 16:41</v>
      </c>
      <c r="E10" s="7"/>
      <c r="F10" s="7"/>
      <c r="G10" s="7"/>
      <c r="H10" s="7"/>
    </row>
    <row r="11" spans="1:8">
      <c r="A11" s="23" t="s">
        <v>6450</v>
      </c>
      <c r="B11" s="7" t="s">
        <v>6451</v>
      </c>
      <c r="C11" s="7"/>
      <c r="D11" s="7"/>
      <c r="E11" s="7"/>
      <c r="F11" s="7"/>
      <c r="G11" s="7"/>
      <c r="H11" s="7"/>
    </row>
    <row r="12" spans="1:8">
      <c r="A12" s="23" t="s">
        <v>6452</v>
      </c>
      <c r="B12" s="7" t="str">
        <f ca="1">TEXT(TODAY(),"yyyymmdd")&amp;".xlsx"</f>
        <v>20180702.xlsx</v>
      </c>
      <c r="C12" s="7"/>
      <c r="D12" s="7"/>
      <c r="E12" s="7"/>
      <c r="F12" s="7"/>
      <c r="G12" s="7"/>
      <c r="H12" s="7"/>
    </row>
    <row r="13" spans="1:8">
      <c r="A13" s="23" t="s">
        <v>6453</v>
      </c>
      <c r="B13" s="7" t="s">
        <v>6454</v>
      </c>
      <c r="C13" s="7"/>
      <c r="D13" s="7"/>
      <c r="E13" s="7"/>
      <c r="F13" s="7"/>
      <c r="G13" s="7"/>
      <c r="H13" s="7"/>
    </row>
    <row r="14" spans="1:8">
      <c r="A14" s="23" t="s">
        <v>6455</v>
      </c>
      <c r="B14" s="7" t="str">
        <f ca="1">TEXT(TODAY(),"yyyymmdd")&amp;".xlsx"</f>
        <v>20180702.xlsx</v>
      </c>
      <c r="C14" s="7"/>
      <c r="D14" s="7"/>
      <c r="E14" s="7"/>
      <c r="F14" s="7"/>
      <c r="G14" s="7"/>
      <c r="H14" s="7"/>
    </row>
    <row r="15" spans="1:8">
      <c r="A15" s="23" t="s">
        <v>10446</v>
      </c>
      <c r="B15" s="7" t="s">
        <v>10447</v>
      </c>
      <c r="C15" s="7"/>
      <c r="D15" s="7"/>
      <c r="E15" s="7"/>
      <c r="F15" s="7"/>
      <c r="G15" s="7"/>
      <c r="H15" s="7"/>
    </row>
    <row r="16" spans="1:8">
      <c r="A16" t="s">
        <v>3007</v>
      </c>
      <c r="B16" s="7" t="s">
        <v>3448</v>
      </c>
    </row>
    <row r="17" spans="1:8">
      <c r="A17" s="7" t="s">
        <v>3483</v>
      </c>
      <c r="B17" s="7" t="s">
        <v>3482</v>
      </c>
    </row>
    <row r="18" spans="1:8">
      <c r="A18" t="s">
        <v>2993</v>
      </c>
      <c r="B18" s="7" t="s">
        <v>3445</v>
      </c>
      <c r="C18" s="7" t="s">
        <v>3447</v>
      </c>
      <c r="D18" s="7" t="s">
        <v>3446</v>
      </c>
      <c r="E18" t="s">
        <v>2994</v>
      </c>
      <c r="F18" s="7" t="s">
        <v>3449</v>
      </c>
      <c r="G18" s="7" t="s">
        <v>3450</v>
      </c>
      <c r="H18" s="7" t="s">
        <v>3451</v>
      </c>
    </row>
    <row r="22" spans="1:8">
      <c r="B22" s="7" t="s">
        <v>2990</v>
      </c>
      <c r="C22" s="24" t="s">
        <v>2990</v>
      </c>
      <c r="D22" s="24" t="s">
        <v>2990</v>
      </c>
    </row>
    <row r="24" spans="1:8">
      <c r="E24" s="7"/>
    </row>
    <row r="25" spans="1:8">
      <c r="D25" s="31"/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22" r:id="rId1"/>
    <hyperlink ref="D22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15</xdr:row>
                    <xdr:rowOff>28575</xdr:rowOff>
                  </from>
                  <to>
                    <xdr:col>2</xdr:col>
                    <xdr:colOff>1257300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dcterms:created xsi:type="dcterms:W3CDTF">2018-05-30T07:34:38Z</dcterms:created>
  <dcterms:modified xsi:type="dcterms:W3CDTF">2018-07-02T08:41:15Z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